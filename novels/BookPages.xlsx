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ikeenterprises-my.sharepoint.com/personal/mcatania_pike_com/Documents/Downloads/"/>
    </mc:Choice>
  </mc:AlternateContent>
  <xr:revisionPtr revIDLastSave="15" documentId="8_{1F31570F-E4A6-4F02-8607-511585593EB2}" xr6:coauthVersionLast="47" xr6:coauthVersionMax="47" xr10:uidLastSave="{956992C5-5475-4030-A14D-B810D01BDA54}"/>
  <bookViews>
    <workbookView xWindow="28680" yWindow="-120" windowWidth="29040" windowHeight="15720" xr2:uid="{67BA6296-2096-4699-982B-2512D904BD44}"/>
  </bookViews>
  <sheets>
    <sheet name="Pages" sheetId="12" r:id="rId1"/>
    <sheet name="Pages+" sheetId="20" r:id="rId2"/>
  </sheets>
  <definedNames>
    <definedName name="_xlchart.v1.1" hidden="1">Pages!$B$1</definedName>
    <definedName name="ChartDate">OFFSET(#REF!,0,0,_xlfn.DAYS(TODAY(),#REF!)+1)</definedName>
    <definedName name="ChartGain">OFFSET(#REF!,0,0,_xlfn.DAYS(TODAY(),#REF!)+1)</definedName>
    <definedName name="ChartLoss">OFFSET(#REF!,0,0,_xlfn.DAYS(TODAY(),#REF!)+1)</definedName>
    <definedName name="ChartNet">OFFSET(#REF!,0,0,_xlfn.DAYS(TODAY(),#REF!)+1)</definedName>
    <definedName name="LeagueName">OFFSET(#REF!,0,0,#REF!)</definedName>
    <definedName name="LeaguePerc">OFFSET(#REF!,0,0,#REF!)</definedName>
    <definedName name="LeagueTot">OFFSET(#REF!,0,0,#REF!)</definedName>
    <definedName name="PagesCum2023">Pages!$D$2:$D$82</definedName>
    <definedName name="PagesCum2024">Pages!$F$83:$F$448</definedName>
    <definedName name="PagesCum2024All">Pages!$F$2:$F$448</definedName>
    <definedName name="PagesCum2025">Pages!$H$449:$H$813</definedName>
    <definedName name="PagesCum2025All">Pages!$H$2:$H$813</definedName>
    <definedName name="PagesCum2026" comment="=INDIRECT(&quot;Pages!$J$814:$J$&quot;&amp;MATCH(TODAY(),Table8[Date])+1)">INDIRECT("Pages!$J$814:$J$"&amp;MATCH(TODAY(),Table8[Date])+1)</definedName>
    <definedName name="PagesCum2026All" comment="=INDIRECT(&quot;Pages!$J$2:$J$&quot;&amp;MATCH(TODAY(),Table8[Date])+1)">INDIRECT("Pages!$J$2:$J$"&amp;MATCH(TODAY(),Table8[Date])+1)</definedName>
    <definedName name="PagesCumAll" comment="=INDIRECT(&quot;Pages!$C$2:$C$&quot;&amp;MATCH(TODAY(),Table8[Date])+1)">INDIRECT("Pages!$C$2:$C$"&amp;MATCH(TODAY(),Table8[Date])+1)</definedName>
    <definedName name="PagesDate2023">Pages!$A$2:$A$82</definedName>
    <definedName name="PagesDate2024">Pages!$A$83:$A$448</definedName>
    <definedName name="PagesDate2025">Pages!$A$449:$A$813</definedName>
    <definedName name="PagesDate2026" comment="=INDIRECT(&quot;Pages!$A$814:$A$&quot;&amp;MATCH(TODAY(),Table8[Date])+1)">INDIRECT("Pages!$A$814:$A$"&amp;MATCH(TODAY(),Table8[Date])+1)</definedName>
    <definedName name="PagesDateAll" comment="=INDIRECT(&quot;Pages!$A$2:$A$&quot;&amp;MATCH(TODAY(),Table8[Date])+1)">INDIRECT("Pages!$A$2:$A$"&amp;MATCH(TODAY(),Table8[Date])+1)</definedName>
    <definedName name="PagesDayTotal2023">Pages!$B$2:$B$82</definedName>
    <definedName name="PagesDayTotal2024">Pages!$B$83:$B$448</definedName>
    <definedName name="PagesDayTotal2025">Pages!$B$449:$B$813</definedName>
    <definedName name="PagesDayTotal2026" comment="=INDIRECT(&quot;Pages!$B$814:$B$&quot;&amp;MATCH(TODAY(),Table8[Date])+1)">INDIRECT("Pages!$B$814:$B$"&amp;MATCH(TODAY(),Table8[Date])+1)</definedName>
    <definedName name="PagesDayTotalAll" comment="=INDIRECT(&quot;Pages!$B$2:$B$&quot;&amp;MATCH(TODAY(),Table8[Date])+1)">INDIRECT("Pages!$B$2:$B$"&amp;MATCH(TODAY(),Table8[Date])+1)</definedName>
    <definedName name="PagesHistogram" comment="=FILTER(Table8[Day Total],(Table8[Date]&lt;TODAY()+1)*(Table8[Day Total]&gt;0))">_xlfn._xlws.FILTER(Table8[Day Total],(Table8[Date]&lt;TODAY()+1)*(Table8[Day Total]&gt;0))</definedName>
    <definedName name="PagesMax2023" comment="=INDIRECT(&quot;Pages!$E$2:$E$&quot;&amp;MATCH(TODAY(),Table8[Date])+1)">INDIRECT("Pages!$E$2:$E$"&amp;MATCH(TODAY(),Table8[Date])+1)</definedName>
    <definedName name="PagesMax2024" comment="=INDIRECT(&quot;Pages!$G$2:$G$&quot;&amp;MATCH(TODAY(),Table8[Date])+1)">INDIRECT("Pages!$G$2:$G$"&amp;MATCH(TODAY(),Table8[Date])+1)</definedName>
    <definedName name="PagesMax2025" comment="=INDIRECT(&quot;Pages!$I$2:$I$&quot;&amp;MATCH(TODAY(),Table8[Date])+1)">INDIRECT("Pages!$I$2:$I$"&amp;MATCH(TODAY(),Table8[Date])+1)</definedName>
    <definedName name="PagesMax2026" comment="=INDIRECT(&quot;Pages!$K$2:$K$&quot;&amp;MATCH(TODAY(),Table8[Date])+1)">INDIRECT("Pages!$K$2:$K$"&amp;MATCH(TODAY(),Table8[Date])+1)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1" i="20" l="1"/>
  <c r="AA111" i="20"/>
  <c r="AC111" i="20"/>
  <c r="AB109" i="20"/>
  <c r="W110" i="20"/>
  <c r="AA110" i="20"/>
  <c r="AC110" i="20" s="1"/>
  <c r="W55" i="20"/>
  <c r="AA55" i="20"/>
  <c r="AC55" i="20"/>
  <c r="W54" i="20"/>
  <c r="AA54" i="20"/>
  <c r="AC54" i="20"/>
  <c r="W53" i="20"/>
  <c r="AA53" i="20"/>
  <c r="AC53" i="20"/>
  <c r="W52" i="20"/>
  <c r="AA52" i="20"/>
  <c r="AC52" i="20"/>
  <c r="W51" i="20"/>
  <c r="AA51" i="20"/>
  <c r="AC51" i="20"/>
  <c r="W50" i="20"/>
  <c r="AA50" i="20"/>
  <c r="AC50" i="20"/>
  <c r="W49" i="20"/>
  <c r="AA49" i="20"/>
  <c r="AC49" i="20"/>
  <c r="W103" i="20"/>
  <c r="AA103" i="20"/>
  <c r="AC103" i="20"/>
  <c r="W101" i="20"/>
  <c r="AA101" i="20"/>
  <c r="AC101" i="20"/>
  <c r="W100" i="20"/>
  <c r="AA100" i="20"/>
  <c r="AC100" i="20"/>
  <c r="W99" i="20"/>
  <c r="AA99" i="20"/>
  <c r="AC99" i="20"/>
  <c r="W98" i="20"/>
  <c r="AA98" i="20"/>
  <c r="AC98" i="20"/>
  <c r="W97" i="20"/>
  <c r="AA97" i="20"/>
  <c r="AC97" i="20"/>
  <c r="W96" i="20"/>
  <c r="AA96" i="20"/>
  <c r="AC96" i="20"/>
  <c r="W93" i="20"/>
  <c r="AA93" i="20"/>
  <c r="AC93" i="20"/>
  <c r="W92" i="20"/>
  <c r="AA92" i="20"/>
  <c r="AC92" i="20"/>
  <c r="W91" i="20"/>
  <c r="AA91" i="20"/>
  <c r="AC91" i="20"/>
  <c r="W90" i="20"/>
  <c r="AA90" i="20"/>
  <c r="AC90" i="20"/>
  <c r="W89" i="20"/>
  <c r="AA89" i="20"/>
  <c r="AC89" i="20"/>
  <c r="W88" i="20"/>
  <c r="AA88" i="20"/>
  <c r="AC88" i="20"/>
  <c r="AC87" i="20"/>
  <c r="AC86" i="20"/>
  <c r="AC85" i="20"/>
  <c r="AC84" i="20"/>
  <c r="AC83" i="20"/>
  <c r="AC82" i="20"/>
  <c r="AC81" i="20"/>
  <c r="AC80" i="20"/>
  <c r="AC79" i="20"/>
  <c r="AC78" i="20"/>
  <c r="AC77" i="20"/>
  <c r="AC76" i="20"/>
  <c r="AC75" i="20"/>
  <c r="AC74" i="20"/>
  <c r="AC73" i="20"/>
  <c r="AC72" i="20"/>
  <c r="AC71" i="20"/>
  <c r="AC70" i="20"/>
  <c r="AC69" i="20"/>
  <c r="AC68" i="20"/>
  <c r="AC67" i="20"/>
  <c r="AC66" i="20"/>
  <c r="AC65" i="20"/>
  <c r="AC64" i="20"/>
  <c r="AC63" i="20"/>
  <c r="AC62" i="20"/>
  <c r="AC61" i="20"/>
  <c r="AC60" i="20"/>
  <c r="AC59" i="20"/>
  <c r="W87" i="20"/>
  <c r="AA87" i="20"/>
  <c r="W86" i="20"/>
  <c r="AA86" i="20"/>
  <c r="W85" i="20"/>
  <c r="AA85" i="20"/>
  <c r="W84" i="20"/>
  <c r="AA84" i="20"/>
  <c r="W83" i="20"/>
  <c r="AA83" i="20"/>
  <c r="W82" i="20"/>
  <c r="AA82" i="20"/>
  <c r="W81" i="20"/>
  <c r="AA81" i="20"/>
  <c r="W80" i="20"/>
  <c r="AA80" i="20"/>
  <c r="W79" i="20"/>
  <c r="AA79" i="20"/>
  <c r="W78" i="20"/>
  <c r="AA78" i="20"/>
  <c r="W77" i="20"/>
  <c r="AA77" i="20"/>
  <c r="W76" i="20"/>
  <c r="AA76" i="20"/>
  <c r="W75" i="20"/>
  <c r="AA75" i="20"/>
  <c r="W74" i="20"/>
  <c r="AA74" i="20"/>
  <c r="W73" i="20"/>
  <c r="AA73" i="20"/>
  <c r="W72" i="20"/>
  <c r="AA72" i="20"/>
  <c r="W71" i="20"/>
  <c r="AA71" i="20"/>
  <c r="W70" i="20"/>
  <c r="AA70" i="20"/>
  <c r="W69" i="20"/>
  <c r="AA69" i="20"/>
  <c r="W68" i="20"/>
  <c r="AA68" i="20"/>
  <c r="W67" i="20"/>
  <c r="AA67" i="20"/>
  <c r="W66" i="20"/>
  <c r="AA66" i="20"/>
  <c r="W65" i="20"/>
  <c r="AA65" i="20"/>
  <c r="W64" i="20"/>
  <c r="AA64" i="20"/>
  <c r="W63" i="20"/>
  <c r="AA63" i="20"/>
  <c r="W62" i="20"/>
  <c r="AA62" i="20"/>
  <c r="W61" i="20"/>
  <c r="AA61" i="20"/>
  <c r="W60" i="20"/>
  <c r="AA60" i="20"/>
  <c r="W109" i="20" l="1"/>
  <c r="AA109" i="20"/>
  <c r="AC109" i="20" s="1"/>
  <c r="AF12" i="20" l="1"/>
  <c r="AO33" i="20"/>
  <c r="AO34" i="20"/>
  <c r="AO35" i="20"/>
  <c r="AO36" i="20"/>
  <c r="AO37" i="20"/>
  <c r="AO38" i="20"/>
  <c r="AO39" i="20"/>
  <c r="AO40" i="20"/>
  <c r="AO41" i="20"/>
  <c r="AO42" i="20"/>
  <c r="AO43" i="20"/>
  <c r="AO44" i="20"/>
  <c r="AO45" i="20"/>
  <c r="AO46" i="20"/>
  <c r="AO47" i="20"/>
  <c r="AO48" i="20"/>
  <c r="AO49" i="20"/>
  <c r="AO50" i="20"/>
  <c r="AO51" i="20"/>
  <c r="AO52" i="20"/>
  <c r="AO53" i="20"/>
  <c r="AO54" i="20"/>
  <c r="AO55" i="20"/>
  <c r="AO56" i="20"/>
  <c r="AO57" i="20"/>
  <c r="AO58" i="20"/>
  <c r="AO59" i="20"/>
  <c r="AO60" i="20"/>
  <c r="AO61" i="20"/>
  <c r="AO62" i="20"/>
  <c r="AO63" i="20"/>
  <c r="AO64" i="20"/>
  <c r="AO65" i="20"/>
  <c r="AO66" i="20"/>
  <c r="AO67" i="20"/>
  <c r="AO68" i="20"/>
  <c r="AO69" i="20"/>
  <c r="AO70" i="20"/>
  <c r="AO71" i="20"/>
  <c r="AO72" i="20"/>
  <c r="AO73" i="20"/>
  <c r="AO74" i="20"/>
  <c r="AO75" i="20"/>
  <c r="AO76" i="20"/>
  <c r="AO77" i="20"/>
  <c r="AO78" i="20"/>
  <c r="AO79" i="20"/>
  <c r="AO80" i="20"/>
  <c r="AO81" i="20"/>
  <c r="AO82" i="20"/>
  <c r="AO83" i="20"/>
  <c r="AO84" i="20"/>
  <c r="AO85" i="20"/>
  <c r="AO86" i="20"/>
  <c r="AO87" i="20"/>
  <c r="AO88" i="20"/>
  <c r="AO89" i="20"/>
  <c r="AO90" i="20"/>
  <c r="AO91" i="20"/>
  <c r="AO92" i="20"/>
  <c r="AO93" i="20"/>
  <c r="AO94" i="20"/>
  <c r="AO95" i="20"/>
  <c r="AO96" i="20"/>
  <c r="AO97" i="20"/>
  <c r="AO98" i="20"/>
  <c r="AO99" i="20"/>
  <c r="AO100" i="20"/>
  <c r="AO101" i="20"/>
  <c r="AO102" i="20"/>
  <c r="AO103" i="20"/>
  <c r="AO104" i="20"/>
  <c r="AO105" i="20"/>
  <c r="AO106" i="20"/>
  <c r="AO107" i="20"/>
  <c r="AO108" i="20"/>
  <c r="AO109" i="20"/>
  <c r="AO110" i="20"/>
  <c r="AO111" i="20"/>
  <c r="AO112" i="20"/>
  <c r="AO113" i="20"/>
  <c r="AO114" i="20"/>
  <c r="AO115" i="20"/>
  <c r="AO116" i="20"/>
  <c r="AO117" i="20"/>
  <c r="AO118" i="20"/>
  <c r="AO119" i="20"/>
  <c r="AO120" i="20"/>
  <c r="AO121" i="20"/>
  <c r="AO122" i="20"/>
  <c r="AO123" i="20"/>
  <c r="AO124" i="20"/>
  <c r="AO125" i="20"/>
  <c r="AO126" i="20"/>
  <c r="AO127" i="20"/>
  <c r="AO128" i="20"/>
  <c r="AO129" i="20"/>
  <c r="AO130" i="20"/>
  <c r="AO131" i="20"/>
  <c r="AO132" i="20"/>
  <c r="AO133" i="20"/>
  <c r="AO134" i="20"/>
  <c r="AO135" i="20"/>
  <c r="AO136" i="20"/>
  <c r="AO137" i="20"/>
  <c r="AO138" i="20"/>
  <c r="AO139" i="20"/>
  <c r="AO140" i="20"/>
  <c r="AO141" i="20"/>
  <c r="AO142" i="20"/>
  <c r="AO143" i="20"/>
  <c r="AO144" i="20"/>
  <c r="AO145" i="20"/>
  <c r="AO146" i="20"/>
  <c r="AO147" i="20"/>
  <c r="AO148" i="20"/>
  <c r="AO149" i="20"/>
  <c r="AO150" i="20"/>
  <c r="AO151" i="20"/>
  <c r="AO152" i="20"/>
  <c r="AO153" i="20"/>
  <c r="AO154" i="20"/>
  <c r="AO155" i="20"/>
  <c r="AO156" i="20"/>
  <c r="AO157" i="20"/>
  <c r="AO158" i="20"/>
  <c r="AO159" i="20"/>
  <c r="AO160" i="20"/>
  <c r="AO161" i="20"/>
  <c r="AO162" i="20"/>
  <c r="AO163" i="20"/>
  <c r="AO164" i="20"/>
  <c r="AO165" i="20"/>
  <c r="AO166" i="20"/>
  <c r="AO167" i="20"/>
  <c r="AO168" i="20"/>
  <c r="AO169" i="20"/>
  <c r="AO170" i="20"/>
  <c r="AO171" i="20"/>
  <c r="AO172" i="20"/>
  <c r="AO173" i="20"/>
  <c r="AO174" i="20"/>
  <c r="AO175" i="20"/>
  <c r="AO176" i="20"/>
  <c r="AO177" i="20"/>
  <c r="AO178" i="20"/>
  <c r="AO179" i="20"/>
  <c r="AO180" i="20"/>
  <c r="AO181" i="20"/>
  <c r="AO182" i="20"/>
  <c r="AO183" i="20"/>
  <c r="AO184" i="20"/>
  <c r="AO185" i="20"/>
  <c r="AO186" i="20"/>
  <c r="AO187" i="20"/>
  <c r="AO188" i="20"/>
  <c r="AO189" i="20"/>
  <c r="AO190" i="20"/>
  <c r="AO191" i="20"/>
  <c r="AO192" i="20"/>
  <c r="AO193" i="20"/>
  <c r="AO194" i="20"/>
  <c r="AO195" i="20"/>
  <c r="AO196" i="20"/>
  <c r="AO197" i="20"/>
  <c r="AO198" i="20"/>
  <c r="AO199" i="20"/>
  <c r="AO200" i="20"/>
  <c r="AO201" i="20"/>
  <c r="AO202" i="20"/>
  <c r="AO203" i="20"/>
  <c r="AO204" i="20"/>
  <c r="AO205" i="20"/>
  <c r="AO206" i="20"/>
  <c r="AO207" i="20"/>
  <c r="AO208" i="20"/>
  <c r="AO209" i="20"/>
  <c r="AO210" i="20"/>
  <c r="AO211" i="20"/>
  <c r="AO212" i="20"/>
  <c r="AO213" i="20"/>
  <c r="AO214" i="20"/>
  <c r="AO215" i="20"/>
  <c r="AO216" i="20"/>
  <c r="AO217" i="20"/>
  <c r="AO218" i="20"/>
  <c r="AO219" i="20"/>
  <c r="AO220" i="20"/>
  <c r="AO221" i="20"/>
  <c r="AO222" i="20"/>
  <c r="AO223" i="20"/>
  <c r="AO224" i="20"/>
  <c r="AO225" i="20"/>
  <c r="AO226" i="20"/>
  <c r="AO227" i="20"/>
  <c r="AO228" i="20"/>
  <c r="AO229" i="20"/>
  <c r="AO230" i="20"/>
  <c r="AO231" i="20"/>
  <c r="AO232" i="20"/>
  <c r="AO233" i="20"/>
  <c r="AO234" i="20"/>
  <c r="AO235" i="20"/>
  <c r="AO236" i="20"/>
  <c r="AO237" i="20"/>
  <c r="AO238" i="20"/>
  <c r="AO239" i="20"/>
  <c r="AO240" i="20"/>
  <c r="AO241" i="20"/>
  <c r="AO242" i="20"/>
  <c r="AO243" i="20"/>
  <c r="AO244" i="20"/>
  <c r="AO245" i="20"/>
  <c r="AO246" i="20"/>
  <c r="AO247" i="20"/>
  <c r="AO248" i="20"/>
  <c r="AO249" i="20"/>
  <c r="AO250" i="20"/>
  <c r="AO251" i="20"/>
  <c r="AO252" i="20"/>
  <c r="AO253" i="20"/>
  <c r="AO254" i="20"/>
  <c r="AO255" i="20"/>
  <c r="AO256" i="20"/>
  <c r="AO257" i="20"/>
  <c r="AO258" i="20"/>
  <c r="AO259" i="20"/>
  <c r="AO260" i="20"/>
  <c r="AO261" i="20"/>
  <c r="AO262" i="20"/>
  <c r="AO263" i="20"/>
  <c r="AO264" i="20"/>
  <c r="AO265" i="20"/>
  <c r="AO266" i="20"/>
  <c r="AO267" i="20"/>
  <c r="AO268" i="20"/>
  <c r="AO269" i="20"/>
  <c r="AO270" i="20"/>
  <c r="AO271" i="20"/>
  <c r="AO272" i="20"/>
  <c r="AO273" i="20"/>
  <c r="AO274" i="20"/>
  <c r="AO275" i="20"/>
  <c r="AO276" i="20"/>
  <c r="AO277" i="20"/>
  <c r="AO278" i="20"/>
  <c r="AO279" i="20"/>
  <c r="AO280" i="20"/>
  <c r="AO281" i="20"/>
  <c r="AO282" i="20"/>
  <c r="AO283" i="20"/>
  <c r="AO284" i="20"/>
  <c r="AO285" i="20"/>
  <c r="AO286" i="20"/>
  <c r="AO287" i="20"/>
  <c r="AO288" i="20"/>
  <c r="AO289" i="20"/>
  <c r="AO290" i="20"/>
  <c r="AO291" i="20"/>
  <c r="AO292" i="20"/>
  <c r="AO293" i="20"/>
  <c r="AO294" i="20"/>
  <c r="AO295" i="20"/>
  <c r="AO296" i="20"/>
  <c r="AO297" i="20"/>
  <c r="AO298" i="20"/>
  <c r="AO299" i="20"/>
  <c r="AO300" i="20"/>
  <c r="AO301" i="20"/>
  <c r="AO302" i="20"/>
  <c r="AO303" i="20"/>
  <c r="AO304" i="20"/>
  <c r="AO305" i="20"/>
  <c r="AO306" i="20"/>
  <c r="AO307" i="20"/>
  <c r="AO308" i="20"/>
  <c r="AO309" i="20"/>
  <c r="AO310" i="20"/>
  <c r="AO311" i="20"/>
  <c r="AO312" i="20"/>
  <c r="AO313" i="20"/>
  <c r="AO314" i="20"/>
  <c r="AO315" i="20"/>
  <c r="AO316" i="20"/>
  <c r="AO317" i="20"/>
  <c r="AO318" i="20"/>
  <c r="AO319" i="20"/>
  <c r="AO320" i="20"/>
  <c r="AO321" i="20"/>
  <c r="AO322" i="20"/>
  <c r="AO323" i="20"/>
  <c r="AO324" i="20"/>
  <c r="AO325" i="20"/>
  <c r="AO326" i="20"/>
  <c r="AO327" i="20"/>
  <c r="AO328" i="20"/>
  <c r="AO329" i="20"/>
  <c r="AO330" i="20"/>
  <c r="AO331" i="20"/>
  <c r="AO332" i="20"/>
  <c r="AO333" i="20"/>
  <c r="AO334" i="20"/>
  <c r="AO335" i="20"/>
  <c r="AO336" i="20"/>
  <c r="AO337" i="20"/>
  <c r="AO338" i="20"/>
  <c r="AO339" i="20"/>
  <c r="AO340" i="20"/>
  <c r="AO341" i="20"/>
  <c r="AO342" i="20"/>
  <c r="AO343" i="20"/>
  <c r="AO344" i="20"/>
  <c r="AO345" i="20"/>
  <c r="AO346" i="20"/>
  <c r="AO347" i="20"/>
  <c r="AO348" i="20"/>
  <c r="AO349" i="20"/>
  <c r="AO350" i="20"/>
  <c r="AO351" i="20"/>
  <c r="AO352" i="20"/>
  <c r="AO353" i="20"/>
  <c r="AO354" i="20"/>
  <c r="AO355" i="20"/>
  <c r="AO356" i="20"/>
  <c r="AO357" i="20"/>
  <c r="AO358" i="20"/>
  <c r="AO359" i="20"/>
  <c r="AO360" i="20"/>
  <c r="AO361" i="20"/>
  <c r="AO362" i="20"/>
  <c r="AO363" i="20"/>
  <c r="AO364" i="20"/>
  <c r="AO365" i="20"/>
  <c r="AO366" i="20"/>
  <c r="AO367" i="20"/>
  <c r="AO3" i="20"/>
  <c r="AO4" i="20"/>
  <c r="AO5" i="20"/>
  <c r="AO6" i="20"/>
  <c r="AO7" i="20"/>
  <c r="AO8" i="20"/>
  <c r="AO9" i="20"/>
  <c r="AO10" i="20"/>
  <c r="AO11" i="20"/>
  <c r="AO12" i="20"/>
  <c r="AO13" i="20"/>
  <c r="AO14" i="20"/>
  <c r="AO15" i="20"/>
  <c r="AO16" i="20"/>
  <c r="AO17" i="20"/>
  <c r="AO18" i="20"/>
  <c r="AO19" i="20"/>
  <c r="AO20" i="20"/>
  <c r="AO21" i="20"/>
  <c r="AO22" i="20"/>
  <c r="AO23" i="20"/>
  <c r="AO24" i="20"/>
  <c r="AO25" i="20"/>
  <c r="AO26" i="20"/>
  <c r="AO27" i="20"/>
  <c r="AO28" i="20"/>
  <c r="AO29" i="20"/>
  <c r="AO30" i="20"/>
  <c r="AO31" i="20"/>
  <c r="AO32" i="20"/>
  <c r="AO2" i="20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AV69" i="20" s="1" a="1"/>
  <c r="AV69" i="20" s="1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AV85" i="20" s="1" a="1"/>
  <c r="AV85" i="20" s="1"/>
  <c r="B897" i="12"/>
  <c r="B898" i="12"/>
  <c r="B899" i="12"/>
  <c r="B900" i="12"/>
  <c r="B901" i="12"/>
  <c r="B902" i="12"/>
  <c r="B903" i="12"/>
  <c r="B904" i="12"/>
  <c r="B905" i="12"/>
  <c r="AV94" i="20" s="1" a="1"/>
  <c r="AV94" i="20" s="1"/>
  <c r="B906" i="12"/>
  <c r="B907" i="12"/>
  <c r="B908" i="12"/>
  <c r="B909" i="12"/>
  <c r="B910" i="12"/>
  <c r="B911" i="12"/>
  <c r="B912" i="12"/>
  <c r="AV101" i="20" s="1" a="1"/>
  <c r="AV101" i="20" s="1"/>
  <c r="B913" i="12"/>
  <c r="B914" i="12"/>
  <c r="B915" i="12"/>
  <c r="B916" i="12"/>
  <c r="B917" i="12"/>
  <c r="B918" i="12"/>
  <c r="B919" i="12"/>
  <c r="B920" i="12"/>
  <c r="B921" i="12"/>
  <c r="AV110" i="20" s="1" a="1"/>
  <c r="AV110" i="20" s="1"/>
  <c r="B922" i="12"/>
  <c r="B923" i="12"/>
  <c r="B924" i="12"/>
  <c r="B925" i="12"/>
  <c r="B926" i="12"/>
  <c r="B927" i="12"/>
  <c r="B928" i="12"/>
  <c r="AV117" i="20" s="1" a="1"/>
  <c r="AV117" i="20" s="1"/>
  <c r="B929" i="12"/>
  <c r="B930" i="12"/>
  <c r="B931" i="12"/>
  <c r="B932" i="12"/>
  <c r="B933" i="12"/>
  <c r="B934" i="12"/>
  <c r="B935" i="12"/>
  <c r="B936" i="12"/>
  <c r="B937" i="12"/>
  <c r="B938" i="12"/>
  <c r="AV127" i="20" s="1" a="1"/>
  <c r="AV127" i="20" s="1"/>
  <c r="B939" i="12"/>
  <c r="B940" i="12"/>
  <c r="B941" i="12"/>
  <c r="B942" i="12"/>
  <c r="B943" i="12"/>
  <c r="B944" i="12"/>
  <c r="AV133" i="20" s="1" a="1"/>
  <c r="AV133" i="20" s="1"/>
  <c r="B945" i="12"/>
  <c r="B946" i="12"/>
  <c r="AV135" i="20" s="1" a="1"/>
  <c r="AV135" i="20" s="1"/>
  <c r="B947" i="12"/>
  <c r="B948" i="12"/>
  <c r="B949" i="12"/>
  <c r="B950" i="12"/>
  <c r="B951" i="12"/>
  <c r="B952" i="12"/>
  <c r="B953" i="12"/>
  <c r="B954" i="12"/>
  <c r="AV143" i="20" s="1" a="1"/>
  <c r="AV143" i="20" s="1"/>
  <c r="B955" i="12"/>
  <c r="B956" i="12"/>
  <c r="B957" i="12"/>
  <c r="B958" i="12"/>
  <c r="B959" i="12"/>
  <c r="B960" i="12"/>
  <c r="AV149" i="20" s="1" a="1"/>
  <c r="AV149" i="20" s="1"/>
  <c r="B961" i="12"/>
  <c r="B962" i="12"/>
  <c r="B963" i="12"/>
  <c r="B964" i="12"/>
  <c r="B965" i="12"/>
  <c r="B966" i="12"/>
  <c r="B967" i="12"/>
  <c r="B968" i="12"/>
  <c r="B969" i="12"/>
  <c r="AV158" i="20" s="1" a="1"/>
  <c r="AV158" i="20" s="1"/>
  <c r="B970" i="12"/>
  <c r="AV159" i="20" s="1" a="1"/>
  <c r="AV159" i="20" s="1"/>
  <c r="B971" i="12"/>
  <c r="B972" i="12"/>
  <c r="B973" i="12"/>
  <c r="B974" i="12"/>
  <c r="B975" i="12"/>
  <c r="B976" i="12"/>
  <c r="AV165" i="20" s="1" a="1"/>
  <c r="AV165" i="20" s="1"/>
  <c r="B977" i="12"/>
  <c r="B978" i="12"/>
  <c r="B979" i="12"/>
  <c r="B980" i="12"/>
  <c r="B981" i="12"/>
  <c r="B982" i="12"/>
  <c r="B983" i="12"/>
  <c r="B984" i="12"/>
  <c r="B985" i="12"/>
  <c r="AV174" i="20" s="1" a="1"/>
  <c r="AV174" i="20" s="1"/>
  <c r="B986" i="12"/>
  <c r="AV175" i="20" s="1" a="1"/>
  <c r="AV175" i="20" s="1"/>
  <c r="B987" i="12"/>
  <c r="B988" i="12"/>
  <c r="B989" i="12"/>
  <c r="B990" i="12"/>
  <c r="B991" i="12"/>
  <c r="B992" i="12"/>
  <c r="AV181" i="20" s="1" a="1"/>
  <c r="AV181" i="20" s="1"/>
  <c r="B993" i="12"/>
  <c r="B994" i="12"/>
  <c r="AV183" i="20" s="1" a="1"/>
  <c r="AV183" i="20" s="1"/>
  <c r="B995" i="12"/>
  <c r="B996" i="12"/>
  <c r="B997" i="12"/>
  <c r="B998" i="12"/>
  <c r="B999" i="12"/>
  <c r="B1000" i="12"/>
  <c r="B1001" i="12"/>
  <c r="B1002" i="12"/>
  <c r="AV191" i="20" s="1" a="1"/>
  <c r="AV191" i="20" s="1"/>
  <c r="B1003" i="12"/>
  <c r="B1004" i="12"/>
  <c r="B1005" i="12"/>
  <c r="B1006" i="12"/>
  <c r="B1007" i="12"/>
  <c r="B1008" i="12"/>
  <c r="AV197" i="20" s="1" a="1"/>
  <c r="AV197" i="20" s="1"/>
  <c r="B1009" i="12"/>
  <c r="B1010" i="12"/>
  <c r="B1011" i="12"/>
  <c r="B1012" i="12"/>
  <c r="B1013" i="12"/>
  <c r="B1014" i="12"/>
  <c r="B1015" i="12"/>
  <c r="B1016" i="12"/>
  <c r="B1017" i="12"/>
  <c r="AV206" i="20" s="1" a="1"/>
  <c r="AV206" i="20" s="1"/>
  <c r="B1018" i="12"/>
  <c r="AV207" i="20" s="1" a="1"/>
  <c r="AV207" i="20" s="1"/>
  <c r="B1019" i="12"/>
  <c r="B1020" i="12"/>
  <c r="B1021" i="12"/>
  <c r="B1022" i="12"/>
  <c r="B1023" i="12"/>
  <c r="B1024" i="12"/>
  <c r="AV213" i="20" s="1" a="1"/>
  <c r="AV213" i="20" s="1"/>
  <c r="B1025" i="12"/>
  <c r="B1026" i="12"/>
  <c r="B1027" i="12"/>
  <c r="B1028" i="12"/>
  <c r="B1029" i="12"/>
  <c r="B1030" i="12"/>
  <c r="B1031" i="12"/>
  <c r="B1032" i="12"/>
  <c r="AV221" i="20" s="1" a="1"/>
  <c r="AV221" i="20" s="1"/>
  <c r="B1033" i="12"/>
  <c r="AV222" i="20" s="1" a="1"/>
  <c r="AV222" i="20" s="1"/>
  <c r="B1034" i="12"/>
  <c r="AV223" i="20" s="1" a="1"/>
  <c r="AV223" i="20" s="1"/>
  <c r="B1035" i="12"/>
  <c r="B1036" i="12"/>
  <c r="B1037" i="12"/>
  <c r="B1038" i="12"/>
  <c r="B1039" i="12"/>
  <c r="B1040" i="12"/>
  <c r="AV229" i="20" s="1" a="1"/>
  <c r="AV229" i="20" s="1"/>
  <c r="B1041" i="12"/>
  <c r="AV230" i="20" s="1" a="1"/>
  <c r="AV230" i="20" s="1"/>
  <c r="B1042" i="12"/>
  <c r="AV231" i="20" s="1" a="1"/>
  <c r="AV231" i="20" s="1"/>
  <c r="B1043" i="12"/>
  <c r="B1044" i="12"/>
  <c r="B1045" i="12"/>
  <c r="B1046" i="12"/>
  <c r="B1047" i="12"/>
  <c r="B1048" i="12"/>
  <c r="AV237" i="20" s="1" a="1"/>
  <c r="AV237" i="20" s="1"/>
  <c r="B1049" i="12"/>
  <c r="AV238" i="20" s="1" a="1"/>
  <c r="AV238" i="20" s="1"/>
  <c r="B1050" i="12"/>
  <c r="AV239" i="20" s="1" a="1"/>
  <c r="AV239" i="20" s="1"/>
  <c r="B1051" i="12"/>
  <c r="B1052" i="12"/>
  <c r="B1053" i="12"/>
  <c r="B1054" i="12"/>
  <c r="AV243" i="20" s="1" a="1"/>
  <c r="AV243" i="20" s="1"/>
  <c r="B1055" i="12"/>
  <c r="B1056" i="12"/>
  <c r="AV245" i="20" s="1" a="1"/>
  <c r="AV245" i="20" s="1"/>
  <c r="B1057" i="12"/>
  <c r="B1058" i="12"/>
  <c r="AV247" i="20" s="1" a="1"/>
  <c r="AV247" i="20" s="1"/>
  <c r="B1059" i="12"/>
  <c r="B1060" i="12"/>
  <c r="B1061" i="12"/>
  <c r="B1062" i="12"/>
  <c r="AV251" i="20" s="1" a="1"/>
  <c r="AV251" i="20" s="1"/>
  <c r="B1063" i="12"/>
  <c r="AV252" i="20" s="1" a="1"/>
  <c r="AV252" i="20" s="1"/>
  <c r="B1064" i="12"/>
  <c r="AV253" i="20" s="1" a="1"/>
  <c r="AV253" i="20" s="1"/>
  <c r="B1065" i="12"/>
  <c r="AV254" i="20" s="1" a="1"/>
  <c r="AV254" i="20" s="1"/>
  <c r="B1066" i="12"/>
  <c r="B1067" i="12"/>
  <c r="B1068" i="12"/>
  <c r="B1069" i="12"/>
  <c r="B1070" i="12"/>
  <c r="B1071" i="12"/>
  <c r="B1072" i="12"/>
  <c r="AV261" i="20" s="1" a="1"/>
  <c r="AV261" i="20" s="1"/>
  <c r="B1073" i="12"/>
  <c r="AV262" i="20" s="1" a="1"/>
  <c r="AV262" i="20" s="1"/>
  <c r="B1074" i="12"/>
  <c r="AV263" i="20" s="1" a="1"/>
  <c r="AV263" i="20" s="1"/>
  <c r="B1075" i="12"/>
  <c r="B1076" i="12"/>
  <c r="B1077" i="12"/>
  <c r="B1078" i="12"/>
  <c r="AV267" i="20" s="1" a="1"/>
  <c r="AV267" i="20" s="1"/>
  <c r="B1079" i="12"/>
  <c r="AV268" i="20" s="1" a="1"/>
  <c r="AV268" i="20" s="1"/>
  <c r="B1080" i="12"/>
  <c r="AV269" i="20" s="1" a="1"/>
  <c r="AV269" i="20" s="1"/>
  <c r="B1081" i="12"/>
  <c r="AV270" i="20" s="1" a="1"/>
  <c r="AV270" i="20" s="1"/>
  <c r="B1082" i="12"/>
  <c r="AV271" i="20" s="1" a="1"/>
  <c r="AV271" i="20" s="1"/>
  <c r="B1083" i="12"/>
  <c r="B1084" i="12"/>
  <c r="B1085" i="12"/>
  <c r="B1086" i="12"/>
  <c r="AV275" i="20" s="1" a="1"/>
  <c r="AV275" i="20" s="1"/>
  <c r="B1087" i="12"/>
  <c r="AV276" i="20" s="1" a="1"/>
  <c r="AV276" i="20" s="1"/>
  <c r="B1088" i="12"/>
  <c r="AV277" i="20" s="1" a="1"/>
  <c r="AV277" i="20" s="1"/>
  <c r="B1089" i="12"/>
  <c r="AV278" i="20" s="1" a="1"/>
  <c r="AV278" i="20" s="1"/>
  <c r="B1090" i="12"/>
  <c r="AV279" i="20" s="1" a="1"/>
  <c r="AV279" i="20" s="1"/>
  <c r="B1091" i="12"/>
  <c r="B1092" i="12"/>
  <c r="B1093" i="12"/>
  <c r="AV282" i="20" s="1" a="1"/>
  <c r="AV282" i="20" s="1"/>
  <c r="B1094" i="12"/>
  <c r="AV283" i="20" s="1" a="1"/>
  <c r="AV283" i="20" s="1"/>
  <c r="B1095" i="12"/>
  <c r="AV284" i="20" s="1" a="1"/>
  <c r="AV284" i="20" s="1"/>
  <c r="B1096" i="12"/>
  <c r="AV285" i="20" s="1" a="1"/>
  <c r="AV285" i="20" s="1"/>
  <c r="B1097" i="12"/>
  <c r="AV286" i="20" s="1" a="1"/>
  <c r="AV286" i="20" s="1"/>
  <c r="B1098" i="12"/>
  <c r="AV287" i="20" s="1" a="1"/>
  <c r="AV287" i="20" s="1"/>
  <c r="B1099" i="12"/>
  <c r="B1100" i="12"/>
  <c r="B1101" i="12"/>
  <c r="B1102" i="12"/>
  <c r="AV291" i="20" s="1" a="1"/>
  <c r="AV291" i="20" s="1"/>
  <c r="B1103" i="12"/>
  <c r="AV292" i="20" s="1" a="1"/>
  <c r="AV292" i="20" s="1"/>
  <c r="B1104" i="12"/>
  <c r="AV293" i="20" s="1" a="1"/>
  <c r="AV293" i="20" s="1"/>
  <c r="B1105" i="12"/>
  <c r="AV294" i="20" s="1" a="1"/>
  <c r="AV294" i="20" s="1"/>
  <c r="B1106" i="12"/>
  <c r="AV295" i="20" s="1" a="1"/>
  <c r="AV295" i="20" s="1"/>
  <c r="B1107" i="12"/>
  <c r="B1108" i="12"/>
  <c r="B1109" i="12"/>
  <c r="AV298" i="20" s="1" a="1"/>
  <c r="AV298" i="20" s="1"/>
  <c r="B1110" i="12"/>
  <c r="AV299" i="20" s="1" a="1"/>
  <c r="AV299" i="20" s="1"/>
  <c r="B1111" i="12"/>
  <c r="AV300" i="20" s="1" a="1"/>
  <c r="AV300" i="20" s="1"/>
  <c r="B1112" i="12"/>
  <c r="AV301" i="20" s="1" a="1"/>
  <c r="AV301" i="20" s="1"/>
  <c r="B1113" i="12"/>
  <c r="AV302" i="20" s="1" a="1"/>
  <c r="AV302" i="20" s="1"/>
  <c r="B1114" i="12"/>
  <c r="AV303" i="20" s="1" a="1"/>
  <c r="AV303" i="20" s="1"/>
  <c r="B1115" i="12"/>
  <c r="B1116" i="12"/>
  <c r="B1117" i="12"/>
  <c r="B1118" i="12"/>
  <c r="AV307" i="20" s="1" a="1"/>
  <c r="AV307" i="20" s="1"/>
  <c r="B1119" i="12"/>
  <c r="AV308" i="20" s="1" a="1"/>
  <c r="AV308" i="20" s="1"/>
  <c r="B1120" i="12"/>
  <c r="AV309" i="20" s="1" a="1"/>
  <c r="AV309" i="20" s="1"/>
  <c r="B1121" i="12"/>
  <c r="AV310" i="20" s="1" a="1"/>
  <c r="AV310" i="20" s="1"/>
  <c r="B1122" i="12"/>
  <c r="AV311" i="20" s="1" a="1"/>
  <c r="AV311" i="20" s="1"/>
  <c r="B1123" i="12"/>
  <c r="B1124" i="12"/>
  <c r="B1125" i="12"/>
  <c r="AV314" i="20" s="1" a="1"/>
  <c r="AV314" i="20" s="1"/>
  <c r="B1126" i="12"/>
  <c r="AV315" i="20" s="1" a="1"/>
  <c r="AV315" i="20" s="1"/>
  <c r="B1127" i="12"/>
  <c r="B1128" i="12"/>
  <c r="AV317" i="20" s="1" a="1"/>
  <c r="AV317" i="20" s="1"/>
  <c r="B1129" i="12"/>
  <c r="AV318" i="20" s="1" a="1"/>
  <c r="AV318" i="20" s="1"/>
  <c r="B1130" i="12"/>
  <c r="AV319" i="20" s="1" a="1"/>
  <c r="AV319" i="20" s="1"/>
  <c r="B1131" i="12"/>
  <c r="B1132" i="12"/>
  <c r="B1133" i="12"/>
  <c r="B1134" i="12"/>
  <c r="AV323" i="20" s="1" a="1"/>
  <c r="AV323" i="20" s="1"/>
  <c r="B1135" i="12"/>
  <c r="AV324" i="20" s="1" a="1"/>
  <c r="AV324" i="20" s="1"/>
  <c r="B1136" i="12"/>
  <c r="AV325" i="20" s="1" a="1"/>
  <c r="AV325" i="20" s="1"/>
  <c r="B1137" i="12"/>
  <c r="AV326" i="20" s="1" a="1"/>
  <c r="AV326" i="20" s="1"/>
  <c r="B1138" i="12"/>
  <c r="AV327" i="20" s="1" a="1"/>
  <c r="AV327" i="20" s="1"/>
  <c r="B1139" i="12"/>
  <c r="B1140" i="12"/>
  <c r="B1141" i="12"/>
  <c r="AV330" i="20" s="1" a="1"/>
  <c r="AV330" i="20" s="1"/>
  <c r="B1142" i="12"/>
  <c r="AV331" i="20" s="1" a="1"/>
  <c r="AV331" i="20" s="1"/>
  <c r="B1143" i="12"/>
  <c r="B1144" i="12"/>
  <c r="AV333" i="20" s="1" a="1"/>
  <c r="AV333" i="20" s="1"/>
  <c r="B1145" i="12"/>
  <c r="AV334" i="20" s="1" a="1"/>
  <c r="AV334" i="20" s="1"/>
  <c r="B1146" i="12"/>
  <c r="AV335" i="20" s="1" a="1"/>
  <c r="AV335" i="20" s="1"/>
  <c r="B1147" i="12"/>
  <c r="B1148" i="12"/>
  <c r="B1149" i="12"/>
  <c r="B1150" i="12"/>
  <c r="AV339" i="20" s="1" a="1"/>
  <c r="AV339" i="20" s="1"/>
  <c r="B1151" i="12"/>
  <c r="AV340" i="20" s="1" a="1"/>
  <c r="AV340" i="20" s="1"/>
  <c r="B1152" i="12"/>
  <c r="AV341" i="20" s="1" a="1"/>
  <c r="AV341" i="20" s="1"/>
  <c r="B1153" i="12"/>
  <c r="AV342" i="20" s="1" a="1"/>
  <c r="AV342" i="20" s="1"/>
  <c r="B1154" i="12"/>
  <c r="AV343" i="20" s="1" a="1"/>
  <c r="AV343" i="20" s="1"/>
  <c r="B1155" i="12"/>
  <c r="B1156" i="12"/>
  <c r="B1157" i="12"/>
  <c r="AV346" i="20" s="1" a="1"/>
  <c r="AV346" i="20" s="1"/>
  <c r="B1158" i="12"/>
  <c r="AV347" i="20" s="1" a="1"/>
  <c r="AV347" i="20" s="1"/>
  <c r="B1159" i="12"/>
  <c r="B1160" i="12"/>
  <c r="AV349" i="20" s="1" a="1"/>
  <c r="AV349" i="20" s="1"/>
  <c r="B1161" i="12"/>
  <c r="AV350" i="20" s="1" a="1"/>
  <c r="AV350" i="20" s="1"/>
  <c r="B1162" i="12"/>
  <c r="AV351" i="20" s="1" a="1"/>
  <c r="AV351" i="20" s="1"/>
  <c r="B1163" i="12"/>
  <c r="B1164" i="12"/>
  <c r="B1165" i="12"/>
  <c r="B1166" i="12"/>
  <c r="AV355" i="20" s="1" a="1"/>
  <c r="AV355" i="20" s="1"/>
  <c r="B1167" i="12"/>
  <c r="AV356" i="20" s="1" a="1"/>
  <c r="AV356" i="20" s="1"/>
  <c r="B1168" i="12"/>
  <c r="AV357" i="20" s="1" a="1"/>
  <c r="AV357" i="20" s="1"/>
  <c r="B1169" i="12"/>
  <c r="AV358" i="20" s="1" a="1"/>
  <c r="AV358" i="20" s="1"/>
  <c r="B1170" i="12"/>
  <c r="AV359" i="20" s="1" a="1"/>
  <c r="AV359" i="20" s="1"/>
  <c r="B1171" i="12"/>
  <c r="B1172" i="12"/>
  <c r="B1173" i="12"/>
  <c r="AV362" i="20" s="1" a="1"/>
  <c r="AV362" i="20" s="1"/>
  <c r="B1174" i="12"/>
  <c r="AV363" i="20" s="1" a="1"/>
  <c r="AV363" i="20" s="1"/>
  <c r="B1175" i="12"/>
  <c r="AV364" i="20" s="1" a="1"/>
  <c r="AV364" i="20" s="1"/>
  <c r="B1176" i="12"/>
  <c r="AV365" i="20" s="1" a="1"/>
  <c r="AV365" i="20" s="1"/>
  <c r="B1177" i="12"/>
  <c r="AV366" i="20" s="1" a="1"/>
  <c r="AV366" i="20" s="1"/>
  <c r="B1178" i="12"/>
  <c r="AV367" i="20" s="1" a="1"/>
  <c r="AV367" i="20" s="1"/>
  <c r="AV260" i="20" a="1"/>
  <c r="AV260" i="20" s="1"/>
  <c r="AV288" i="20" a="1"/>
  <c r="AV288" i="20" s="1"/>
  <c r="AV289" i="20" a="1"/>
  <c r="AV289" i="20" s="1"/>
  <c r="AV290" i="20" a="1"/>
  <c r="AV290" i="20" s="1"/>
  <c r="AV296" i="20" a="1"/>
  <c r="AV296" i="20" s="1"/>
  <c r="AV304" i="20" a="1"/>
  <c r="AV304" i="20" s="1"/>
  <c r="AV305" i="20" a="1"/>
  <c r="AV305" i="20" s="1"/>
  <c r="AV306" i="20" a="1"/>
  <c r="AV306" i="20" s="1"/>
  <c r="AV312" i="20" a="1"/>
  <c r="AV312" i="20" s="1"/>
  <c r="AV313" i="20" a="1"/>
  <c r="AV313" i="20" s="1"/>
  <c r="AV316" i="20" a="1"/>
  <c r="AV316" i="20" s="1"/>
  <c r="AV320" i="20" a="1"/>
  <c r="AV320" i="20" s="1"/>
  <c r="AV321" i="20" a="1"/>
  <c r="AV321" i="20" s="1"/>
  <c r="AV322" i="20" a="1"/>
  <c r="AV322" i="20" s="1"/>
  <c r="AV328" i="20" a="1"/>
  <c r="AV328" i="20" s="1"/>
  <c r="AV329" i="20" a="1"/>
  <c r="AV329" i="20" s="1"/>
  <c r="AV336" i="20" a="1"/>
  <c r="AV336" i="20" s="1"/>
  <c r="AV337" i="20" a="1"/>
  <c r="AV337" i="20" s="1"/>
  <c r="AV338" i="20" a="1"/>
  <c r="AV338" i="20" s="1"/>
  <c r="AV344" i="20" a="1"/>
  <c r="AV344" i="20" s="1"/>
  <c r="AV345" i="20" a="1"/>
  <c r="AV345" i="20" s="1"/>
  <c r="AV348" i="20" a="1"/>
  <c r="AV348" i="20" s="1"/>
  <c r="AV352" i="20" a="1"/>
  <c r="AV352" i="20" s="1"/>
  <c r="AV353" i="20" a="1"/>
  <c r="AV353" i="20" s="1"/>
  <c r="AV354" i="20" a="1"/>
  <c r="AV354" i="20" s="1"/>
  <c r="AV360" i="20" a="1"/>
  <c r="AV360" i="20" s="1"/>
  <c r="AV361" i="20" a="1"/>
  <c r="AV361" i="20" s="1"/>
  <c r="AF11" i="20"/>
  <c r="J2" i="12"/>
  <c r="H2" i="12"/>
  <c r="H3" i="12" s="1"/>
  <c r="H4" i="12" s="1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H52" i="12" s="1"/>
  <c r="H53" i="12" s="1"/>
  <c r="H54" i="12" s="1"/>
  <c r="H55" i="12" s="1"/>
  <c r="H56" i="12" s="1"/>
  <c r="H57" i="12" s="1"/>
  <c r="H58" i="12" s="1"/>
  <c r="H59" i="12" s="1"/>
  <c r="H60" i="12" s="1"/>
  <c r="H61" i="12" s="1"/>
  <c r="H62" i="12" s="1"/>
  <c r="H63" i="12" s="1"/>
  <c r="H64" i="12" s="1"/>
  <c r="H65" i="12" s="1"/>
  <c r="H66" i="12" s="1"/>
  <c r="H67" i="12" s="1"/>
  <c r="H68" i="12" s="1"/>
  <c r="H69" i="12" s="1"/>
  <c r="H70" i="12" s="1"/>
  <c r="H71" i="12" s="1"/>
  <c r="H72" i="12" s="1"/>
  <c r="H73" i="12" s="1"/>
  <c r="H74" i="12" s="1"/>
  <c r="H75" i="12" s="1"/>
  <c r="H76" i="12" s="1"/>
  <c r="H77" i="12" s="1"/>
  <c r="H78" i="12" s="1"/>
  <c r="H79" i="12" s="1"/>
  <c r="H80" i="12" s="1"/>
  <c r="H81" i="12" s="1"/>
  <c r="H82" i="12" s="1"/>
  <c r="H83" i="12" s="1"/>
  <c r="H84" i="12" s="1"/>
  <c r="H85" i="12" s="1"/>
  <c r="H86" i="12" s="1"/>
  <c r="H87" i="12" s="1"/>
  <c r="H88" i="12" s="1"/>
  <c r="H89" i="12" s="1"/>
  <c r="H90" i="12" s="1"/>
  <c r="H91" i="12" s="1"/>
  <c r="H92" i="12" s="1"/>
  <c r="H93" i="12" s="1"/>
  <c r="H94" i="12" s="1"/>
  <c r="H95" i="12" s="1"/>
  <c r="H96" i="12" s="1"/>
  <c r="H97" i="12" s="1"/>
  <c r="H98" i="12" s="1"/>
  <c r="H99" i="12" s="1"/>
  <c r="H100" i="12" s="1"/>
  <c r="H101" i="12" s="1"/>
  <c r="H102" i="12" s="1"/>
  <c r="H103" i="12" s="1"/>
  <c r="H104" i="12" s="1"/>
  <c r="H105" i="12" s="1"/>
  <c r="H106" i="12" s="1"/>
  <c r="H107" i="12" s="1"/>
  <c r="H108" i="12" s="1"/>
  <c r="H109" i="12" s="1"/>
  <c r="H110" i="12" s="1"/>
  <c r="H111" i="12" s="1"/>
  <c r="H112" i="12" s="1"/>
  <c r="H113" i="12" s="1"/>
  <c r="H114" i="12" s="1"/>
  <c r="H115" i="12" s="1"/>
  <c r="H116" i="12" s="1"/>
  <c r="H117" i="12" s="1"/>
  <c r="H118" i="12" s="1"/>
  <c r="H119" i="12" s="1"/>
  <c r="H120" i="12" s="1"/>
  <c r="H121" i="12" s="1"/>
  <c r="H122" i="12" s="1"/>
  <c r="H123" i="12" s="1"/>
  <c r="H124" i="12" s="1"/>
  <c r="H125" i="12" s="1"/>
  <c r="H126" i="12" s="1"/>
  <c r="H127" i="12" s="1"/>
  <c r="H128" i="12" s="1"/>
  <c r="H129" i="12" s="1"/>
  <c r="H130" i="12" s="1"/>
  <c r="H131" i="12" s="1"/>
  <c r="H132" i="12" s="1"/>
  <c r="H133" i="12" s="1"/>
  <c r="H134" i="12" s="1"/>
  <c r="H135" i="12" s="1"/>
  <c r="H136" i="12" s="1"/>
  <c r="H137" i="12" s="1"/>
  <c r="H138" i="12" s="1"/>
  <c r="H139" i="12" s="1"/>
  <c r="H140" i="12" s="1"/>
  <c r="H141" i="12" s="1"/>
  <c r="H142" i="12" s="1"/>
  <c r="H143" i="12" s="1"/>
  <c r="H144" i="12" s="1"/>
  <c r="H145" i="12" s="1"/>
  <c r="H146" i="12" s="1"/>
  <c r="H147" i="12" s="1"/>
  <c r="H148" i="12" s="1"/>
  <c r="H149" i="12" s="1"/>
  <c r="H150" i="12" s="1"/>
  <c r="H151" i="12" s="1"/>
  <c r="H152" i="12" s="1"/>
  <c r="H153" i="12" s="1"/>
  <c r="H154" i="12" s="1"/>
  <c r="H155" i="12" s="1"/>
  <c r="H156" i="12" s="1"/>
  <c r="H157" i="12" s="1"/>
  <c r="H158" i="12" s="1"/>
  <c r="H159" i="12" s="1"/>
  <c r="H160" i="12" s="1"/>
  <c r="H161" i="12" s="1"/>
  <c r="H162" i="12" s="1"/>
  <c r="H163" i="12" s="1"/>
  <c r="H164" i="12" s="1"/>
  <c r="H165" i="12" s="1"/>
  <c r="H166" i="12" s="1"/>
  <c r="H167" i="12" s="1"/>
  <c r="H168" i="12" s="1"/>
  <c r="H169" i="12" s="1"/>
  <c r="H170" i="12" s="1"/>
  <c r="H171" i="12" s="1"/>
  <c r="H172" i="12" s="1"/>
  <c r="H173" i="12" s="1"/>
  <c r="H174" i="12" s="1"/>
  <c r="H175" i="12" s="1"/>
  <c r="H176" i="12" s="1"/>
  <c r="H177" i="12" s="1"/>
  <c r="H178" i="12" s="1"/>
  <c r="H179" i="12" s="1"/>
  <c r="H180" i="12" s="1"/>
  <c r="H181" i="12" s="1"/>
  <c r="H182" i="12" s="1"/>
  <c r="H183" i="12" s="1"/>
  <c r="H184" i="12" s="1"/>
  <c r="H185" i="12" s="1"/>
  <c r="H186" i="12" s="1"/>
  <c r="H187" i="12" s="1"/>
  <c r="H188" i="12" s="1"/>
  <c r="H189" i="12" s="1"/>
  <c r="H190" i="12" s="1"/>
  <c r="H191" i="12" s="1"/>
  <c r="H192" i="12" s="1"/>
  <c r="H193" i="12" s="1"/>
  <c r="H194" i="12" s="1"/>
  <c r="H195" i="12" s="1"/>
  <c r="H196" i="12" s="1"/>
  <c r="H197" i="12" s="1"/>
  <c r="H198" i="12" s="1"/>
  <c r="H199" i="12" s="1"/>
  <c r="H200" i="12" s="1"/>
  <c r="H201" i="12" s="1"/>
  <c r="H202" i="12" s="1"/>
  <c r="H203" i="12" s="1"/>
  <c r="H204" i="12" s="1"/>
  <c r="H205" i="12" s="1"/>
  <c r="H206" i="12" s="1"/>
  <c r="H207" i="12" s="1"/>
  <c r="H208" i="12" s="1"/>
  <c r="H209" i="12" s="1"/>
  <c r="H210" i="12" s="1"/>
  <c r="H211" i="12" s="1"/>
  <c r="H212" i="12" s="1"/>
  <c r="H213" i="12" s="1"/>
  <c r="H214" i="12" s="1"/>
  <c r="H215" i="12" s="1"/>
  <c r="H216" i="12" s="1"/>
  <c r="H217" i="12" s="1"/>
  <c r="H218" i="12" s="1"/>
  <c r="H219" i="12" s="1"/>
  <c r="H220" i="12" s="1"/>
  <c r="H221" i="12" s="1"/>
  <c r="H222" i="12" s="1"/>
  <c r="H223" i="12" s="1"/>
  <c r="H224" i="12" s="1"/>
  <c r="H225" i="12" s="1"/>
  <c r="H226" i="12" s="1"/>
  <c r="H227" i="12" s="1"/>
  <c r="H228" i="12" s="1"/>
  <c r="H229" i="12" s="1"/>
  <c r="H230" i="12" s="1"/>
  <c r="H231" i="12" s="1"/>
  <c r="H232" i="12" s="1"/>
  <c r="H233" i="12" s="1"/>
  <c r="H234" i="12" s="1"/>
  <c r="H235" i="12" s="1"/>
  <c r="H236" i="12" s="1"/>
  <c r="H237" i="12" s="1"/>
  <c r="H238" i="12" s="1"/>
  <c r="H239" i="12" s="1"/>
  <c r="H240" i="12" s="1"/>
  <c r="H241" i="12" s="1"/>
  <c r="H242" i="12" s="1"/>
  <c r="H243" i="12" s="1"/>
  <c r="H244" i="12" s="1"/>
  <c r="H245" i="12" s="1"/>
  <c r="H246" i="12" s="1"/>
  <c r="H247" i="12" s="1"/>
  <c r="H248" i="12" s="1"/>
  <c r="H249" i="12" s="1"/>
  <c r="H250" i="12" s="1"/>
  <c r="H251" i="12" s="1"/>
  <c r="H252" i="12" s="1"/>
  <c r="H253" i="12" s="1"/>
  <c r="H254" i="12" s="1"/>
  <c r="H255" i="12" s="1"/>
  <c r="H256" i="12" s="1"/>
  <c r="H257" i="12" s="1"/>
  <c r="H258" i="12" s="1"/>
  <c r="H259" i="12" s="1"/>
  <c r="H260" i="12" s="1"/>
  <c r="H261" i="12" s="1"/>
  <c r="H262" i="12" s="1"/>
  <c r="H263" i="12" s="1"/>
  <c r="H264" i="12" s="1"/>
  <c r="H265" i="12" s="1"/>
  <c r="H266" i="12" s="1"/>
  <c r="H267" i="12" s="1"/>
  <c r="H268" i="12" s="1"/>
  <c r="H269" i="12" s="1"/>
  <c r="H270" i="12" s="1"/>
  <c r="H271" i="12" s="1"/>
  <c r="H272" i="12" s="1"/>
  <c r="H273" i="12" s="1"/>
  <c r="H274" i="12" s="1"/>
  <c r="H275" i="12" s="1"/>
  <c r="H276" i="12" s="1"/>
  <c r="H277" i="12" s="1"/>
  <c r="H278" i="12" s="1"/>
  <c r="H279" i="12" s="1"/>
  <c r="H280" i="12" s="1"/>
  <c r="H281" i="12" s="1"/>
  <c r="H282" i="12" s="1"/>
  <c r="H283" i="12" s="1"/>
  <c r="H284" i="12" s="1"/>
  <c r="H285" i="12" s="1"/>
  <c r="H286" i="12" s="1"/>
  <c r="H287" i="12" s="1"/>
  <c r="H288" i="12" s="1"/>
  <c r="H289" i="12" s="1"/>
  <c r="H290" i="12" s="1"/>
  <c r="H291" i="12" s="1"/>
  <c r="H292" i="12" s="1"/>
  <c r="H293" i="12" s="1"/>
  <c r="H294" i="12" s="1"/>
  <c r="H295" i="12" s="1"/>
  <c r="H296" i="12" s="1"/>
  <c r="H297" i="12" s="1"/>
  <c r="H298" i="12" s="1"/>
  <c r="H299" i="12" s="1"/>
  <c r="H300" i="12" s="1"/>
  <c r="H301" i="12" s="1"/>
  <c r="H302" i="12" s="1"/>
  <c r="H303" i="12" s="1"/>
  <c r="H304" i="12" s="1"/>
  <c r="H305" i="12" s="1"/>
  <c r="H306" i="12" s="1"/>
  <c r="H307" i="12" s="1"/>
  <c r="H308" i="12" s="1"/>
  <c r="H309" i="12" s="1"/>
  <c r="H310" i="12" s="1"/>
  <c r="H311" i="12" s="1"/>
  <c r="H312" i="12" s="1"/>
  <c r="H313" i="12" s="1"/>
  <c r="H314" i="12" s="1"/>
  <c r="H315" i="12" s="1"/>
  <c r="H316" i="12" s="1"/>
  <c r="H317" i="12" s="1"/>
  <c r="H318" i="12" s="1"/>
  <c r="H319" i="12" s="1"/>
  <c r="H320" i="12" s="1"/>
  <c r="H321" i="12" s="1"/>
  <c r="H322" i="12" s="1"/>
  <c r="H323" i="12" s="1"/>
  <c r="H324" i="12" s="1"/>
  <c r="H325" i="12" s="1"/>
  <c r="H326" i="12" s="1"/>
  <c r="H327" i="12" s="1"/>
  <c r="H328" i="12" s="1"/>
  <c r="H329" i="12" s="1"/>
  <c r="H330" i="12" s="1"/>
  <c r="H331" i="12" s="1"/>
  <c r="H332" i="12" s="1"/>
  <c r="H333" i="12" s="1"/>
  <c r="H334" i="12" s="1"/>
  <c r="H335" i="12" s="1"/>
  <c r="H336" i="12" s="1"/>
  <c r="H337" i="12" s="1"/>
  <c r="H338" i="12" s="1"/>
  <c r="H339" i="12" s="1"/>
  <c r="H340" i="12" s="1"/>
  <c r="H341" i="12" s="1"/>
  <c r="H342" i="12" s="1"/>
  <c r="H343" i="12" s="1"/>
  <c r="H344" i="12" s="1"/>
  <c r="H345" i="12" s="1"/>
  <c r="H346" i="12" s="1"/>
  <c r="H347" i="12" s="1"/>
  <c r="H348" i="12" s="1"/>
  <c r="H349" i="12" s="1"/>
  <c r="H350" i="12" s="1"/>
  <c r="H351" i="12" s="1"/>
  <c r="H352" i="12" s="1"/>
  <c r="H353" i="12" s="1"/>
  <c r="H354" i="12" s="1"/>
  <c r="H355" i="12" s="1"/>
  <c r="H356" i="12" s="1"/>
  <c r="H357" i="12" s="1"/>
  <c r="H358" i="12" s="1"/>
  <c r="H359" i="12" s="1"/>
  <c r="H360" i="12" s="1"/>
  <c r="H361" i="12" s="1"/>
  <c r="H362" i="12" s="1"/>
  <c r="H363" i="12" s="1"/>
  <c r="H364" i="12" s="1"/>
  <c r="H365" i="12" s="1"/>
  <c r="H366" i="12" s="1"/>
  <c r="H367" i="12" s="1"/>
  <c r="H368" i="12" s="1"/>
  <c r="H369" i="12" s="1"/>
  <c r="H370" i="12" s="1"/>
  <c r="H371" i="12" s="1"/>
  <c r="H372" i="12" s="1"/>
  <c r="H373" i="12" s="1"/>
  <c r="H374" i="12" s="1"/>
  <c r="H375" i="12" s="1"/>
  <c r="H376" i="12" s="1"/>
  <c r="H377" i="12" s="1"/>
  <c r="H378" i="12" s="1"/>
  <c r="H379" i="12" s="1"/>
  <c r="H380" i="12" s="1"/>
  <c r="H381" i="12" s="1"/>
  <c r="H382" i="12" s="1"/>
  <c r="H383" i="12" s="1"/>
  <c r="H384" i="12" s="1"/>
  <c r="H385" i="12" s="1"/>
  <c r="H386" i="12" s="1"/>
  <c r="H387" i="12" s="1"/>
  <c r="H388" i="12" s="1"/>
  <c r="H389" i="12" s="1"/>
  <c r="H390" i="12" s="1"/>
  <c r="H391" i="12" s="1"/>
  <c r="H392" i="12" s="1"/>
  <c r="H393" i="12" s="1"/>
  <c r="H394" i="12" s="1"/>
  <c r="H395" i="12" s="1"/>
  <c r="H396" i="12" s="1"/>
  <c r="H397" i="12" s="1"/>
  <c r="H398" i="12" s="1"/>
  <c r="H399" i="12" s="1"/>
  <c r="H400" i="12" s="1"/>
  <c r="H401" i="12" s="1"/>
  <c r="H402" i="12" s="1"/>
  <c r="H403" i="12" s="1"/>
  <c r="H404" i="12" s="1"/>
  <c r="H405" i="12" s="1"/>
  <c r="H406" i="12" s="1"/>
  <c r="H407" i="12" s="1"/>
  <c r="H408" i="12" s="1"/>
  <c r="H409" i="12" s="1"/>
  <c r="H410" i="12" s="1"/>
  <c r="H411" i="12" s="1"/>
  <c r="H412" i="12" s="1"/>
  <c r="H413" i="12" s="1"/>
  <c r="H414" i="12" s="1"/>
  <c r="H415" i="12" s="1"/>
  <c r="H416" i="12" s="1"/>
  <c r="H417" i="12" s="1"/>
  <c r="H418" i="12" s="1"/>
  <c r="H419" i="12" s="1"/>
  <c r="H420" i="12" s="1"/>
  <c r="H421" i="12" s="1"/>
  <c r="H422" i="12" s="1"/>
  <c r="H423" i="12" s="1"/>
  <c r="H424" i="12" s="1"/>
  <c r="H425" i="12" s="1"/>
  <c r="H426" i="12" s="1"/>
  <c r="H427" i="12" s="1"/>
  <c r="H428" i="12" s="1"/>
  <c r="H429" i="12" s="1"/>
  <c r="H430" i="12" s="1"/>
  <c r="H431" i="12" s="1"/>
  <c r="H432" i="12" s="1"/>
  <c r="H433" i="12" s="1"/>
  <c r="H434" i="12" s="1"/>
  <c r="H435" i="12" s="1"/>
  <c r="H436" i="12" s="1"/>
  <c r="H437" i="12" s="1"/>
  <c r="H438" i="12" s="1"/>
  <c r="H439" i="12" s="1"/>
  <c r="H440" i="12" s="1"/>
  <c r="H441" i="12" s="1"/>
  <c r="H442" i="12" s="1"/>
  <c r="H443" i="12" s="1"/>
  <c r="H444" i="12" s="1"/>
  <c r="H445" i="12" s="1"/>
  <c r="H446" i="12" s="1"/>
  <c r="H447" i="12" s="1"/>
  <c r="H448" i="12" s="1"/>
  <c r="F2" i="12"/>
  <c r="AV297" i="20" a="1"/>
  <c r="AV297" i="20" s="1"/>
  <c r="AV281" i="20" a="1"/>
  <c r="AV281" i="20" s="1"/>
  <c r="AV280" i="20" a="1"/>
  <c r="AV280" i="20" s="1"/>
  <c r="AV274" i="20" a="1"/>
  <c r="AV274" i="20" s="1"/>
  <c r="AV273" i="20" a="1"/>
  <c r="AV273" i="20" s="1"/>
  <c r="AV272" i="20" a="1"/>
  <c r="AV272" i="20" s="1"/>
  <c r="AV266" i="20" a="1"/>
  <c r="AV266" i="20" s="1"/>
  <c r="AV265" i="20" a="1"/>
  <c r="AV265" i="20" s="1"/>
  <c r="AV264" i="20" a="1"/>
  <c r="AV264" i="20" s="1"/>
  <c r="AV259" i="20" a="1"/>
  <c r="AV259" i="20" s="1"/>
  <c r="AV258" i="20" a="1"/>
  <c r="AV258" i="20" s="1"/>
  <c r="AV257" i="20" a="1"/>
  <c r="AV257" i="20" s="1"/>
  <c r="AV256" i="20" a="1"/>
  <c r="AV256" i="20" s="1"/>
  <c r="AV250" i="20" a="1"/>
  <c r="AV250" i="20" s="1"/>
  <c r="AV249" i="20" a="1"/>
  <c r="AV249" i="20" s="1"/>
  <c r="AV248" i="20" a="1"/>
  <c r="AV248" i="20" s="1"/>
  <c r="AV246" i="20" a="1"/>
  <c r="AV246" i="20" s="1"/>
  <c r="AV244" i="20" a="1"/>
  <c r="AV244" i="20" s="1"/>
  <c r="AV242" i="20" a="1"/>
  <c r="AV242" i="20" s="1"/>
  <c r="AV241" i="20" a="1"/>
  <c r="AV241" i="20" s="1"/>
  <c r="AV240" i="20" a="1"/>
  <c r="AV240" i="20" s="1"/>
  <c r="AV236" i="20" a="1"/>
  <c r="AV236" i="20" s="1"/>
  <c r="AV235" i="20" a="1"/>
  <c r="AV235" i="20" s="1"/>
  <c r="AV234" i="20" a="1"/>
  <c r="AV234" i="20" s="1"/>
  <c r="AV233" i="20" a="1"/>
  <c r="AV233" i="20" s="1"/>
  <c r="AV232" i="20" a="1"/>
  <c r="AV232" i="20" s="1"/>
  <c r="AV228" i="20" a="1"/>
  <c r="AV228" i="20" s="1"/>
  <c r="AV227" i="20" a="1"/>
  <c r="AV227" i="20" s="1"/>
  <c r="AV226" i="20" a="1"/>
  <c r="AV226" i="20" s="1"/>
  <c r="AV225" i="20" a="1"/>
  <c r="AV225" i="20" s="1"/>
  <c r="AV224" i="20" a="1"/>
  <c r="AV224" i="20" s="1"/>
  <c r="AV220" i="20" a="1"/>
  <c r="AV220" i="20" s="1"/>
  <c r="AV219" i="20" a="1"/>
  <c r="AV219" i="20" s="1"/>
  <c r="AV218" i="20" a="1"/>
  <c r="AV218" i="20" s="1"/>
  <c r="AV217" i="20" a="1"/>
  <c r="AV217" i="20" s="1"/>
  <c r="AV216" i="20" a="1"/>
  <c r="AV216" i="20" s="1"/>
  <c r="AV215" i="20" a="1"/>
  <c r="AV215" i="20" s="1"/>
  <c r="AV214" i="20" a="1"/>
  <c r="AV214" i="20" s="1"/>
  <c r="AV212" i="20" a="1"/>
  <c r="AV212" i="20" s="1"/>
  <c r="AV211" i="20" a="1"/>
  <c r="AV211" i="20" s="1"/>
  <c r="AV210" i="20" a="1"/>
  <c r="AV210" i="20" s="1"/>
  <c r="AV209" i="20" a="1"/>
  <c r="AV209" i="20" s="1"/>
  <c r="AV208" i="20" a="1"/>
  <c r="AV208" i="20" s="1"/>
  <c r="AV205" i="20" a="1"/>
  <c r="AV205" i="20" s="1"/>
  <c r="AV204" i="20" a="1"/>
  <c r="AV204" i="20" s="1"/>
  <c r="AV203" i="20" a="1"/>
  <c r="AV203" i="20" s="1"/>
  <c r="AV202" i="20" a="1"/>
  <c r="AV202" i="20" s="1"/>
  <c r="AV201" i="20" a="1"/>
  <c r="AV201" i="20" s="1"/>
  <c r="AV200" i="20" a="1"/>
  <c r="AV200" i="20" s="1"/>
  <c r="AV199" i="20" a="1"/>
  <c r="AV199" i="20" s="1"/>
  <c r="AV198" i="20" a="1"/>
  <c r="AV198" i="20" s="1"/>
  <c r="AV196" i="20" a="1"/>
  <c r="AV196" i="20" s="1"/>
  <c r="AV195" i="20" a="1"/>
  <c r="AV195" i="20" s="1"/>
  <c r="AV194" i="20" a="1"/>
  <c r="AV194" i="20" s="1"/>
  <c r="AV193" i="20" a="1"/>
  <c r="AV193" i="20" s="1"/>
  <c r="AV192" i="20" a="1"/>
  <c r="AV192" i="20" s="1"/>
  <c r="AV190" i="20" a="1"/>
  <c r="AV190" i="20" s="1"/>
  <c r="AV189" i="20" a="1"/>
  <c r="AV189" i="20" s="1"/>
  <c r="AV188" i="20" a="1"/>
  <c r="AV188" i="20" s="1"/>
  <c r="AV187" i="20" a="1"/>
  <c r="AV187" i="20" s="1"/>
  <c r="AV186" i="20" a="1"/>
  <c r="AV186" i="20" s="1"/>
  <c r="AV185" i="20" a="1"/>
  <c r="AV185" i="20" s="1"/>
  <c r="AV184" i="20" a="1"/>
  <c r="AV184" i="20" s="1"/>
  <c r="AV182" i="20" a="1"/>
  <c r="AV182" i="20" s="1"/>
  <c r="AV180" i="20" a="1"/>
  <c r="AV180" i="20" s="1"/>
  <c r="AV179" i="20" a="1"/>
  <c r="AV179" i="20" s="1"/>
  <c r="AV178" i="20" a="1"/>
  <c r="AV178" i="20" s="1"/>
  <c r="AV177" i="20" a="1"/>
  <c r="AV177" i="20" s="1"/>
  <c r="AV176" i="20" a="1"/>
  <c r="AV176" i="20" s="1"/>
  <c r="AV173" i="20" a="1"/>
  <c r="AV173" i="20" s="1"/>
  <c r="AV172" i="20" a="1"/>
  <c r="AV172" i="20" s="1"/>
  <c r="AV171" i="20" a="1"/>
  <c r="AV171" i="20" s="1"/>
  <c r="AV170" i="20" a="1"/>
  <c r="AV170" i="20" s="1"/>
  <c r="AV169" i="20" a="1"/>
  <c r="AV169" i="20" s="1"/>
  <c r="AV168" i="20" a="1"/>
  <c r="AV168" i="20" s="1"/>
  <c r="AV167" i="20" a="1"/>
  <c r="AV167" i="20" s="1"/>
  <c r="AV166" i="20" a="1"/>
  <c r="AV166" i="20" s="1"/>
  <c r="AV164" i="20" a="1"/>
  <c r="AV164" i="20" s="1"/>
  <c r="AV163" i="20" a="1"/>
  <c r="AV163" i="20" s="1"/>
  <c r="AV162" i="20" a="1"/>
  <c r="AV162" i="20" s="1"/>
  <c r="AV161" i="20" a="1"/>
  <c r="AV161" i="20" s="1"/>
  <c r="AV160" i="20" a="1"/>
  <c r="AV160" i="20" s="1"/>
  <c r="AV157" i="20" a="1"/>
  <c r="AV157" i="20" s="1"/>
  <c r="AV156" i="20" a="1"/>
  <c r="AV156" i="20" s="1"/>
  <c r="AV155" i="20" a="1"/>
  <c r="AV155" i="20" s="1"/>
  <c r="AV154" i="20" a="1"/>
  <c r="AV154" i="20" s="1"/>
  <c r="AV153" i="20" a="1"/>
  <c r="AV153" i="20" s="1"/>
  <c r="AV152" i="20" a="1"/>
  <c r="AV152" i="20" s="1"/>
  <c r="AV151" i="20" a="1"/>
  <c r="AV151" i="20" s="1"/>
  <c r="AV150" i="20" a="1"/>
  <c r="AV150" i="20" s="1"/>
  <c r="AV148" i="20" a="1"/>
  <c r="AV148" i="20" s="1"/>
  <c r="AV147" i="20" a="1"/>
  <c r="AV147" i="20" s="1"/>
  <c r="AV146" i="20" a="1"/>
  <c r="AV146" i="20" s="1"/>
  <c r="AV145" i="20" a="1"/>
  <c r="AV145" i="20" s="1"/>
  <c r="AV144" i="20" a="1"/>
  <c r="AV144" i="20" s="1"/>
  <c r="AV142" i="20" a="1"/>
  <c r="AV142" i="20" s="1"/>
  <c r="AV141" i="20" a="1"/>
  <c r="AV141" i="20" s="1"/>
  <c r="AV140" i="20" a="1"/>
  <c r="AV140" i="20" s="1"/>
  <c r="AV139" i="20" a="1"/>
  <c r="AV139" i="20" s="1"/>
  <c r="AV138" i="20" a="1"/>
  <c r="AV138" i="20" s="1"/>
  <c r="AV137" i="20" a="1"/>
  <c r="AV137" i="20" s="1"/>
  <c r="AV136" i="20" a="1"/>
  <c r="AV136" i="20" s="1"/>
  <c r="AV134" i="20" a="1"/>
  <c r="AV134" i="20" s="1"/>
  <c r="AV132" i="20" a="1"/>
  <c r="AV132" i="20" s="1"/>
  <c r="AV131" i="20" a="1"/>
  <c r="AV131" i="20" s="1"/>
  <c r="AV130" i="20" a="1"/>
  <c r="AV130" i="20" s="1"/>
  <c r="AV129" i="20" a="1"/>
  <c r="AV129" i="20" s="1"/>
  <c r="AV128" i="20" a="1"/>
  <c r="AV128" i="20" s="1"/>
  <c r="AV126" i="20" a="1"/>
  <c r="AV126" i="20" s="1"/>
  <c r="AV125" i="20" a="1"/>
  <c r="AV125" i="20" s="1"/>
  <c r="AV124" i="20" a="1"/>
  <c r="AV124" i="20" s="1"/>
  <c r="AV123" i="20" a="1"/>
  <c r="AV123" i="20" s="1"/>
  <c r="AV122" i="20" a="1"/>
  <c r="AV122" i="20" s="1"/>
  <c r="AV121" i="20" a="1"/>
  <c r="AV121" i="20" s="1"/>
  <c r="AV120" i="20" a="1"/>
  <c r="AV120" i="20" s="1"/>
  <c r="AV119" i="20" a="1"/>
  <c r="AV119" i="20" s="1"/>
  <c r="AV118" i="20" a="1"/>
  <c r="AV118" i="20" s="1"/>
  <c r="AV116" i="20" a="1"/>
  <c r="AV116" i="20" s="1"/>
  <c r="AV115" i="20" a="1"/>
  <c r="AV115" i="20" s="1"/>
  <c r="AV114" i="20" a="1"/>
  <c r="AV114" i="20" s="1"/>
  <c r="AV113" i="20" a="1"/>
  <c r="AV113" i="20" s="1"/>
  <c r="AV112" i="20" a="1"/>
  <c r="AV112" i="20" s="1"/>
  <c r="AV111" i="20" a="1"/>
  <c r="AV111" i="20" s="1"/>
  <c r="AV109" i="20" a="1"/>
  <c r="AV109" i="20" s="1"/>
  <c r="AV108" i="20" a="1"/>
  <c r="AV108" i="20" s="1"/>
  <c r="AV107" i="20" a="1"/>
  <c r="AV107" i="20" s="1"/>
  <c r="AV106" i="20" a="1"/>
  <c r="AV106" i="20" s="1"/>
  <c r="AV105" i="20" a="1"/>
  <c r="AV105" i="20" s="1"/>
  <c r="AV104" i="20" a="1"/>
  <c r="AV104" i="20" s="1"/>
  <c r="AV103" i="20" a="1"/>
  <c r="AV103" i="20" s="1"/>
  <c r="AV102" i="20" a="1"/>
  <c r="AV102" i="20" s="1"/>
  <c r="AV100" i="20" a="1"/>
  <c r="AV100" i="20" s="1"/>
  <c r="AV99" i="20" a="1"/>
  <c r="AV99" i="20" s="1"/>
  <c r="AV98" i="20" a="1"/>
  <c r="AV98" i="20" s="1"/>
  <c r="AV97" i="20" a="1"/>
  <c r="AV97" i="20" s="1"/>
  <c r="AV96" i="20" a="1"/>
  <c r="AV96" i="20" s="1"/>
  <c r="AV95" i="20" a="1"/>
  <c r="AV95" i="20" s="1"/>
  <c r="AV93" i="20" a="1"/>
  <c r="AV93" i="20" s="1"/>
  <c r="AV92" i="20" a="1"/>
  <c r="AV92" i="20" s="1"/>
  <c r="AV91" i="20" a="1"/>
  <c r="AV91" i="20" s="1"/>
  <c r="AV90" i="20" a="1"/>
  <c r="AV90" i="20" s="1"/>
  <c r="AV89" i="20" a="1"/>
  <c r="AV89" i="20" s="1"/>
  <c r="AV88" i="20" a="1"/>
  <c r="AV88" i="20" s="1"/>
  <c r="AV87" i="20" a="1"/>
  <c r="AV87" i="20" s="1"/>
  <c r="AV86" i="20" a="1"/>
  <c r="AV86" i="20" s="1"/>
  <c r="AV84" i="20" a="1"/>
  <c r="AV84" i="20" s="1"/>
  <c r="AV83" i="20" a="1"/>
  <c r="AV83" i="20" s="1"/>
  <c r="AV82" i="20" a="1"/>
  <c r="AV82" i="20" s="1"/>
  <c r="AV81" i="20" a="1"/>
  <c r="AV81" i="20" s="1"/>
  <c r="AV80" i="20" a="1"/>
  <c r="AV80" i="20" s="1"/>
  <c r="AV79" i="20" a="1"/>
  <c r="AV79" i="20" s="1"/>
  <c r="AV78" i="20" a="1"/>
  <c r="AV78" i="20" s="1"/>
  <c r="AV77" i="20" a="1"/>
  <c r="AV77" i="20" s="1"/>
  <c r="AV76" i="20" a="1"/>
  <c r="AV76" i="20" s="1"/>
  <c r="AV75" i="20" a="1"/>
  <c r="AV75" i="20" s="1"/>
  <c r="AV74" i="20" a="1"/>
  <c r="AV74" i="20" s="1"/>
  <c r="AV73" i="20" a="1"/>
  <c r="AV73" i="20" s="1"/>
  <c r="AV72" i="20" a="1"/>
  <c r="AV72" i="20" s="1"/>
  <c r="AV71" i="20" a="1"/>
  <c r="AV71" i="20" s="1"/>
  <c r="AV70" i="20" a="1"/>
  <c r="AV70" i="20" s="1"/>
  <c r="AV68" i="20" a="1"/>
  <c r="AV68" i="20" s="1"/>
  <c r="AV67" i="20" a="1"/>
  <c r="AV67" i="20" s="1"/>
  <c r="AV66" i="20" a="1"/>
  <c r="AV66" i="20" s="1"/>
  <c r="AV65" i="20" a="1"/>
  <c r="AV65" i="20" s="1"/>
  <c r="AV64" i="20" a="1"/>
  <c r="AV64" i="20" s="1"/>
  <c r="AV63" i="20" a="1"/>
  <c r="AV63" i="20" s="1"/>
  <c r="AV62" i="20" a="1"/>
  <c r="AV62" i="20" s="1"/>
  <c r="AV61" i="20" a="1"/>
  <c r="AV61" i="20" s="1"/>
  <c r="AV60" i="20" a="1"/>
  <c r="AV60" i="20" s="1"/>
  <c r="AV59" i="20" a="1"/>
  <c r="AV59" i="20" s="1"/>
  <c r="AV58" i="20" a="1"/>
  <c r="AV58" i="20" s="1"/>
  <c r="AV57" i="20" a="1"/>
  <c r="AV57" i="20" s="1"/>
  <c r="AV56" i="20" a="1"/>
  <c r="AV56" i="20" s="1"/>
  <c r="AV55" i="20" a="1"/>
  <c r="AV55" i="20" s="1"/>
  <c r="AV54" i="20" a="1"/>
  <c r="AV54" i="20" s="1"/>
  <c r="AV53" i="20" a="1"/>
  <c r="AV53" i="20" s="1"/>
  <c r="AV52" i="20" a="1"/>
  <c r="AV52" i="20" s="1"/>
  <c r="AV51" i="20" a="1"/>
  <c r="AV51" i="20" s="1"/>
  <c r="AV50" i="20" a="1"/>
  <c r="AV50" i="20" s="1"/>
  <c r="AV49" i="20" a="1"/>
  <c r="AV49" i="20" s="1"/>
  <c r="AV48" i="20" a="1"/>
  <c r="AV48" i="20" s="1"/>
  <c r="AV47" i="20" a="1"/>
  <c r="AV47" i="20" s="1"/>
  <c r="AV46" i="20" a="1"/>
  <c r="AV46" i="20" s="1"/>
  <c r="AV45" i="20" a="1"/>
  <c r="AV45" i="20" s="1"/>
  <c r="AV44" i="20" a="1"/>
  <c r="AV44" i="20" s="1"/>
  <c r="AV43" i="20" a="1"/>
  <c r="AV43" i="20" s="1"/>
  <c r="AV42" i="20" a="1"/>
  <c r="AV42" i="20" s="1"/>
  <c r="AV41" i="20" a="1"/>
  <c r="AV41" i="20" s="1"/>
  <c r="AV40" i="20" a="1"/>
  <c r="AV40" i="20" s="1"/>
  <c r="AV39" i="20" a="1"/>
  <c r="AV39" i="20" s="1"/>
  <c r="AV38" i="20" a="1"/>
  <c r="AV38" i="20" s="1"/>
  <c r="AV37" i="20" a="1"/>
  <c r="AV37" i="20" s="1"/>
  <c r="AV36" i="20" a="1"/>
  <c r="AV36" i="20" s="1"/>
  <c r="AV35" i="20" a="1"/>
  <c r="AV35" i="20" s="1"/>
  <c r="AV34" i="20" a="1"/>
  <c r="AV34" i="20" s="1"/>
  <c r="AV33" i="20" a="1"/>
  <c r="AV33" i="20" s="1"/>
  <c r="AV32" i="20" a="1"/>
  <c r="AV32" i="20" s="1"/>
  <c r="AV31" i="20" a="1"/>
  <c r="AV31" i="20" s="1"/>
  <c r="AV30" i="20" a="1"/>
  <c r="AV30" i="20" s="1"/>
  <c r="AV29" i="20" a="1"/>
  <c r="AV29" i="20" s="1"/>
  <c r="AV28" i="20" a="1"/>
  <c r="AV28" i="20" s="1"/>
  <c r="AV27" i="20" a="1"/>
  <c r="AV27" i="20" s="1"/>
  <c r="AV26" i="20" a="1"/>
  <c r="AV26" i="20" s="1"/>
  <c r="AV25" i="20" a="1"/>
  <c r="AV25" i="20" s="1"/>
  <c r="AV24" i="20" a="1"/>
  <c r="AV24" i="20" s="1"/>
  <c r="AV23" i="20" a="1"/>
  <c r="AV23" i="20" s="1"/>
  <c r="AV22" i="20" a="1"/>
  <c r="AV22" i="20" s="1"/>
  <c r="AV21" i="20" a="1"/>
  <c r="AV21" i="20" s="1"/>
  <c r="AV20" i="20" a="1"/>
  <c r="AV20" i="20" s="1"/>
  <c r="AV19" i="20" a="1"/>
  <c r="AV19" i="20" s="1"/>
  <c r="AV18" i="20" a="1"/>
  <c r="AV18" i="20" s="1"/>
  <c r="AV17" i="20" a="1"/>
  <c r="AV17" i="20" s="1"/>
  <c r="AV16" i="20" a="1"/>
  <c r="AV16" i="20" s="1"/>
  <c r="AV15" i="20" a="1"/>
  <c r="AV15" i="20" s="1"/>
  <c r="AV14" i="20" a="1"/>
  <c r="AV14" i="20" s="1"/>
  <c r="AV13" i="20" a="1"/>
  <c r="AV13" i="20" s="1"/>
  <c r="AV12" i="20" a="1"/>
  <c r="AV12" i="20" s="1"/>
  <c r="AV11" i="20" a="1"/>
  <c r="AV11" i="20" s="1"/>
  <c r="AV10" i="20" a="1"/>
  <c r="AV10" i="20" s="1"/>
  <c r="AV9" i="20" a="1"/>
  <c r="AV9" i="20" s="1"/>
  <c r="AV8" i="20" a="1"/>
  <c r="AV8" i="20" s="1"/>
  <c r="AV7" i="20" a="1"/>
  <c r="AV7" i="20" s="1"/>
  <c r="AV6" i="20" a="1"/>
  <c r="AV6" i="20" s="1"/>
  <c r="AV5" i="20" a="1"/>
  <c r="AV5" i="20" s="1"/>
  <c r="AV4" i="20" a="1"/>
  <c r="AV4" i="20" s="1"/>
  <c r="AV3" i="20" a="1"/>
  <c r="AV3" i="20" s="1"/>
  <c r="AV2" i="20" a="1"/>
  <c r="AV2" i="20" s="1"/>
  <c r="AT367" i="20" a="1"/>
  <c r="AT367" i="20" s="1"/>
  <c r="AT366" i="20" a="1"/>
  <c r="AT366" i="20" s="1"/>
  <c r="AT365" i="20" a="1"/>
  <c r="AT365" i="20" s="1"/>
  <c r="AT364" i="20" a="1"/>
  <c r="AT364" i="20" s="1"/>
  <c r="AT363" i="20" a="1"/>
  <c r="AT363" i="20" s="1"/>
  <c r="AT362" i="20" a="1"/>
  <c r="AT362" i="20" s="1"/>
  <c r="AT361" i="20" a="1"/>
  <c r="AT361" i="20" s="1"/>
  <c r="AT360" i="20" a="1"/>
  <c r="AT360" i="20" s="1"/>
  <c r="AT359" i="20" a="1"/>
  <c r="AT359" i="20" s="1"/>
  <c r="AT358" i="20" a="1"/>
  <c r="AT358" i="20" s="1"/>
  <c r="AT357" i="20" a="1"/>
  <c r="AT357" i="20" s="1"/>
  <c r="AT356" i="20" a="1"/>
  <c r="AT356" i="20" s="1"/>
  <c r="AT355" i="20" a="1"/>
  <c r="AT355" i="20" s="1"/>
  <c r="AT354" i="20" a="1"/>
  <c r="AT354" i="20" s="1"/>
  <c r="AT353" i="20" a="1"/>
  <c r="AT353" i="20" s="1"/>
  <c r="AT352" i="20" a="1"/>
  <c r="AT352" i="20" s="1"/>
  <c r="AT351" i="20" a="1"/>
  <c r="AT351" i="20" s="1"/>
  <c r="AT350" i="20" a="1"/>
  <c r="AT350" i="20" s="1"/>
  <c r="AT349" i="20" a="1"/>
  <c r="AT349" i="20" s="1"/>
  <c r="AT348" i="20" a="1"/>
  <c r="AT348" i="20" s="1"/>
  <c r="AT347" i="20" a="1"/>
  <c r="AT347" i="20" s="1"/>
  <c r="AT346" i="20" a="1"/>
  <c r="AT346" i="20" s="1"/>
  <c r="AT345" i="20" a="1"/>
  <c r="AT345" i="20" s="1"/>
  <c r="AT344" i="20" a="1"/>
  <c r="AT344" i="20" s="1"/>
  <c r="AT343" i="20" a="1"/>
  <c r="AT343" i="20" s="1"/>
  <c r="AT342" i="20" a="1"/>
  <c r="AT342" i="20" s="1"/>
  <c r="AT341" i="20" a="1"/>
  <c r="AT341" i="20" s="1"/>
  <c r="AT340" i="20" a="1"/>
  <c r="AT340" i="20" s="1"/>
  <c r="AT339" i="20" a="1"/>
  <c r="AT339" i="20" s="1"/>
  <c r="AT338" i="20" a="1"/>
  <c r="AT338" i="20" s="1"/>
  <c r="AT337" i="20" a="1"/>
  <c r="AT337" i="20" s="1"/>
  <c r="AT336" i="20" a="1"/>
  <c r="AT336" i="20" s="1"/>
  <c r="AT335" i="20" a="1"/>
  <c r="AT335" i="20" s="1"/>
  <c r="AT334" i="20" a="1"/>
  <c r="AT334" i="20" s="1"/>
  <c r="AT333" i="20" a="1"/>
  <c r="AT333" i="20" s="1"/>
  <c r="AT332" i="20" a="1"/>
  <c r="AT332" i="20" s="1"/>
  <c r="AT331" i="20" a="1"/>
  <c r="AT331" i="20" s="1"/>
  <c r="AT330" i="20" a="1"/>
  <c r="AT330" i="20" s="1"/>
  <c r="AT329" i="20" a="1"/>
  <c r="AT329" i="20" s="1"/>
  <c r="AT328" i="20" a="1"/>
  <c r="AT328" i="20" s="1"/>
  <c r="AT327" i="20" a="1"/>
  <c r="AT327" i="20" s="1"/>
  <c r="AT326" i="20" a="1"/>
  <c r="AT326" i="20" s="1"/>
  <c r="AT325" i="20" a="1"/>
  <c r="AT325" i="20" s="1"/>
  <c r="AT324" i="20" a="1"/>
  <c r="AT324" i="20" s="1"/>
  <c r="AT323" i="20" a="1"/>
  <c r="AT323" i="20" s="1"/>
  <c r="AT322" i="20" a="1"/>
  <c r="AT322" i="20" s="1"/>
  <c r="AT321" i="20" a="1"/>
  <c r="AT321" i="20" s="1"/>
  <c r="AT320" i="20" a="1"/>
  <c r="AT320" i="20" s="1"/>
  <c r="AT319" i="20" a="1"/>
  <c r="AT319" i="20" s="1"/>
  <c r="AT318" i="20" a="1"/>
  <c r="AT318" i="20" s="1"/>
  <c r="AT317" i="20" a="1"/>
  <c r="AT317" i="20" s="1"/>
  <c r="AT316" i="20" a="1"/>
  <c r="AT316" i="20" s="1"/>
  <c r="AT315" i="20" a="1"/>
  <c r="AT315" i="20" s="1"/>
  <c r="AT314" i="20" a="1"/>
  <c r="AT314" i="20" s="1"/>
  <c r="AT313" i="20" a="1"/>
  <c r="AT313" i="20" s="1"/>
  <c r="AT312" i="20" a="1"/>
  <c r="AT312" i="20" s="1"/>
  <c r="AT311" i="20" a="1"/>
  <c r="AT311" i="20" s="1"/>
  <c r="AT310" i="20" a="1"/>
  <c r="AT310" i="20" s="1"/>
  <c r="AT309" i="20" a="1"/>
  <c r="AT309" i="20" s="1"/>
  <c r="AT308" i="20" a="1"/>
  <c r="AT308" i="20" s="1"/>
  <c r="AT307" i="20" a="1"/>
  <c r="AT307" i="20" s="1"/>
  <c r="AT306" i="20" a="1"/>
  <c r="AT306" i="20" s="1"/>
  <c r="AT305" i="20" a="1"/>
  <c r="AT305" i="20" s="1"/>
  <c r="AT304" i="20" a="1"/>
  <c r="AT304" i="20" s="1"/>
  <c r="AT303" i="20" a="1"/>
  <c r="AT303" i="20" s="1"/>
  <c r="AT302" i="20" a="1"/>
  <c r="AT302" i="20" s="1"/>
  <c r="AT301" i="20" a="1"/>
  <c r="AT301" i="20" s="1"/>
  <c r="AT300" i="20" a="1"/>
  <c r="AT300" i="20" s="1"/>
  <c r="AT299" i="20" a="1"/>
  <c r="AT299" i="20" s="1"/>
  <c r="AT298" i="20" a="1"/>
  <c r="AT298" i="20" s="1"/>
  <c r="AT297" i="20" a="1"/>
  <c r="AT297" i="20" s="1"/>
  <c r="AT296" i="20" a="1"/>
  <c r="AT296" i="20" s="1"/>
  <c r="AT295" i="20" a="1"/>
  <c r="AT295" i="20" s="1"/>
  <c r="AT294" i="20" a="1"/>
  <c r="AT294" i="20" s="1"/>
  <c r="AT293" i="20" a="1"/>
  <c r="AT293" i="20" s="1"/>
  <c r="AT292" i="20" a="1"/>
  <c r="AT292" i="20" s="1"/>
  <c r="AT291" i="20" a="1"/>
  <c r="AT291" i="20" s="1"/>
  <c r="AT290" i="20" a="1"/>
  <c r="AT290" i="20" s="1"/>
  <c r="AT289" i="20" a="1"/>
  <c r="AT289" i="20" s="1"/>
  <c r="AT288" i="20" a="1"/>
  <c r="AT288" i="20" s="1"/>
  <c r="AT287" i="20" a="1"/>
  <c r="AT287" i="20" s="1"/>
  <c r="AT286" i="20" a="1"/>
  <c r="AT286" i="20" s="1"/>
  <c r="AT285" i="20" a="1"/>
  <c r="AT285" i="20" s="1"/>
  <c r="AT284" i="20" a="1"/>
  <c r="AT284" i="20" s="1"/>
  <c r="AT283" i="20" a="1"/>
  <c r="AT283" i="20" s="1"/>
  <c r="AT282" i="20" a="1"/>
  <c r="AT282" i="20" s="1"/>
  <c r="AT281" i="20" a="1"/>
  <c r="AT281" i="20" s="1"/>
  <c r="AT280" i="20" a="1"/>
  <c r="AT280" i="20" s="1"/>
  <c r="AT279" i="20" a="1"/>
  <c r="AT279" i="20" s="1"/>
  <c r="AT278" i="20" a="1"/>
  <c r="AT278" i="20" s="1"/>
  <c r="AT277" i="20" a="1"/>
  <c r="AT277" i="20" s="1"/>
  <c r="AT276" i="20" a="1"/>
  <c r="AT276" i="20" s="1"/>
  <c r="AT275" i="20" a="1"/>
  <c r="AT275" i="20" s="1"/>
  <c r="AT274" i="20" a="1"/>
  <c r="AT274" i="20" s="1"/>
  <c r="AT273" i="20" a="1"/>
  <c r="AT273" i="20" s="1"/>
  <c r="AT272" i="20" a="1"/>
  <c r="AT272" i="20" s="1"/>
  <c r="AT271" i="20" a="1"/>
  <c r="AT271" i="20" s="1"/>
  <c r="AT270" i="20" a="1"/>
  <c r="AT270" i="20" s="1"/>
  <c r="AT269" i="20" a="1"/>
  <c r="AT269" i="20" s="1"/>
  <c r="AT268" i="20" a="1"/>
  <c r="AT268" i="20" s="1"/>
  <c r="AT267" i="20" a="1"/>
  <c r="AT267" i="20" s="1"/>
  <c r="AT266" i="20" a="1"/>
  <c r="AT266" i="20" s="1"/>
  <c r="AT265" i="20" a="1"/>
  <c r="AT265" i="20" s="1"/>
  <c r="AT264" i="20" a="1"/>
  <c r="AT264" i="20" s="1"/>
  <c r="AT263" i="20" a="1"/>
  <c r="AT263" i="20" s="1"/>
  <c r="AT262" i="20" a="1"/>
  <c r="AT262" i="20" s="1"/>
  <c r="AT261" i="20" a="1"/>
  <c r="AT261" i="20" s="1"/>
  <c r="AT260" i="20" a="1"/>
  <c r="AT260" i="20" s="1"/>
  <c r="AT259" i="20" a="1"/>
  <c r="AT259" i="20" s="1"/>
  <c r="AT258" i="20" a="1"/>
  <c r="AT258" i="20" s="1"/>
  <c r="AT257" i="20" a="1"/>
  <c r="AT257" i="20" s="1"/>
  <c r="AT256" i="20" a="1"/>
  <c r="AT256" i="20" s="1"/>
  <c r="AT255" i="20" a="1"/>
  <c r="AT255" i="20" s="1"/>
  <c r="AT254" i="20" a="1"/>
  <c r="AT254" i="20" s="1"/>
  <c r="AT253" i="20" a="1"/>
  <c r="AT253" i="20" s="1"/>
  <c r="AT252" i="20" a="1"/>
  <c r="AT252" i="20" s="1"/>
  <c r="AT251" i="20" a="1"/>
  <c r="AT251" i="20" s="1"/>
  <c r="AT250" i="20" a="1"/>
  <c r="AT250" i="20" s="1"/>
  <c r="AT249" i="20" a="1"/>
  <c r="AT249" i="20" s="1"/>
  <c r="AT248" i="20" a="1"/>
  <c r="AT248" i="20" s="1"/>
  <c r="AT247" i="20" a="1"/>
  <c r="AT247" i="20" s="1"/>
  <c r="AT246" i="20" a="1"/>
  <c r="AT246" i="20" s="1"/>
  <c r="AT245" i="20" a="1"/>
  <c r="AT245" i="20" s="1"/>
  <c r="AT244" i="20" a="1"/>
  <c r="AT244" i="20" s="1"/>
  <c r="AT243" i="20" a="1"/>
  <c r="AT243" i="20" s="1"/>
  <c r="AT242" i="20" a="1"/>
  <c r="AT242" i="20" s="1"/>
  <c r="AT241" i="20" a="1"/>
  <c r="AT241" i="20" s="1"/>
  <c r="AT240" i="20" a="1"/>
  <c r="AT240" i="20" s="1"/>
  <c r="AT239" i="20" a="1"/>
  <c r="AT239" i="20" s="1"/>
  <c r="AT238" i="20" a="1"/>
  <c r="AT238" i="20" s="1"/>
  <c r="AT237" i="20" a="1"/>
  <c r="AT237" i="20" s="1"/>
  <c r="AT236" i="20" a="1"/>
  <c r="AT236" i="20" s="1"/>
  <c r="AT235" i="20" a="1"/>
  <c r="AT235" i="20" s="1"/>
  <c r="AT234" i="20" a="1"/>
  <c r="AT234" i="20" s="1"/>
  <c r="AT233" i="20" a="1"/>
  <c r="AT233" i="20" s="1"/>
  <c r="AT232" i="20" a="1"/>
  <c r="AT232" i="20" s="1"/>
  <c r="AT231" i="20" a="1"/>
  <c r="AT231" i="20" s="1"/>
  <c r="AT230" i="20" a="1"/>
  <c r="AT230" i="20" s="1"/>
  <c r="AT229" i="20" a="1"/>
  <c r="AT229" i="20" s="1"/>
  <c r="AT228" i="20" a="1"/>
  <c r="AT228" i="20" s="1"/>
  <c r="AT227" i="20" a="1"/>
  <c r="AT227" i="20" s="1"/>
  <c r="AT226" i="20" a="1"/>
  <c r="AT226" i="20" s="1"/>
  <c r="AT225" i="20" a="1"/>
  <c r="AT225" i="20" s="1"/>
  <c r="AT224" i="20" a="1"/>
  <c r="AT224" i="20" s="1"/>
  <c r="AT223" i="20" a="1"/>
  <c r="AT223" i="20" s="1"/>
  <c r="AT222" i="20" a="1"/>
  <c r="AT222" i="20" s="1"/>
  <c r="AT221" i="20" a="1"/>
  <c r="AT221" i="20" s="1"/>
  <c r="AT220" i="20" a="1"/>
  <c r="AT220" i="20" s="1"/>
  <c r="AT219" i="20" a="1"/>
  <c r="AT219" i="20" s="1"/>
  <c r="AT218" i="20" a="1"/>
  <c r="AT218" i="20" s="1"/>
  <c r="AT217" i="20" a="1"/>
  <c r="AT217" i="20" s="1"/>
  <c r="AT216" i="20" a="1"/>
  <c r="AT216" i="20" s="1"/>
  <c r="AT215" i="20" a="1"/>
  <c r="AT215" i="20" s="1"/>
  <c r="AT214" i="20" a="1"/>
  <c r="AT214" i="20" s="1"/>
  <c r="AT213" i="20" a="1"/>
  <c r="AT213" i="20" s="1"/>
  <c r="AT212" i="20" a="1"/>
  <c r="AT212" i="20" s="1"/>
  <c r="AT211" i="20" a="1"/>
  <c r="AT211" i="20" s="1"/>
  <c r="AT210" i="20" a="1"/>
  <c r="AT210" i="20" s="1"/>
  <c r="AT209" i="20" a="1"/>
  <c r="AT209" i="20" s="1"/>
  <c r="AT208" i="20" a="1"/>
  <c r="AT208" i="20" s="1"/>
  <c r="AT207" i="20" a="1"/>
  <c r="AT207" i="20" s="1"/>
  <c r="AT206" i="20" a="1"/>
  <c r="AT206" i="20" s="1"/>
  <c r="AT205" i="20" a="1"/>
  <c r="AT205" i="20" s="1"/>
  <c r="AT204" i="20" a="1"/>
  <c r="AT204" i="20" s="1"/>
  <c r="AT203" i="20" a="1"/>
  <c r="AT203" i="20" s="1"/>
  <c r="AT202" i="20" a="1"/>
  <c r="AT202" i="20" s="1"/>
  <c r="AT201" i="20" a="1"/>
  <c r="AT201" i="20" s="1"/>
  <c r="AT200" i="20" a="1"/>
  <c r="AT200" i="20" s="1"/>
  <c r="AT199" i="20" a="1"/>
  <c r="AT199" i="20" s="1"/>
  <c r="AT198" i="20" a="1"/>
  <c r="AT198" i="20" s="1"/>
  <c r="AT197" i="20" a="1"/>
  <c r="AT197" i="20" s="1"/>
  <c r="AT196" i="20" a="1"/>
  <c r="AT196" i="20" s="1"/>
  <c r="AT195" i="20" a="1"/>
  <c r="AT195" i="20" s="1"/>
  <c r="AT194" i="20" a="1"/>
  <c r="AT194" i="20" s="1"/>
  <c r="AT193" i="20" a="1"/>
  <c r="AT193" i="20" s="1"/>
  <c r="AT192" i="20" a="1"/>
  <c r="AT192" i="20" s="1"/>
  <c r="AT191" i="20" a="1"/>
  <c r="AT191" i="20" s="1"/>
  <c r="AT190" i="20" a="1"/>
  <c r="AT190" i="20" s="1"/>
  <c r="AT189" i="20" a="1"/>
  <c r="AT189" i="20" s="1"/>
  <c r="AT188" i="20" a="1"/>
  <c r="AT188" i="20" s="1"/>
  <c r="AT187" i="20" a="1"/>
  <c r="AT187" i="20" s="1"/>
  <c r="AT186" i="20" a="1"/>
  <c r="AT186" i="20" s="1"/>
  <c r="AT185" i="20" a="1"/>
  <c r="AT185" i="20" s="1"/>
  <c r="AT184" i="20" a="1"/>
  <c r="AT184" i="20" s="1"/>
  <c r="AT183" i="20" a="1"/>
  <c r="AT183" i="20" s="1"/>
  <c r="AT182" i="20" a="1"/>
  <c r="AT182" i="20" s="1"/>
  <c r="AT181" i="20" a="1"/>
  <c r="AT181" i="20" s="1"/>
  <c r="AT180" i="20" a="1"/>
  <c r="AT180" i="20" s="1"/>
  <c r="AT179" i="20" a="1"/>
  <c r="AT179" i="20" s="1"/>
  <c r="AT178" i="20" a="1"/>
  <c r="AT178" i="20" s="1"/>
  <c r="AT177" i="20" a="1"/>
  <c r="AT177" i="20" s="1"/>
  <c r="AT176" i="20" a="1"/>
  <c r="AT176" i="20" s="1"/>
  <c r="AT175" i="20" a="1"/>
  <c r="AT175" i="20" s="1"/>
  <c r="AT174" i="20" a="1"/>
  <c r="AT174" i="20" s="1"/>
  <c r="AT173" i="20" a="1"/>
  <c r="AT173" i="20" s="1"/>
  <c r="AT172" i="20" a="1"/>
  <c r="AT172" i="20" s="1"/>
  <c r="AT171" i="20" a="1"/>
  <c r="AT171" i="20" s="1"/>
  <c r="AT170" i="20" a="1"/>
  <c r="AT170" i="20" s="1"/>
  <c r="AT169" i="20" a="1"/>
  <c r="AT169" i="20" s="1"/>
  <c r="AT168" i="20" a="1"/>
  <c r="AT168" i="20" s="1"/>
  <c r="AT167" i="20" a="1"/>
  <c r="AT167" i="20" s="1"/>
  <c r="AT166" i="20" a="1"/>
  <c r="AT166" i="20" s="1"/>
  <c r="AT165" i="20" a="1"/>
  <c r="AT165" i="20" s="1"/>
  <c r="AT164" i="20" a="1"/>
  <c r="AT164" i="20" s="1"/>
  <c r="AT163" i="20" a="1"/>
  <c r="AT163" i="20" s="1"/>
  <c r="AT162" i="20" a="1"/>
  <c r="AT162" i="20" s="1"/>
  <c r="AT161" i="20" a="1"/>
  <c r="AT161" i="20" s="1"/>
  <c r="AT160" i="20" a="1"/>
  <c r="AT160" i="20" s="1"/>
  <c r="AT159" i="20" a="1"/>
  <c r="AT159" i="20" s="1"/>
  <c r="AT158" i="20" a="1"/>
  <c r="AT158" i="20" s="1"/>
  <c r="AT157" i="20" a="1"/>
  <c r="AT157" i="20" s="1"/>
  <c r="AT156" i="20" a="1"/>
  <c r="AT156" i="20" s="1"/>
  <c r="AT155" i="20" a="1"/>
  <c r="AT155" i="20" s="1"/>
  <c r="AT154" i="20" a="1"/>
  <c r="AT154" i="20" s="1"/>
  <c r="AT153" i="20" a="1"/>
  <c r="AT153" i="20" s="1"/>
  <c r="AT152" i="20" a="1"/>
  <c r="AT152" i="20" s="1"/>
  <c r="AT151" i="20" a="1"/>
  <c r="AT151" i="20" s="1"/>
  <c r="AT150" i="20" a="1"/>
  <c r="AT150" i="20" s="1"/>
  <c r="AT149" i="20" a="1"/>
  <c r="AT149" i="20" s="1"/>
  <c r="AT148" i="20" a="1"/>
  <c r="AT148" i="20" s="1"/>
  <c r="AT147" i="20" a="1"/>
  <c r="AT147" i="20" s="1"/>
  <c r="AT146" i="20" a="1"/>
  <c r="AT146" i="20" s="1"/>
  <c r="AT145" i="20" a="1"/>
  <c r="AT145" i="20" s="1"/>
  <c r="AT144" i="20" a="1"/>
  <c r="AT144" i="20" s="1"/>
  <c r="AT143" i="20" a="1"/>
  <c r="AT143" i="20" s="1"/>
  <c r="AT142" i="20" a="1"/>
  <c r="AT142" i="20" s="1"/>
  <c r="AT141" i="20" a="1"/>
  <c r="AT141" i="20" s="1"/>
  <c r="AT140" i="20" a="1"/>
  <c r="AT140" i="20" s="1"/>
  <c r="AT139" i="20" a="1"/>
  <c r="AT139" i="20" s="1"/>
  <c r="AT138" i="20" a="1"/>
  <c r="AT138" i="20" s="1"/>
  <c r="AT137" i="20" a="1"/>
  <c r="AT137" i="20" s="1"/>
  <c r="AT136" i="20" a="1"/>
  <c r="AT136" i="20" s="1"/>
  <c r="AT135" i="20" a="1"/>
  <c r="AT135" i="20" s="1"/>
  <c r="AT134" i="20" a="1"/>
  <c r="AT134" i="20" s="1"/>
  <c r="AT133" i="20" a="1"/>
  <c r="AT133" i="20" s="1"/>
  <c r="AT132" i="20" a="1"/>
  <c r="AT132" i="20" s="1"/>
  <c r="AT131" i="20" a="1"/>
  <c r="AT131" i="20" s="1"/>
  <c r="AT130" i="20" a="1"/>
  <c r="AT130" i="20" s="1"/>
  <c r="AT129" i="20" a="1"/>
  <c r="AT129" i="20" s="1"/>
  <c r="AT128" i="20" a="1"/>
  <c r="AT128" i="20" s="1"/>
  <c r="AT127" i="20" a="1"/>
  <c r="AT127" i="20" s="1"/>
  <c r="AT126" i="20" a="1"/>
  <c r="AT126" i="20" s="1"/>
  <c r="AT125" i="20" a="1"/>
  <c r="AT125" i="20" s="1"/>
  <c r="AT124" i="20" a="1"/>
  <c r="AT124" i="20" s="1"/>
  <c r="AT123" i="20" a="1"/>
  <c r="AT123" i="20" s="1"/>
  <c r="AT122" i="20" a="1"/>
  <c r="AT122" i="20" s="1"/>
  <c r="AT121" i="20" a="1"/>
  <c r="AT121" i="20" s="1"/>
  <c r="AT120" i="20" a="1"/>
  <c r="AT120" i="20" s="1"/>
  <c r="AT119" i="20" a="1"/>
  <c r="AT119" i="20" s="1"/>
  <c r="AT118" i="20" a="1"/>
  <c r="AT118" i="20" s="1"/>
  <c r="AT117" i="20" a="1"/>
  <c r="AT117" i="20" s="1"/>
  <c r="AT116" i="20" a="1"/>
  <c r="AT116" i="20" s="1"/>
  <c r="AT115" i="20" a="1"/>
  <c r="AT115" i="20" s="1"/>
  <c r="AT114" i="20" a="1"/>
  <c r="AT114" i="20" s="1"/>
  <c r="AT113" i="20" a="1"/>
  <c r="AT113" i="20" s="1"/>
  <c r="AT112" i="20" a="1"/>
  <c r="AT112" i="20" s="1"/>
  <c r="AT111" i="20" a="1"/>
  <c r="AT111" i="20" s="1"/>
  <c r="AT110" i="20" a="1"/>
  <c r="AT110" i="20" s="1"/>
  <c r="AT109" i="20" a="1"/>
  <c r="AT109" i="20" s="1"/>
  <c r="AT108" i="20" a="1"/>
  <c r="AT108" i="20" s="1"/>
  <c r="AT107" i="20" a="1"/>
  <c r="AT107" i="20" s="1"/>
  <c r="AT106" i="20" a="1"/>
  <c r="AT106" i="20" s="1"/>
  <c r="AT105" i="20" a="1"/>
  <c r="AT105" i="20" s="1"/>
  <c r="AT104" i="20" a="1"/>
  <c r="AT104" i="20" s="1"/>
  <c r="AT103" i="20" a="1"/>
  <c r="AT103" i="20" s="1"/>
  <c r="AT102" i="20" a="1"/>
  <c r="AT102" i="20" s="1"/>
  <c r="AT101" i="20" a="1"/>
  <c r="AT101" i="20" s="1"/>
  <c r="AT100" i="20" a="1"/>
  <c r="AT100" i="20" s="1"/>
  <c r="AT99" i="20" a="1"/>
  <c r="AT99" i="20" s="1"/>
  <c r="AT98" i="20" a="1"/>
  <c r="AT98" i="20" s="1"/>
  <c r="AT97" i="20" a="1"/>
  <c r="AT97" i="20" s="1"/>
  <c r="AT96" i="20" a="1"/>
  <c r="AT96" i="20" s="1"/>
  <c r="AT95" i="20" a="1"/>
  <c r="AT95" i="20" s="1"/>
  <c r="AT94" i="20" a="1"/>
  <c r="AT94" i="20" s="1"/>
  <c r="AT93" i="20" a="1"/>
  <c r="AT93" i="20" s="1"/>
  <c r="AT92" i="20" a="1"/>
  <c r="AT92" i="20" s="1"/>
  <c r="AT91" i="20" a="1"/>
  <c r="AT91" i="20" s="1"/>
  <c r="AT90" i="20" a="1"/>
  <c r="AT90" i="20" s="1"/>
  <c r="AT89" i="20" a="1"/>
  <c r="AT89" i="20" s="1"/>
  <c r="AT88" i="20" a="1"/>
  <c r="AT88" i="20" s="1"/>
  <c r="AT87" i="20" a="1"/>
  <c r="AT87" i="20" s="1"/>
  <c r="AT86" i="20" a="1"/>
  <c r="AT86" i="20" s="1"/>
  <c r="AT85" i="20" a="1"/>
  <c r="AT85" i="20" s="1"/>
  <c r="AT84" i="20" a="1"/>
  <c r="AT84" i="20" s="1"/>
  <c r="AT83" i="20" a="1"/>
  <c r="AT83" i="20" s="1"/>
  <c r="AT82" i="20" a="1"/>
  <c r="AT82" i="20" s="1"/>
  <c r="AT81" i="20" a="1"/>
  <c r="AT81" i="20" s="1"/>
  <c r="AT80" i="20" a="1"/>
  <c r="AT80" i="20" s="1"/>
  <c r="AT79" i="20" a="1"/>
  <c r="AT79" i="20" s="1"/>
  <c r="AT78" i="20" a="1"/>
  <c r="AT78" i="20" s="1"/>
  <c r="AT77" i="20" a="1"/>
  <c r="AT77" i="20" s="1"/>
  <c r="AT76" i="20" a="1"/>
  <c r="AT76" i="20" s="1"/>
  <c r="AT75" i="20" a="1"/>
  <c r="AT75" i="20" s="1"/>
  <c r="AT74" i="20" a="1"/>
  <c r="AT74" i="20" s="1"/>
  <c r="AT73" i="20" a="1"/>
  <c r="AT73" i="20" s="1"/>
  <c r="AT72" i="20" a="1"/>
  <c r="AT72" i="20" s="1"/>
  <c r="AT71" i="20" a="1"/>
  <c r="AT71" i="20" s="1"/>
  <c r="AT70" i="20" a="1"/>
  <c r="AT70" i="20" s="1"/>
  <c r="AT69" i="20" a="1"/>
  <c r="AT69" i="20" s="1"/>
  <c r="AT68" i="20" a="1"/>
  <c r="AT68" i="20" s="1"/>
  <c r="AT67" i="20" a="1"/>
  <c r="AT67" i="20" s="1"/>
  <c r="AT66" i="20" a="1"/>
  <c r="AT66" i="20" s="1"/>
  <c r="AT65" i="20" a="1"/>
  <c r="AT65" i="20" s="1"/>
  <c r="AT64" i="20" a="1"/>
  <c r="AT64" i="20" s="1"/>
  <c r="AT63" i="20" a="1"/>
  <c r="AT63" i="20" s="1"/>
  <c r="AT62" i="20" a="1"/>
  <c r="AT62" i="20" s="1"/>
  <c r="AT61" i="20" a="1"/>
  <c r="AT61" i="20" s="1"/>
  <c r="AT60" i="20" a="1"/>
  <c r="AT60" i="20" s="1"/>
  <c r="AT59" i="20" a="1"/>
  <c r="AT59" i="20" s="1"/>
  <c r="AT58" i="20" a="1"/>
  <c r="AT58" i="20" s="1"/>
  <c r="AT57" i="20" a="1"/>
  <c r="AT57" i="20" s="1"/>
  <c r="AT56" i="20" a="1"/>
  <c r="AT56" i="20" s="1"/>
  <c r="AT55" i="20" a="1"/>
  <c r="AT55" i="20" s="1"/>
  <c r="AT54" i="20" a="1"/>
  <c r="AT54" i="20" s="1"/>
  <c r="AT53" i="20" a="1"/>
  <c r="AT53" i="20" s="1"/>
  <c r="AT52" i="20" a="1"/>
  <c r="AT52" i="20" s="1"/>
  <c r="AT51" i="20" a="1"/>
  <c r="AT51" i="20" s="1"/>
  <c r="AT50" i="20" a="1"/>
  <c r="AT50" i="20" s="1"/>
  <c r="AT49" i="20" a="1"/>
  <c r="AT49" i="20" s="1"/>
  <c r="AT48" i="20" a="1"/>
  <c r="AT48" i="20" s="1"/>
  <c r="AT47" i="20" a="1"/>
  <c r="AT47" i="20" s="1"/>
  <c r="AT46" i="20" a="1"/>
  <c r="AT46" i="20" s="1"/>
  <c r="AT45" i="20" a="1"/>
  <c r="AT45" i="20" s="1"/>
  <c r="AT44" i="20" a="1"/>
  <c r="AT44" i="20" s="1"/>
  <c r="AT43" i="20" a="1"/>
  <c r="AT43" i="20" s="1"/>
  <c r="AT42" i="20" a="1"/>
  <c r="AT42" i="20" s="1"/>
  <c r="AT41" i="20" a="1"/>
  <c r="AT41" i="20" s="1"/>
  <c r="AT40" i="20" a="1"/>
  <c r="AT40" i="20" s="1"/>
  <c r="AT39" i="20" a="1"/>
  <c r="AT39" i="20" s="1"/>
  <c r="AT38" i="20" a="1"/>
  <c r="AT38" i="20" s="1"/>
  <c r="AT37" i="20" a="1"/>
  <c r="AT37" i="20" s="1"/>
  <c r="AT36" i="20" a="1"/>
  <c r="AT36" i="20" s="1"/>
  <c r="AT35" i="20" a="1"/>
  <c r="AT35" i="20" s="1"/>
  <c r="AT34" i="20" a="1"/>
  <c r="AT34" i="20" s="1"/>
  <c r="AT33" i="20" a="1"/>
  <c r="AT33" i="20" s="1"/>
  <c r="AT32" i="20" a="1"/>
  <c r="AT32" i="20" s="1"/>
  <c r="AT31" i="20" a="1"/>
  <c r="AT31" i="20" s="1"/>
  <c r="AT30" i="20" a="1"/>
  <c r="AT30" i="20" s="1"/>
  <c r="AT29" i="20" a="1"/>
  <c r="AT29" i="20" s="1"/>
  <c r="AT28" i="20" a="1"/>
  <c r="AT28" i="20" s="1"/>
  <c r="AT27" i="20" a="1"/>
  <c r="AT27" i="20" s="1"/>
  <c r="AT26" i="20" a="1"/>
  <c r="AT26" i="20" s="1"/>
  <c r="AT25" i="20" a="1"/>
  <c r="AT25" i="20" s="1"/>
  <c r="AT24" i="20" a="1"/>
  <c r="AT24" i="20" s="1"/>
  <c r="AT23" i="20" a="1"/>
  <c r="AT23" i="20" s="1"/>
  <c r="AT22" i="20" a="1"/>
  <c r="AT22" i="20" s="1"/>
  <c r="AT21" i="20" a="1"/>
  <c r="AT21" i="20" s="1"/>
  <c r="AT20" i="20" a="1"/>
  <c r="AT20" i="20" s="1"/>
  <c r="AT19" i="20" a="1"/>
  <c r="AT19" i="20" s="1"/>
  <c r="AT18" i="20" a="1"/>
  <c r="AT18" i="20" s="1"/>
  <c r="AT17" i="20" a="1"/>
  <c r="AT17" i="20" s="1"/>
  <c r="AT16" i="20" a="1"/>
  <c r="AT16" i="20" s="1"/>
  <c r="AT15" i="20" a="1"/>
  <c r="AT15" i="20" s="1"/>
  <c r="AT14" i="20" a="1"/>
  <c r="AT14" i="20" s="1"/>
  <c r="AT13" i="20" a="1"/>
  <c r="AT13" i="20" s="1"/>
  <c r="AT12" i="20" a="1"/>
  <c r="AT12" i="20" s="1"/>
  <c r="AT11" i="20" a="1"/>
  <c r="AT11" i="20" s="1"/>
  <c r="AT10" i="20" a="1"/>
  <c r="AT10" i="20" s="1"/>
  <c r="AT9" i="20" a="1"/>
  <c r="AT9" i="20" s="1"/>
  <c r="AT8" i="20" a="1"/>
  <c r="AT8" i="20" s="1"/>
  <c r="AT7" i="20" a="1"/>
  <c r="AT7" i="20" s="1"/>
  <c r="AT6" i="20" a="1"/>
  <c r="AT6" i="20" s="1"/>
  <c r="AT5" i="20" a="1"/>
  <c r="AT5" i="20" s="1"/>
  <c r="AT4" i="20" a="1"/>
  <c r="AT4" i="20" s="1"/>
  <c r="AT3" i="20" a="1"/>
  <c r="AT3" i="20" s="1"/>
  <c r="AT2" i="20" a="1"/>
  <c r="AT2" i="20" s="1"/>
  <c r="AR367" i="20" a="1"/>
  <c r="AR367" i="20" s="1"/>
  <c r="AR366" i="20" a="1"/>
  <c r="AR366" i="20" s="1"/>
  <c r="AR365" i="20" a="1"/>
  <c r="AR365" i="20" s="1"/>
  <c r="AR364" i="20" a="1"/>
  <c r="AR364" i="20" s="1"/>
  <c r="AR363" i="20" a="1"/>
  <c r="AR363" i="20" s="1"/>
  <c r="AR362" i="20" a="1"/>
  <c r="AR362" i="20" s="1"/>
  <c r="AR361" i="20" a="1"/>
  <c r="AR361" i="20" s="1"/>
  <c r="AR360" i="20" a="1"/>
  <c r="AR360" i="20" s="1"/>
  <c r="AR359" i="20" a="1"/>
  <c r="AR359" i="20" s="1"/>
  <c r="AR358" i="20" a="1"/>
  <c r="AR358" i="20" s="1"/>
  <c r="AR357" i="20" a="1"/>
  <c r="AR357" i="20" s="1"/>
  <c r="AR356" i="20" a="1"/>
  <c r="AR356" i="20" s="1"/>
  <c r="AR355" i="20" a="1"/>
  <c r="AR355" i="20" s="1"/>
  <c r="AR354" i="20" a="1"/>
  <c r="AR354" i="20" s="1"/>
  <c r="AR353" i="20" a="1"/>
  <c r="AR353" i="20" s="1"/>
  <c r="AR352" i="20" a="1"/>
  <c r="AR352" i="20" s="1"/>
  <c r="AR351" i="20" a="1"/>
  <c r="AR351" i="20" s="1"/>
  <c r="AR350" i="20" a="1"/>
  <c r="AR350" i="20" s="1"/>
  <c r="AR349" i="20" a="1"/>
  <c r="AR349" i="20" s="1"/>
  <c r="AR348" i="20" a="1"/>
  <c r="AR348" i="20" s="1"/>
  <c r="AR347" i="20" a="1"/>
  <c r="AR347" i="20" s="1"/>
  <c r="AR346" i="20" a="1"/>
  <c r="AR346" i="20" s="1"/>
  <c r="AR345" i="20" a="1"/>
  <c r="AR345" i="20" s="1"/>
  <c r="AR344" i="20" a="1"/>
  <c r="AR344" i="20" s="1"/>
  <c r="AR343" i="20" a="1"/>
  <c r="AR343" i="20" s="1"/>
  <c r="AR342" i="20" a="1"/>
  <c r="AR342" i="20" s="1"/>
  <c r="AR341" i="20" a="1"/>
  <c r="AR341" i="20" s="1"/>
  <c r="AR340" i="20" a="1"/>
  <c r="AR340" i="20" s="1"/>
  <c r="AR339" i="20" a="1"/>
  <c r="AR339" i="20" s="1"/>
  <c r="AR338" i="20" a="1"/>
  <c r="AR338" i="20" s="1"/>
  <c r="AR337" i="20" a="1"/>
  <c r="AR337" i="20" s="1"/>
  <c r="AR336" i="20" a="1"/>
  <c r="AR336" i="20" s="1"/>
  <c r="AR335" i="20" a="1"/>
  <c r="AR335" i="20" s="1"/>
  <c r="AR334" i="20" a="1"/>
  <c r="AR334" i="20" s="1"/>
  <c r="AR333" i="20" a="1"/>
  <c r="AR333" i="20" s="1"/>
  <c r="AR332" i="20" a="1"/>
  <c r="AR332" i="20" s="1"/>
  <c r="AR331" i="20" a="1"/>
  <c r="AR331" i="20" s="1"/>
  <c r="AR330" i="20" a="1"/>
  <c r="AR330" i="20" s="1"/>
  <c r="AR329" i="20" a="1"/>
  <c r="AR329" i="20" s="1"/>
  <c r="AR328" i="20" a="1"/>
  <c r="AR328" i="20" s="1"/>
  <c r="AR327" i="20" a="1"/>
  <c r="AR327" i="20" s="1"/>
  <c r="AR326" i="20" a="1"/>
  <c r="AR326" i="20" s="1"/>
  <c r="AR325" i="20" a="1"/>
  <c r="AR325" i="20" s="1"/>
  <c r="AR324" i="20" a="1"/>
  <c r="AR324" i="20" s="1"/>
  <c r="AR323" i="20" a="1"/>
  <c r="AR323" i="20" s="1"/>
  <c r="AR322" i="20" a="1"/>
  <c r="AR322" i="20" s="1"/>
  <c r="AR321" i="20" a="1"/>
  <c r="AR321" i="20" s="1"/>
  <c r="AR320" i="20" a="1"/>
  <c r="AR320" i="20" s="1"/>
  <c r="AR319" i="20" a="1"/>
  <c r="AR319" i="20" s="1"/>
  <c r="AR318" i="20" a="1"/>
  <c r="AR318" i="20" s="1"/>
  <c r="AR317" i="20" a="1"/>
  <c r="AR317" i="20" s="1"/>
  <c r="AR316" i="20" a="1"/>
  <c r="AR316" i="20" s="1"/>
  <c r="AR315" i="20" a="1"/>
  <c r="AR315" i="20" s="1"/>
  <c r="AR314" i="20" a="1"/>
  <c r="AR314" i="20" s="1"/>
  <c r="AR313" i="20" a="1"/>
  <c r="AR313" i="20" s="1"/>
  <c r="AR312" i="20" a="1"/>
  <c r="AR312" i="20" s="1"/>
  <c r="AR311" i="20" a="1"/>
  <c r="AR311" i="20" s="1"/>
  <c r="AR310" i="20" a="1"/>
  <c r="AR310" i="20" s="1"/>
  <c r="AR309" i="20" a="1"/>
  <c r="AR309" i="20" s="1"/>
  <c r="AR308" i="20" a="1"/>
  <c r="AR308" i="20" s="1"/>
  <c r="AR307" i="20" a="1"/>
  <c r="AR307" i="20" s="1"/>
  <c r="AR306" i="20" a="1"/>
  <c r="AR306" i="20" s="1"/>
  <c r="AR305" i="20" a="1"/>
  <c r="AR305" i="20" s="1"/>
  <c r="AR304" i="20" a="1"/>
  <c r="AR304" i="20" s="1"/>
  <c r="AR303" i="20" a="1"/>
  <c r="AR303" i="20" s="1"/>
  <c r="AR302" i="20" a="1"/>
  <c r="AR302" i="20" s="1"/>
  <c r="AR301" i="20" a="1"/>
  <c r="AR301" i="20" s="1"/>
  <c r="AR300" i="20" a="1"/>
  <c r="AR300" i="20" s="1"/>
  <c r="AR299" i="20" a="1"/>
  <c r="AR299" i="20" s="1"/>
  <c r="AR298" i="20" a="1"/>
  <c r="AR298" i="20" s="1"/>
  <c r="AR297" i="20" a="1"/>
  <c r="AR297" i="20" s="1"/>
  <c r="AR296" i="20" a="1"/>
  <c r="AR296" i="20" s="1"/>
  <c r="AR295" i="20" a="1"/>
  <c r="AR295" i="20" s="1"/>
  <c r="AR294" i="20" a="1"/>
  <c r="AR294" i="20" s="1"/>
  <c r="AR293" i="20" a="1"/>
  <c r="AR293" i="20" s="1"/>
  <c r="AR292" i="20" a="1"/>
  <c r="AR292" i="20" s="1"/>
  <c r="AR291" i="20" a="1"/>
  <c r="AR291" i="20" s="1"/>
  <c r="AR290" i="20" a="1"/>
  <c r="AR290" i="20" s="1"/>
  <c r="AR289" i="20" a="1"/>
  <c r="AR289" i="20" s="1"/>
  <c r="AR288" i="20" a="1"/>
  <c r="AR288" i="20" s="1"/>
  <c r="AR287" i="20" a="1"/>
  <c r="AR287" i="20" s="1"/>
  <c r="AR286" i="20" a="1"/>
  <c r="AR286" i="20" s="1"/>
  <c r="AR285" i="20" a="1"/>
  <c r="AR285" i="20" s="1"/>
  <c r="AR284" i="20" a="1"/>
  <c r="AR284" i="20" s="1"/>
  <c r="AR283" i="20" a="1"/>
  <c r="AR283" i="20" s="1"/>
  <c r="AR282" i="20" a="1"/>
  <c r="AR282" i="20" s="1"/>
  <c r="AR281" i="20" a="1"/>
  <c r="AR281" i="20" s="1"/>
  <c r="AR280" i="20" a="1"/>
  <c r="AR280" i="20" s="1"/>
  <c r="AR279" i="20" a="1"/>
  <c r="AR279" i="20" s="1"/>
  <c r="AR278" i="20" a="1"/>
  <c r="AR278" i="20" s="1"/>
  <c r="AR277" i="20" a="1"/>
  <c r="AR277" i="20" s="1"/>
  <c r="AR276" i="20" a="1"/>
  <c r="AR276" i="20" s="1"/>
  <c r="AR275" i="20" a="1"/>
  <c r="AR275" i="20" s="1"/>
  <c r="AR274" i="20" a="1"/>
  <c r="AR274" i="20" s="1"/>
  <c r="AR273" i="20" a="1"/>
  <c r="AR273" i="20" s="1"/>
  <c r="AR272" i="20" a="1"/>
  <c r="AR272" i="20" s="1"/>
  <c r="AR271" i="20" a="1"/>
  <c r="AR271" i="20" s="1"/>
  <c r="AR270" i="20" a="1"/>
  <c r="AR270" i="20" s="1"/>
  <c r="AR269" i="20" a="1"/>
  <c r="AR269" i="20" s="1"/>
  <c r="AR268" i="20" a="1"/>
  <c r="AR268" i="20" s="1"/>
  <c r="AR267" i="20" a="1"/>
  <c r="AR267" i="20" s="1"/>
  <c r="AR266" i="20" a="1"/>
  <c r="AR266" i="20" s="1"/>
  <c r="AR265" i="20" a="1"/>
  <c r="AR265" i="20" s="1"/>
  <c r="AR264" i="20" a="1"/>
  <c r="AR264" i="20" s="1"/>
  <c r="AR263" i="20" a="1"/>
  <c r="AR263" i="20" s="1"/>
  <c r="AR262" i="20" a="1"/>
  <c r="AR262" i="20" s="1"/>
  <c r="AR261" i="20" a="1"/>
  <c r="AR261" i="20" s="1"/>
  <c r="AR260" i="20" a="1"/>
  <c r="AR260" i="20" s="1"/>
  <c r="AR259" i="20" a="1"/>
  <c r="AR259" i="20" s="1"/>
  <c r="AR258" i="20" a="1"/>
  <c r="AR258" i="20" s="1"/>
  <c r="AR257" i="20" a="1"/>
  <c r="AR257" i="20" s="1"/>
  <c r="AR256" i="20" a="1"/>
  <c r="AR256" i="20" s="1"/>
  <c r="AR255" i="20" a="1"/>
  <c r="AR255" i="20" s="1"/>
  <c r="AR254" i="20" a="1"/>
  <c r="AR254" i="20" s="1"/>
  <c r="AR253" i="20" a="1"/>
  <c r="AR253" i="20" s="1"/>
  <c r="AR252" i="20" a="1"/>
  <c r="AR252" i="20" s="1"/>
  <c r="AR251" i="20" a="1"/>
  <c r="AR251" i="20" s="1"/>
  <c r="AR250" i="20" a="1"/>
  <c r="AR250" i="20" s="1"/>
  <c r="AR249" i="20" a="1"/>
  <c r="AR249" i="20" s="1"/>
  <c r="AR248" i="20" a="1"/>
  <c r="AR248" i="20" s="1"/>
  <c r="AR247" i="20" a="1"/>
  <c r="AR247" i="20" s="1"/>
  <c r="AR246" i="20" a="1"/>
  <c r="AR246" i="20" s="1"/>
  <c r="AR245" i="20" a="1"/>
  <c r="AR245" i="20" s="1"/>
  <c r="AR244" i="20" a="1"/>
  <c r="AR244" i="20" s="1"/>
  <c r="AR243" i="20" a="1"/>
  <c r="AR243" i="20" s="1"/>
  <c r="AR242" i="20" a="1"/>
  <c r="AR242" i="20" s="1"/>
  <c r="AR241" i="20" a="1"/>
  <c r="AR241" i="20" s="1"/>
  <c r="AR240" i="20" a="1"/>
  <c r="AR240" i="20" s="1"/>
  <c r="AR239" i="20" a="1"/>
  <c r="AR239" i="20" s="1"/>
  <c r="AR238" i="20" a="1"/>
  <c r="AR238" i="20" s="1"/>
  <c r="AR237" i="20" a="1"/>
  <c r="AR237" i="20" s="1"/>
  <c r="AR236" i="20" a="1"/>
  <c r="AR236" i="20" s="1"/>
  <c r="AR235" i="20" a="1"/>
  <c r="AR235" i="20" s="1"/>
  <c r="AR234" i="20" a="1"/>
  <c r="AR234" i="20" s="1"/>
  <c r="AR233" i="20" a="1"/>
  <c r="AR233" i="20" s="1"/>
  <c r="AR232" i="20" a="1"/>
  <c r="AR232" i="20" s="1"/>
  <c r="AR231" i="20" a="1"/>
  <c r="AR231" i="20" s="1"/>
  <c r="AR230" i="20" a="1"/>
  <c r="AR230" i="20" s="1"/>
  <c r="AR229" i="20" a="1"/>
  <c r="AR229" i="20" s="1"/>
  <c r="AR228" i="20" a="1"/>
  <c r="AR228" i="20" s="1"/>
  <c r="AR227" i="20" a="1"/>
  <c r="AR227" i="20" s="1"/>
  <c r="AP3" i="20" a="1"/>
  <c r="AP3" i="20" s="1"/>
  <c r="AP4" i="20" a="1"/>
  <c r="AP4" i="20" s="1"/>
  <c r="AP5" i="20" a="1"/>
  <c r="AP5" i="20" s="1"/>
  <c r="AP6" i="20" a="1"/>
  <c r="AP6" i="20" s="1"/>
  <c r="AP7" i="20" a="1"/>
  <c r="AP7" i="20" s="1"/>
  <c r="AP8" i="20" a="1"/>
  <c r="AP8" i="20" s="1"/>
  <c r="AP9" i="20" a="1"/>
  <c r="AP9" i="20" s="1"/>
  <c r="AP10" i="20" a="1"/>
  <c r="AP10" i="20" s="1"/>
  <c r="AP11" i="20" a="1"/>
  <c r="AP11" i="20" s="1"/>
  <c r="AP12" i="20" a="1"/>
  <c r="AP12" i="20" s="1"/>
  <c r="AP13" i="20" a="1"/>
  <c r="AP13" i="20" s="1"/>
  <c r="AP14" i="20" a="1"/>
  <c r="AP14" i="20" s="1"/>
  <c r="AP15" i="20" a="1"/>
  <c r="AP15" i="20" s="1"/>
  <c r="AP16" i="20" a="1"/>
  <c r="AP16" i="20" s="1"/>
  <c r="AP17" i="20" a="1"/>
  <c r="AP17" i="20" s="1"/>
  <c r="AP18" i="20" a="1"/>
  <c r="AP18" i="20" s="1"/>
  <c r="AP19" i="20" a="1"/>
  <c r="AP19" i="20" s="1"/>
  <c r="AP20" i="20" a="1"/>
  <c r="AP20" i="20" s="1"/>
  <c r="AP21" i="20" a="1"/>
  <c r="AP21" i="20" s="1"/>
  <c r="AP22" i="20" a="1"/>
  <c r="AP22" i="20" s="1"/>
  <c r="AP23" i="20" a="1"/>
  <c r="AP23" i="20" s="1"/>
  <c r="AP24" i="20" a="1"/>
  <c r="AP24" i="20" s="1"/>
  <c r="AP25" i="20" a="1"/>
  <c r="AP25" i="20" s="1"/>
  <c r="AP26" i="20" a="1"/>
  <c r="AP26" i="20" s="1"/>
  <c r="AP27" i="20" a="1"/>
  <c r="AP27" i="20" s="1"/>
  <c r="AP28" i="20" a="1"/>
  <c r="AP28" i="20" s="1"/>
  <c r="AP29" i="20" a="1"/>
  <c r="AP29" i="20" s="1"/>
  <c r="AP30" i="20" a="1"/>
  <c r="AP30" i="20" s="1"/>
  <c r="AP31" i="20" a="1"/>
  <c r="AP31" i="20" s="1"/>
  <c r="AP32" i="20" a="1"/>
  <c r="AP32" i="20" s="1"/>
  <c r="AP33" i="20" a="1"/>
  <c r="AP33" i="20" s="1"/>
  <c r="AP34" i="20" a="1"/>
  <c r="AP34" i="20" s="1"/>
  <c r="AP35" i="20" a="1"/>
  <c r="AP35" i="20" s="1"/>
  <c r="AP36" i="20" a="1"/>
  <c r="AP36" i="20" s="1"/>
  <c r="AP37" i="20" a="1"/>
  <c r="AP37" i="20" s="1"/>
  <c r="AP38" i="20" a="1"/>
  <c r="AP38" i="20" s="1"/>
  <c r="AP39" i="20" a="1"/>
  <c r="AP39" i="20" s="1"/>
  <c r="AP40" i="20" a="1"/>
  <c r="AP40" i="20" s="1"/>
  <c r="AP41" i="20" a="1"/>
  <c r="AP41" i="20" s="1"/>
  <c r="AP42" i="20" a="1"/>
  <c r="AP42" i="20" s="1"/>
  <c r="AP43" i="20" a="1"/>
  <c r="AP43" i="20" s="1"/>
  <c r="AP44" i="20" a="1"/>
  <c r="AP44" i="20" s="1"/>
  <c r="AP45" i="20" a="1"/>
  <c r="AP45" i="20" s="1"/>
  <c r="AP46" i="20" a="1"/>
  <c r="AP46" i="20" s="1"/>
  <c r="AP47" i="20" a="1"/>
  <c r="AP47" i="20" s="1"/>
  <c r="AP48" i="20" a="1"/>
  <c r="AP48" i="20" s="1"/>
  <c r="AP49" i="20" a="1"/>
  <c r="AP49" i="20" s="1"/>
  <c r="AP50" i="20" a="1"/>
  <c r="AP50" i="20" s="1"/>
  <c r="AP51" i="20" a="1"/>
  <c r="AP51" i="20" s="1"/>
  <c r="AP52" i="20" a="1"/>
  <c r="AP52" i="20" s="1"/>
  <c r="AP53" i="20" a="1"/>
  <c r="AP53" i="20" s="1"/>
  <c r="AP54" i="20" a="1"/>
  <c r="AP54" i="20" s="1"/>
  <c r="AP55" i="20" a="1"/>
  <c r="AP55" i="20" s="1"/>
  <c r="AP56" i="20" a="1"/>
  <c r="AP56" i="20" s="1"/>
  <c r="AP57" i="20" a="1"/>
  <c r="AP57" i="20" s="1"/>
  <c r="AP58" i="20" a="1"/>
  <c r="AP58" i="20" s="1"/>
  <c r="AP59" i="20" a="1"/>
  <c r="AP59" i="20" s="1"/>
  <c r="AP60" i="20" a="1"/>
  <c r="AP60" i="20" s="1"/>
  <c r="AP61" i="20" a="1"/>
  <c r="AP61" i="20" s="1"/>
  <c r="AP62" i="20" a="1"/>
  <c r="AP62" i="20" s="1"/>
  <c r="AP63" i="20" a="1"/>
  <c r="AP63" i="20" s="1"/>
  <c r="AP64" i="20" a="1"/>
  <c r="AP64" i="20" s="1"/>
  <c r="AP65" i="20" a="1"/>
  <c r="AP65" i="20" s="1"/>
  <c r="AP66" i="20" a="1"/>
  <c r="AP66" i="20" s="1"/>
  <c r="AP67" i="20" a="1"/>
  <c r="AP67" i="20" s="1"/>
  <c r="AP68" i="20" a="1"/>
  <c r="AP68" i="20" s="1"/>
  <c r="AP69" i="20" a="1"/>
  <c r="AP69" i="20" s="1"/>
  <c r="AP70" i="20" a="1"/>
  <c r="AP70" i="20" s="1"/>
  <c r="AP71" i="20" a="1"/>
  <c r="AP71" i="20" s="1"/>
  <c r="AP72" i="20" a="1"/>
  <c r="AP72" i="20" s="1"/>
  <c r="AP73" i="20" a="1"/>
  <c r="AP73" i="20" s="1"/>
  <c r="AP74" i="20" a="1"/>
  <c r="AP74" i="20" s="1"/>
  <c r="AP75" i="20" a="1"/>
  <c r="AP75" i="20" s="1"/>
  <c r="AP76" i="20" a="1"/>
  <c r="AP76" i="20" s="1"/>
  <c r="AP77" i="20" a="1"/>
  <c r="AP77" i="20" s="1"/>
  <c r="AP78" i="20" a="1"/>
  <c r="AP78" i="20" s="1"/>
  <c r="AP79" i="20" a="1"/>
  <c r="AP79" i="20" s="1"/>
  <c r="AP80" i="20" a="1"/>
  <c r="AP80" i="20" s="1"/>
  <c r="AP81" i="20" a="1"/>
  <c r="AP81" i="20" s="1"/>
  <c r="AP82" i="20" a="1"/>
  <c r="AP82" i="20" s="1"/>
  <c r="AP83" i="20" a="1"/>
  <c r="AP83" i="20" s="1"/>
  <c r="AP84" i="20" a="1"/>
  <c r="AP84" i="20" s="1"/>
  <c r="AP85" i="20" a="1"/>
  <c r="AP85" i="20" s="1"/>
  <c r="AP86" i="20" a="1"/>
  <c r="AP86" i="20" s="1"/>
  <c r="AP87" i="20" a="1"/>
  <c r="AP87" i="20" s="1"/>
  <c r="AP88" i="20" a="1"/>
  <c r="AP88" i="20" s="1"/>
  <c r="AP89" i="20" a="1"/>
  <c r="AP89" i="20" s="1"/>
  <c r="AP90" i="20" a="1"/>
  <c r="AP90" i="20" s="1"/>
  <c r="AP91" i="20" a="1"/>
  <c r="AP91" i="20" s="1"/>
  <c r="AP92" i="20" a="1"/>
  <c r="AP92" i="20" s="1"/>
  <c r="AP93" i="20" a="1"/>
  <c r="AP93" i="20" s="1"/>
  <c r="AP94" i="20" a="1"/>
  <c r="AP94" i="20" s="1"/>
  <c r="AP95" i="20" a="1"/>
  <c r="AP95" i="20" s="1"/>
  <c r="AP96" i="20" a="1"/>
  <c r="AP96" i="20" s="1"/>
  <c r="AP97" i="20" a="1"/>
  <c r="AP97" i="20" s="1"/>
  <c r="AP98" i="20" a="1"/>
  <c r="AP98" i="20" s="1"/>
  <c r="AP99" i="20" a="1"/>
  <c r="AP99" i="20" s="1"/>
  <c r="AP100" i="20" a="1"/>
  <c r="AP100" i="20" s="1"/>
  <c r="AP101" i="20" a="1"/>
  <c r="AP101" i="20" s="1"/>
  <c r="AP102" i="20" a="1"/>
  <c r="AP102" i="20" s="1"/>
  <c r="AP103" i="20" a="1"/>
  <c r="AP103" i="20" s="1"/>
  <c r="AP104" i="20" a="1"/>
  <c r="AP104" i="20" s="1"/>
  <c r="AP105" i="20" a="1"/>
  <c r="AP105" i="20" s="1"/>
  <c r="AP106" i="20" a="1"/>
  <c r="AP106" i="20" s="1"/>
  <c r="AP107" i="20" a="1"/>
  <c r="AP107" i="20" s="1"/>
  <c r="AP108" i="20" a="1"/>
  <c r="AP108" i="20" s="1"/>
  <c r="AP109" i="20" a="1"/>
  <c r="AP109" i="20" s="1"/>
  <c r="AP110" i="20" a="1"/>
  <c r="AP110" i="20" s="1"/>
  <c r="AP111" i="20" a="1"/>
  <c r="AP111" i="20" s="1"/>
  <c r="AP112" i="20" a="1"/>
  <c r="AP112" i="20" s="1"/>
  <c r="AP113" i="20" a="1"/>
  <c r="AP113" i="20" s="1"/>
  <c r="AP114" i="20" a="1"/>
  <c r="AP114" i="20" s="1"/>
  <c r="AP115" i="20" a="1"/>
  <c r="AP115" i="20" s="1"/>
  <c r="AP116" i="20" a="1"/>
  <c r="AP116" i="20" s="1"/>
  <c r="AP117" i="20" a="1"/>
  <c r="AP117" i="20" s="1"/>
  <c r="AP118" i="20" a="1"/>
  <c r="AP118" i="20" s="1"/>
  <c r="AP119" i="20" a="1"/>
  <c r="AP119" i="20" s="1"/>
  <c r="AP120" i="20" a="1"/>
  <c r="AP120" i="20" s="1"/>
  <c r="AP121" i="20" a="1"/>
  <c r="AP121" i="20" s="1"/>
  <c r="AP122" i="20" a="1"/>
  <c r="AP122" i="20" s="1"/>
  <c r="AP123" i="20" a="1"/>
  <c r="AP123" i="20" s="1"/>
  <c r="AP124" i="20" a="1"/>
  <c r="AP124" i="20" s="1"/>
  <c r="AP125" i="20" a="1"/>
  <c r="AP125" i="20" s="1"/>
  <c r="AP126" i="20" a="1"/>
  <c r="AP126" i="20" s="1"/>
  <c r="AP127" i="20" a="1"/>
  <c r="AP127" i="20" s="1"/>
  <c r="AP128" i="20" a="1"/>
  <c r="AP128" i="20" s="1"/>
  <c r="AP129" i="20" a="1"/>
  <c r="AP129" i="20" s="1"/>
  <c r="AP130" i="20" a="1"/>
  <c r="AP130" i="20" s="1"/>
  <c r="AP131" i="20" a="1"/>
  <c r="AP131" i="20" s="1"/>
  <c r="AP132" i="20" a="1"/>
  <c r="AP132" i="20" s="1"/>
  <c r="AP133" i="20" a="1"/>
  <c r="AP133" i="20" s="1"/>
  <c r="AP134" i="20" a="1"/>
  <c r="AP134" i="20" s="1"/>
  <c r="AP135" i="20" a="1"/>
  <c r="AP135" i="20" s="1"/>
  <c r="AP136" i="20" a="1"/>
  <c r="AP136" i="20" s="1"/>
  <c r="AP137" i="20" a="1"/>
  <c r="AP137" i="20" s="1"/>
  <c r="AP138" i="20" a="1"/>
  <c r="AP138" i="20" s="1"/>
  <c r="AP139" i="20" a="1"/>
  <c r="AP139" i="20" s="1"/>
  <c r="AP140" i="20" a="1"/>
  <c r="AP140" i="20" s="1"/>
  <c r="AP141" i="20" a="1"/>
  <c r="AP141" i="20" s="1"/>
  <c r="AP142" i="20" a="1"/>
  <c r="AP142" i="20" s="1"/>
  <c r="AP143" i="20" a="1"/>
  <c r="AP143" i="20" s="1"/>
  <c r="AP144" i="20" a="1"/>
  <c r="AP144" i="20" s="1"/>
  <c r="AP145" i="20" a="1"/>
  <c r="AP145" i="20" s="1"/>
  <c r="AP146" i="20" a="1"/>
  <c r="AP146" i="20" s="1"/>
  <c r="AP147" i="20" a="1"/>
  <c r="AP147" i="20" s="1"/>
  <c r="AP148" i="20" a="1"/>
  <c r="AP148" i="20" s="1"/>
  <c r="AP149" i="20" a="1"/>
  <c r="AP149" i="20" s="1"/>
  <c r="AP150" i="20" a="1"/>
  <c r="AP150" i="20" s="1"/>
  <c r="AP151" i="20" a="1"/>
  <c r="AP151" i="20" s="1"/>
  <c r="AP152" i="20" a="1"/>
  <c r="AP152" i="20" s="1"/>
  <c r="AP153" i="20" a="1"/>
  <c r="AP153" i="20" s="1"/>
  <c r="AP154" i="20" a="1"/>
  <c r="AP154" i="20" s="1"/>
  <c r="AP155" i="20" a="1"/>
  <c r="AP155" i="20" s="1"/>
  <c r="AP156" i="20" a="1"/>
  <c r="AP156" i="20" s="1"/>
  <c r="AP157" i="20" a="1"/>
  <c r="AP157" i="20" s="1"/>
  <c r="AP158" i="20" a="1"/>
  <c r="AP158" i="20" s="1"/>
  <c r="AP159" i="20" a="1"/>
  <c r="AP159" i="20" s="1"/>
  <c r="AP160" i="20" a="1"/>
  <c r="AP160" i="20" s="1"/>
  <c r="AP161" i="20" a="1"/>
  <c r="AP161" i="20" s="1"/>
  <c r="AP162" i="20" a="1"/>
  <c r="AP162" i="20" s="1"/>
  <c r="AP163" i="20" a="1"/>
  <c r="AP163" i="20" s="1"/>
  <c r="AP164" i="20" a="1"/>
  <c r="AP164" i="20" s="1"/>
  <c r="AP165" i="20" a="1"/>
  <c r="AP165" i="20" s="1"/>
  <c r="AP166" i="20" a="1"/>
  <c r="AP166" i="20" s="1"/>
  <c r="AP167" i="20" a="1"/>
  <c r="AP167" i="20" s="1"/>
  <c r="AP168" i="20" a="1"/>
  <c r="AP168" i="20" s="1"/>
  <c r="AP169" i="20" a="1"/>
  <c r="AP169" i="20" s="1"/>
  <c r="AP170" i="20" a="1"/>
  <c r="AP170" i="20" s="1"/>
  <c r="AP171" i="20" a="1"/>
  <c r="AP171" i="20" s="1"/>
  <c r="AP172" i="20" a="1"/>
  <c r="AP172" i="20" s="1"/>
  <c r="AP173" i="20" a="1"/>
  <c r="AP173" i="20" s="1"/>
  <c r="AP174" i="20" a="1"/>
  <c r="AP174" i="20" s="1"/>
  <c r="AP175" i="20" a="1"/>
  <c r="AP175" i="20" s="1"/>
  <c r="AP176" i="20" a="1"/>
  <c r="AP176" i="20" s="1"/>
  <c r="AP177" i="20" a="1"/>
  <c r="AP177" i="20" s="1"/>
  <c r="AP178" i="20" a="1"/>
  <c r="AP178" i="20" s="1"/>
  <c r="AP179" i="20" a="1"/>
  <c r="AP179" i="20" s="1"/>
  <c r="AP180" i="20" a="1"/>
  <c r="AP180" i="20" s="1"/>
  <c r="AP181" i="20" a="1"/>
  <c r="AP181" i="20" s="1"/>
  <c r="AP182" i="20" a="1"/>
  <c r="AP182" i="20" s="1"/>
  <c r="AP183" i="20" a="1"/>
  <c r="AP183" i="20" s="1"/>
  <c r="AP184" i="20" a="1"/>
  <c r="AP184" i="20" s="1"/>
  <c r="AP185" i="20" a="1"/>
  <c r="AP185" i="20" s="1"/>
  <c r="AP186" i="20" a="1"/>
  <c r="AP186" i="20" s="1"/>
  <c r="AP187" i="20" a="1"/>
  <c r="AP187" i="20" s="1"/>
  <c r="AP188" i="20" a="1"/>
  <c r="AP188" i="20" s="1"/>
  <c r="AP189" i="20" a="1"/>
  <c r="AP189" i="20" s="1"/>
  <c r="AP190" i="20" a="1"/>
  <c r="AP190" i="20" s="1"/>
  <c r="AP191" i="20" a="1"/>
  <c r="AP191" i="20" s="1"/>
  <c r="AP192" i="20" a="1"/>
  <c r="AP192" i="20" s="1"/>
  <c r="AP193" i="20" a="1"/>
  <c r="AP193" i="20" s="1"/>
  <c r="AP194" i="20" a="1"/>
  <c r="AP194" i="20" s="1"/>
  <c r="AP195" i="20" a="1"/>
  <c r="AP195" i="20" s="1"/>
  <c r="AP196" i="20" a="1"/>
  <c r="AP196" i="20" s="1"/>
  <c r="AP197" i="20" a="1"/>
  <c r="AP197" i="20" s="1"/>
  <c r="AP198" i="20" a="1"/>
  <c r="AP198" i="20" s="1"/>
  <c r="AP199" i="20" a="1"/>
  <c r="AP199" i="20" s="1"/>
  <c r="AP200" i="20" a="1"/>
  <c r="AP200" i="20" s="1"/>
  <c r="AP201" i="20" a="1"/>
  <c r="AP201" i="20" s="1"/>
  <c r="AP202" i="20" a="1"/>
  <c r="AP202" i="20" s="1"/>
  <c r="AP203" i="20" a="1"/>
  <c r="AP203" i="20" s="1"/>
  <c r="AP204" i="20" a="1"/>
  <c r="AP204" i="20" s="1"/>
  <c r="AP205" i="20" a="1"/>
  <c r="AP205" i="20" s="1"/>
  <c r="AP206" i="20" a="1"/>
  <c r="AP206" i="20" s="1"/>
  <c r="AP207" i="20" a="1"/>
  <c r="AP207" i="20" s="1"/>
  <c r="AP208" i="20" a="1"/>
  <c r="AP208" i="20" s="1"/>
  <c r="AP209" i="20" a="1"/>
  <c r="AP209" i="20" s="1"/>
  <c r="AP210" i="20" a="1"/>
  <c r="AP210" i="20" s="1"/>
  <c r="AP211" i="20" a="1"/>
  <c r="AP211" i="20" s="1"/>
  <c r="AP212" i="20" a="1"/>
  <c r="AP212" i="20" s="1"/>
  <c r="AP213" i="20" a="1"/>
  <c r="AP213" i="20" s="1"/>
  <c r="AP214" i="20" a="1"/>
  <c r="AP214" i="20" s="1"/>
  <c r="AP215" i="20" a="1"/>
  <c r="AP215" i="20" s="1"/>
  <c r="AP216" i="20" a="1"/>
  <c r="AP216" i="20" s="1"/>
  <c r="AP217" i="20" a="1"/>
  <c r="AP217" i="20" s="1"/>
  <c r="AP218" i="20" a="1"/>
  <c r="AP218" i="20" s="1"/>
  <c r="AP219" i="20" a="1"/>
  <c r="AP219" i="20" s="1"/>
  <c r="AP220" i="20" a="1"/>
  <c r="AP220" i="20" s="1"/>
  <c r="AP221" i="20" a="1"/>
  <c r="AP221" i="20" s="1"/>
  <c r="AP222" i="20" a="1"/>
  <c r="AP222" i="20" s="1"/>
  <c r="AP223" i="20" a="1"/>
  <c r="AP223" i="20" s="1"/>
  <c r="AP224" i="20" a="1"/>
  <c r="AP224" i="20" s="1"/>
  <c r="AP225" i="20" a="1"/>
  <c r="AP225" i="20" s="1"/>
  <c r="AP226" i="20" a="1"/>
  <c r="AP226" i="20" s="1"/>
  <c r="AP227" i="20" a="1"/>
  <c r="AP227" i="20" s="1"/>
  <c r="AP228" i="20" a="1"/>
  <c r="AP228" i="20" s="1"/>
  <c r="AP229" i="20" a="1"/>
  <c r="AP229" i="20" s="1"/>
  <c r="AP230" i="20" a="1"/>
  <c r="AP230" i="20" s="1"/>
  <c r="AP231" i="20" a="1"/>
  <c r="AP231" i="20" s="1"/>
  <c r="AP232" i="20" a="1"/>
  <c r="AP232" i="20" s="1"/>
  <c r="AP233" i="20" a="1"/>
  <c r="AP233" i="20" s="1"/>
  <c r="AP234" i="20" a="1"/>
  <c r="AP234" i="20" s="1"/>
  <c r="AP235" i="20" a="1"/>
  <c r="AP235" i="20" s="1"/>
  <c r="AP236" i="20" a="1"/>
  <c r="AP236" i="20" s="1"/>
  <c r="AP237" i="20" a="1"/>
  <c r="AP237" i="20" s="1"/>
  <c r="AP238" i="20" a="1"/>
  <c r="AP238" i="20" s="1"/>
  <c r="AP239" i="20" a="1"/>
  <c r="AP239" i="20" s="1"/>
  <c r="AP240" i="20" a="1"/>
  <c r="AP240" i="20" s="1"/>
  <c r="AP241" i="20" a="1"/>
  <c r="AP241" i="20" s="1"/>
  <c r="AP242" i="20" a="1"/>
  <c r="AP242" i="20" s="1"/>
  <c r="AP243" i="20" a="1"/>
  <c r="AP243" i="20" s="1"/>
  <c r="AP244" i="20" a="1"/>
  <c r="AP244" i="20" s="1"/>
  <c r="AP245" i="20" a="1"/>
  <c r="AP245" i="20" s="1"/>
  <c r="AP246" i="20" a="1"/>
  <c r="AP246" i="20" s="1"/>
  <c r="AP247" i="20" a="1"/>
  <c r="AP247" i="20" s="1"/>
  <c r="AP248" i="20" a="1"/>
  <c r="AP248" i="20" s="1"/>
  <c r="AP249" i="20" a="1"/>
  <c r="AP249" i="20" s="1"/>
  <c r="AP250" i="20" a="1"/>
  <c r="AP250" i="20" s="1"/>
  <c r="AP251" i="20" a="1"/>
  <c r="AP251" i="20" s="1"/>
  <c r="AP252" i="20" a="1"/>
  <c r="AP252" i="20" s="1"/>
  <c r="AP253" i="20" a="1"/>
  <c r="AP253" i="20" s="1"/>
  <c r="AP254" i="20" a="1"/>
  <c r="AP254" i="20" s="1"/>
  <c r="AP255" i="20" a="1"/>
  <c r="AP255" i="20" s="1"/>
  <c r="AP256" i="20" a="1"/>
  <c r="AP256" i="20" s="1"/>
  <c r="AP257" i="20" a="1"/>
  <c r="AP257" i="20" s="1"/>
  <c r="AP258" i="20" a="1"/>
  <c r="AP258" i="20" s="1"/>
  <c r="AP259" i="20" a="1"/>
  <c r="AP259" i="20" s="1"/>
  <c r="AP260" i="20" a="1"/>
  <c r="AP260" i="20" s="1"/>
  <c r="AP261" i="20" a="1"/>
  <c r="AP261" i="20" s="1"/>
  <c r="AP262" i="20" a="1"/>
  <c r="AP262" i="20" s="1"/>
  <c r="AP263" i="20" a="1"/>
  <c r="AP263" i="20" s="1"/>
  <c r="AP264" i="20" a="1"/>
  <c r="AP264" i="20" s="1"/>
  <c r="AP265" i="20" a="1"/>
  <c r="AP265" i="20" s="1"/>
  <c r="AP266" i="20" a="1"/>
  <c r="AP266" i="20" s="1"/>
  <c r="AP267" i="20" a="1"/>
  <c r="AP267" i="20" s="1"/>
  <c r="AP268" i="20" a="1"/>
  <c r="AP268" i="20" s="1"/>
  <c r="AP269" i="20" a="1"/>
  <c r="AP269" i="20" s="1"/>
  <c r="AP270" i="20" a="1"/>
  <c r="AP270" i="20" s="1"/>
  <c r="AP271" i="20" a="1"/>
  <c r="AP271" i="20" s="1"/>
  <c r="AP272" i="20" a="1"/>
  <c r="AP272" i="20" s="1"/>
  <c r="AP273" i="20" a="1"/>
  <c r="AP273" i="20" s="1"/>
  <c r="AP274" i="20" a="1"/>
  <c r="AP274" i="20" s="1"/>
  <c r="AP275" i="20" a="1"/>
  <c r="AP275" i="20" s="1"/>
  <c r="AP276" i="20" a="1"/>
  <c r="AP276" i="20" s="1"/>
  <c r="AP277" i="20" a="1"/>
  <c r="AP277" i="20" s="1"/>
  <c r="AP278" i="20" a="1"/>
  <c r="AP278" i="20" s="1"/>
  <c r="AP279" i="20" a="1"/>
  <c r="AP279" i="20" s="1"/>
  <c r="AP280" i="20" a="1"/>
  <c r="AP280" i="20" s="1"/>
  <c r="AP281" i="20" a="1"/>
  <c r="AP281" i="20" s="1"/>
  <c r="AP282" i="20" a="1"/>
  <c r="AP282" i="20" s="1"/>
  <c r="AP283" i="20" a="1"/>
  <c r="AP283" i="20" s="1"/>
  <c r="AP284" i="20" a="1"/>
  <c r="AP284" i="20" s="1"/>
  <c r="AP285" i="20" a="1"/>
  <c r="AP285" i="20" s="1"/>
  <c r="AP286" i="20" a="1"/>
  <c r="AP286" i="20" s="1"/>
  <c r="AP2" i="20" a="1"/>
  <c r="AP2" i="20" s="1"/>
  <c r="AA2" i="20"/>
  <c r="AC2" i="20" s="1"/>
  <c r="AA3" i="20"/>
  <c r="AC3" i="20" s="1"/>
  <c r="AA4" i="20"/>
  <c r="AC4" i="20" s="1"/>
  <c r="AA5" i="20"/>
  <c r="AC5" i="20" s="1"/>
  <c r="AA6" i="20"/>
  <c r="AC6" i="20" s="1"/>
  <c r="AA7" i="20"/>
  <c r="AC7" i="20" s="1"/>
  <c r="AA8" i="20"/>
  <c r="AC8" i="20" s="1"/>
  <c r="AA9" i="20"/>
  <c r="AC9" i="20" s="1"/>
  <c r="AA10" i="20"/>
  <c r="AC10" i="20" s="1"/>
  <c r="AA11" i="20"/>
  <c r="AC11" i="20" s="1"/>
  <c r="AA12" i="20"/>
  <c r="AC12" i="20" s="1"/>
  <c r="AA13" i="20"/>
  <c r="AC13" i="20" s="1"/>
  <c r="AA14" i="20"/>
  <c r="AC14" i="20" s="1"/>
  <c r="AA15" i="20"/>
  <c r="AC15" i="20" s="1"/>
  <c r="AA16" i="20"/>
  <c r="AC16" i="20" s="1"/>
  <c r="AA17" i="20"/>
  <c r="AC17" i="20" s="1"/>
  <c r="AA18" i="20"/>
  <c r="AC18" i="20" s="1"/>
  <c r="AA19" i="20"/>
  <c r="AC19" i="20" s="1"/>
  <c r="AA20" i="20"/>
  <c r="AC20" i="20" s="1"/>
  <c r="AA21" i="20"/>
  <c r="AC21" i="20" s="1"/>
  <c r="AA22" i="20"/>
  <c r="AC22" i="20" s="1"/>
  <c r="AA23" i="20"/>
  <c r="AC23" i="20" s="1"/>
  <c r="AA24" i="20"/>
  <c r="AC24" i="20" s="1"/>
  <c r="AA25" i="20"/>
  <c r="AC25" i="20" s="1"/>
  <c r="AA26" i="20"/>
  <c r="AC26" i="20" s="1"/>
  <c r="AA27" i="20"/>
  <c r="AC27" i="20" s="1"/>
  <c r="AA28" i="20"/>
  <c r="AC28" i="20" s="1"/>
  <c r="AA29" i="20"/>
  <c r="AC29" i="20" s="1"/>
  <c r="AA30" i="20"/>
  <c r="AC30" i="20" s="1"/>
  <c r="AA31" i="20"/>
  <c r="AC31" i="20" s="1"/>
  <c r="AA32" i="20"/>
  <c r="AC32" i="20" s="1"/>
  <c r="AA33" i="20"/>
  <c r="AC33" i="20" s="1"/>
  <c r="AA34" i="20"/>
  <c r="AC34" i="20" s="1"/>
  <c r="AA35" i="20"/>
  <c r="AC35" i="20" s="1"/>
  <c r="AA36" i="20"/>
  <c r="AC36" i="20" s="1"/>
  <c r="AA37" i="20"/>
  <c r="AC37" i="20" s="1"/>
  <c r="AA38" i="20"/>
  <c r="AC38" i="20" s="1"/>
  <c r="AA39" i="20"/>
  <c r="AC39" i="20" s="1"/>
  <c r="AA40" i="20"/>
  <c r="AC40" i="20" s="1"/>
  <c r="AA41" i="20"/>
  <c r="AC41" i="20" s="1"/>
  <c r="AA42" i="20"/>
  <c r="AC42" i="20" s="1"/>
  <c r="AA43" i="20"/>
  <c r="AC43" i="20" s="1"/>
  <c r="AA44" i="20"/>
  <c r="AC44" i="20" s="1"/>
  <c r="AA45" i="20"/>
  <c r="AC45" i="20" s="1"/>
  <c r="AA46" i="20"/>
  <c r="AC46" i="20" s="1"/>
  <c r="AA47" i="20"/>
  <c r="AC47" i="20" s="1"/>
  <c r="AA48" i="20"/>
  <c r="AC48" i="20" s="1"/>
  <c r="AA56" i="20"/>
  <c r="AC56" i="20" s="1"/>
  <c r="AA57" i="20"/>
  <c r="AC57" i="20" s="1"/>
  <c r="AA58" i="20"/>
  <c r="AC58" i="20" s="1"/>
  <c r="AA94" i="20"/>
  <c r="AC94" i="20" s="1"/>
  <c r="AA95" i="20"/>
  <c r="AC95" i="20" s="1"/>
  <c r="AA102" i="20"/>
  <c r="AC102" i="20" s="1"/>
  <c r="AA104" i="20"/>
  <c r="AC104" i="20" s="1"/>
  <c r="AA105" i="20"/>
  <c r="AC105" i="20" s="1"/>
  <c r="AA106" i="20"/>
  <c r="AC106" i="20" s="1"/>
  <c r="AA107" i="20"/>
  <c r="AC107" i="20" s="1"/>
  <c r="AA108" i="20"/>
  <c r="AC108" i="20" s="1"/>
  <c r="AA59" i="20"/>
  <c r="W2" i="20"/>
  <c r="W3" i="20"/>
  <c r="W4" i="20"/>
  <c r="W5" i="20"/>
  <c r="W6" i="20"/>
  <c r="W7" i="20"/>
  <c r="W8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W21" i="20"/>
  <c r="W22" i="20"/>
  <c r="W23" i="20"/>
  <c r="W24" i="20"/>
  <c r="W25" i="20"/>
  <c r="W26" i="20"/>
  <c r="W27" i="20"/>
  <c r="W28" i="20"/>
  <c r="W29" i="20"/>
  <c r="W30" i="20"/>
  <c r="W31" i="20"/>
  <c r="W32" i="20"/>
  <c r="W33" i="20"/>
  <c r="W34" i="20"/>
  <c r="W35" i="20"/>
  <c r="W36" i="20"/>
  <c r="W37" i="20"/>
  <c r="W38" i="20"/>
  <c r="W39" i="20"/>
  <c r="W40" i="20"/>
  <c r="W41" i="20"/>
  <c r="W42" i="20"/>
  <c r="W43" i="20"/>
  <c r="W44" i="20"/>
  <c r="W45" i="20"/>
  <c r="W46" i="20"/>
  <c r="W47" i="20"/>
  <c r="W48" i="20"/>
  <c r="W56" i="20"/>
  <c r="W57" i="20"/>
  <c r="W58" i="20"/>
  <c r="W94" i="20"/>
  <c r="W95" i="20"/>
  <c r="W102" i="20"/>
  <c r="W104" i="20"/>
  <c r="W105" i="20"/>
  <c r="W106" i="20"/>
  <c r="W107" i="20"/>
  <c r="W108" i="20"/>
  <c r="W59" i="20"/>
  <c r="BT1" i="12" l="1" a="1"/>
  <c r="BT1" i="12" s="1"/>
  <c r="BR1" i="12" a="1"/>
  <c r="BR1" i="12" s="1"/>
  <c r="AG13" i="20"/>
  <c r="AH13" i="20" s="1"/>
  <c r="AG14" i="20"/>
  <c r="AH14" i="20" s="1"/>
  <c r="AG12" i="20"/>
  <c r="AH12" i="20" s="1"/>
  <c r="AG15" i="20"/>
  <c r="AH15" i="20" s="1"/>
  <c r="BW1" i="12" a="1"/>
  <c r="BW1" i="12" s="1"/>
  <c r="AF10" i="20"/>
  <c r="H449" i="12"/>
  <c r="H450" i="12" s="1"/>
  <c r="H451" i="12" s="1"/>
  <c r="H452" i="12" s="1"/>
  <c r="H453" i="12" s="1"/>
  <c r="H454" i="12" s="1"/>
  <c r="H455" i="12" s="1"/>
  <c r="H456" i="12" s="1"/>
  <c r="H457" i="12" s="1"/>
  <c r="H458" i="12" s="1"/>
  <c r="H459" i="12" s="1"/>
  <c r="H460" i="12" s="1"/>
  <c r="H461" i="12" s="1"/>
  <c r="H462" i="12" s="1"/>
  <c r="H463" i="12" s="1"/>
  <c r="H464" i="12" s="1"/>
  <c r="H465" i="12" s="1"/>
  <c r="H466" i="12" s="1"/>
  <c r="H467" i="12" s="1"/>
  <c r="H468" i="12" s="1"/>
  <c r="H469" i="12" s="1"/>
  <c r="H470" i="12" s="1"/>
  <c r="H471" i="12" s="1"/>
  <c r="H472" i="12" s="1"/>
  <c r="H473" i="12" s="1"/>
  <c r="H474" i="12" s="1"/>
  <c r="H475" i="12" s="1"/>
  <c r="H476" i="12" s="1"/>
  <c r="H477" i="12" s="1"/>
  <c r="H478" i="12" s="1"/>
  <c r="H479" i="12" s="1"/>
  <c r="H480" i="12" s="1"/>
  <c r="H481" i="12" s="1"/>
  <c r="H482" i="12" s="1"/>
  <c r="H483" i="12" s="1"/>
  <c r="H484" i="12" s="1"/>
  <c r="H485" i="12" s="1"/>
  <c r="H486" i="12" s="1"/>
  <c r="H487" i="12" s="1"/>
  <c r="H488" i="12" s="1"/>
  <c r="H489" i="12" s="1"/>
  <c r="H490" i="12" s="1"/>
  <c r="H491" i="12" s="1"/>
  <c r="H492" i="12" s="1"/>
  <c r="H493" i="12" s="1"/>
  <c r="H494" i="12" s="1"/>
  <c r="H495" i="12" s="1"/>
  <c r="H496" i="12" s="1"/>
  <c r="H497" i="12" s="1"/>
  <c r="H498" i="12" s="1"/>
  <c r="H499" i="12" s="1"/>
  <c r="H500" i="12" s="1"/>
  <c r="H501" i="12" s="1"/>
  <c r="H502" i="12" s="1"/>
  <c r="H503" i="12" s="1"/>
  <c r="H504" i="12" s="1"/>
  <c r="H505" i="12" s="1"/>
  <c r="H506" i="12" s="1"/>
  <c r="H507" i="12" s="1"/>
  <c r="H508" i="12" s="1"/>
  <c r="H509" i="12" s="1"/>
  <c r="H510" i="12" s="1"/>
  <c r="H511" i="12" s="1"/>
  <c r="H512" i="12" s="1"/>
  <c r="H513" i="12" s="1"/>
  <c r="H514" i="12" s="1"/>
  <c r="H515" i="12" s="1"/>
  <c r="H516" i="12" s="1"/>
  <c r="H517" i="12" s="1"/>
  <c r="H518" i="12" s="1"/>
  <c r="H519" i="12" s="1"/>
  <c r="H520" i="12" s="1"/>
  <c r="H521" i="12" s="1"/>
  <c r="H522" i="12" s="1"/>
  <c r="H523" i="12" s="1"/>
  <c r="H524" i="12" s="1"/>
  <c r="H525" i="12" s="1"/>
  <c r="H526" i="12" s="1"/>
  <c r="H527" i="12" s="1"/>
  <c r="H528" i="12" s="1"/>
  <c r="H529" i="12" s="1"/>
  <c r="H530" i="12" s="1"/>
  <c r="H531" i="12" s="1"/>
  <c r="H532" i="12" s="1"/>
  <c r="H533" i="12" s="1"/>
  <c r="H534" i="12" s="1"/>
  <c r="H535" i="12" s="1"/>
  <c r="J3" i="12"/>
  <c r="F3" i="12"/>
  <c r="AG10" i="20" l="1"/>
  <c r="AH10" i="20" s="1"/>
  <c r="AG11" i="20"/>
  <c r="AH11" i="20" s="1"/>
  <c r="H536" i="12"/>
  <c r="J4" i="12"/>
  <c r="F4" i="12"/>
  <c r="H537" i="12" l="1"/>
  <c r="F5" i="12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J5" i="12"/>
  <c r="AQ286" i="20"/>
  <c r="H538" i="12" l="1"/>
  <c r="J6" i="12"/>
  <c r="H539" i="12" l="1"/>
  <c r="J7" i="12"/>
  <c r="H540" i="12" l="1"/>
  <c r="J8" i="12"/>
  <c r="H541" i="12" l="1"/>
  <c r="J9" i="12"/>
  <c r="H542" i="12" l="1"/>
  <c r="J10" i="12"/>
  <c r="H543" i="12" l="1"/>
  <c r="J11" i="12"/>
  <c r="H544" i="12" l="1"/>
  <c r="J12" i="12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109" i="12" s="1"/>
  <c r="J110" i="12" s="1"/>
  <c r="J111" i="12" s="1"/>
  <c r="J112" i="12" s="1"/>
  <c r="J113" i="12" s="1"/>
  <c r="J114" i="12" s="1"/>
  <c r="J115" i="12" s="1"/>
  <c r="J116" i="12" s="1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J133" i="12" s="1"/>
  <c r="J134" i="12" s="1"/>
  <c r="J135" i="12" s="1"/>
  <c r="J136" i="12" s="1"/>
  <c r="J137" i="12" s="1"/>
  <c r="J138" i="12" s="1"/>
  <c r="J139" i="12" s="1"/>
  <c r="J140" i="12" s="1"/>
  <c r="J141" i="12" s="1"/>
  <c r="J142" i="12" s="1"/>
  <c r="J143" i="12" s="1"/>
  <c r="J144" i="12" s="1"/>
  <c r="J145" i="12" s="1"/>
  <c r="J146" i="12" s="1"/>
  <c r="J147" i="12" s="1"/>
  <c r="J148" i="12" s="1"/>
  <c r="J149" i="12" s="1"/>
  <c r="J150" i="12" s="1"/>
  <c r="J151" i="12" s="1"/>
  <c r="J152" i="12" s="1"/>
  <c r="J153" i="12" s="1"/>
  <c r="J154" i="12" s="1"/>
  <c r="J155" i="12" s="1"/>
  <c r="J156" i="12" s="1"/>
  <c r="J157" i="12" s="1"/>
  <c r="J158" i="12" s="1"/>
  <c r="J159" i="12" s="1"/>
  <c r="J160" i="12" s="1"/>
  <c r="J161" i="12" s="1"/>
  <c r="J162" i="12" s="1"/>
  <c r="J163" i="12" s="1"/>
  <c r="J164" i="12" s="1"/>
  <c r="J165" i="12" s="1"/>
  <c r="J166" i="12" s="1"/>
  <c r="J167" i="12" s="1"/>
  <c r="J168" i="12" s="1"/>
  <c r="J169" i="12" s="1"/>
  <c r="J170" i="12" s="1"/>
  <c r="J171" i="12" s="1"/>
  <c r="J172" i="12" s="1"/>
  <c r="J173" i="12" s="1"/>
  <c r="J174" i="12" s="1"/>
  <c r="J175" i="12" s="1"/>
  <c r="J176" i="12" s="1"/>
  <c r="J177" i="12" s="1"/>
  <c r="J178" i="12" s="1"/>
  <c r="J179" i="12" s="1"/>
  <c r="J180" i="12" s="1"/>
  <c r="J181" i="12" s="1"/>
  <c r="J182" i="12" s="1"/>
  <c r="J183" i="12" s="1"/>
  <c r="J184" i="12" s="1"/>
  <c r="J185" i="12" s="1"/>
  <c r="J186" i="12" s="1"/>
  <c r="J187" i="12" s="1"/>
  <c r="J188" i="12" s="1"/>
  <c r="J189" i="12" s="1"/>
  <c r="J190" i="12" s="1"/>
  <c r="J191" i="12" s="1"/>
  <c r="J192" i="12" s="1"/>
  <c r="J193" i="12" s="1"/>
  <c r="J194" i="12" s="1"/>
  <c r="J195" i="12" s="1"/>
  <c r="J196" i="12" s="1"/>
  <c r="J197" i="12" s="1"/>
  <c r="J198" i="12" s="1"/>
  <c r="J199" i="12" s="1"/>
  <c r="J200" i="12" s="1"/>
  <c r="J201" i="12" s="1"/>
  <c r="J202" i="12" s="1"/>
  <c r="J203" i="12" s="1"/>
  <c r="J204" i="12" s="1"/>
  <c r="J205" i="12" s="1"/>
  <c r="J206" i="12" s="1"/>
  <c r="J207" i="12" s="1"/>
  <c r="J208" i="12" s="1"/>
  <c r="J209" i="12" s="1"/>
  <c r="J210" i="12" s="1"/>
  <c r="J211" i="12" s="1"/>
  <c r="J212" i="12" s="1"/>
  <c r="J213" i="12" s="1"/>
  <c r="J214" i="12" s="1"/>
  <c r="J215" i="12" s="1"/>
  <c r="J216" i="12" s="1"/>
  <c r="J217" i="12" s="1"/>
  <c r="J218" i="12" s="1"/>
  <c r="J219" i="12" s="1"/>
  <c r="J220" i="12" s="1"/>
  <c r="J221" i="12" s="1"/>
  <c r="J222" i="12" s="1"/>
  <c r="J223" i="12" s="1"/>
  <c r="J224" i="12" s="1"/>
  <c r="J225" i="12" s="1"/>
  <c r="J226" i="12" s="1"/>
  <c r="J227" i="12" s="1"/>
  <c r="J228" i="12" s="1"/>
  <c r="J229" i="12" s="1"/>
  <c r="J230" i="12" s="1"/>
  <c r="J231" i="12" s="1"/>
  <c r="J232" i="12" s="1"/>
  <c r="J233" i="12" s="1"/>
  <c r="J234" i="12" s="1"/>
  <c r="J235" i="12" s="1"/>
  <c r="J236" i="12" s="1"/>
  <c r="J237" i="12" s="1"/>
  <c r="J238" i="12" s="1"/>
  <c r="J239" i="12" s="1"/>
  <c r="J240" i="12" s="1"/>
  <c r="J241" i="12" s="1"/>
  <c r="J242" i="12" s="1"/>
  <c r="J243" i="12" s="1"/>
  <c r="J244" i="12" s="1"/>
  <c r="J245" i="12" s="1"/>
  <c r="J246" i="12" s="1"/>
  <c r="J247" i="12" s="1"/>
  <c r="J248" i="12" s="1"/>
  <c r="J249" i="12" s="1"/>
  <c r="J250" i="12" s="1"/>
  <c r="J251" i="12" s="1"/>
  <c r="J252" i="12" s="1"/>
  <c r="J253" i="12" s="1"/>
  <c r="J254" i="12" s="1"/>
  <c r="J255" i="12" s="1"/>
  <c r="J256" i="12" s="1"/>
  <c r="J257" i="12" s="1"/>
  <c r="J258" i="12" s="1"/>
  <c r="J259" i="12" s="1"/>
  <c r="J260" i="12" s="1"/>
  <c r="J261" i="12" s="1"/>
  <c r="J262" i="12" s="1"/>
  <c r="J263" i="12" s="1"/>
  <c r="J264" i="12" s="1"/>
  <c r="J265" i="12" s="1"/>
  <c r="J266" i="12" s="1"/>
  <c r="J267" i="12" s="1"/>
  <c r="J268" i="12" s="1"/>
  <c r="J269" i="12" s="1"/>
  <c r="J270" i="12" s="1"/>
  <c r="J271" i="12" s="1"/>
  <c r="J272" i="12" s="1"/>
  <c r="J273" i="12" s="1"/>
  <c r="J274" i="12" s="1"/>
  <c r="J275" i="12" s="1"/>
  <c r="J276" i="12" s="1"/>
  <c r="J277" i="12" s="1"/>
  <c r="J278" i="12" s="1"/>
  <c r="J279" i="12" s="1"/>
  <c r="J280" i="12" s="1"/>
  <c r="J281" i="12" s="1"/>
  <c r="J282" i="12" s="1"/>
  <c r="J283" i="12" s="1"/>
  <c r="J284" i="12" s="1"/>
  <c r="J285" i="12" s="1"/>
  <c r="J286" i="12" s="1"/>
  <c r="J287" i="12" s="1"/>
  <c r="J288" i="12" s="1"/>
  <c r="J289" i="12" s="1"/>
  <c r="J290" i="12" s="1"/>
  <c r="J291" i="12" s="1"/>
  <c r="J292" i="12" s="1"/>
  <c r="J293" i="12" s="1"/>
  <c r="J294" i="12" s="1"/>
  <c r="J295" i="12" s="1"/>
  <c r="J296" i="12" s="1"/>
  <c r="J297" i="12" s="1"/>
  <c r="J298" i="12" s="1"/>
  <c r="J299" i="12" s="1"/>
  <c r="J300" i="12" s="1"/>
  <c r="J301" i="12" s="1"/>
  <c r="J302" i="12" s="1"/>
  <c r="J303" i="12" s="1"/>
  <c r="J304" i="12" s="1"/>
  <c r="J305" i="12" s="1"/>
  <c r="J306" i="12" s="1"/>
  <c r="J307" i="12" s="1"/>
  <c r="J308" i="12" s="1"/>
  <c r="J309" i="12" s="1"/>
  <c r="J310" i="12" s="1"/>
  <c r="J311" i="12" s="1"/>
  <c r="J312" i="12" s="1"/>
  <c r="J313" i="12" s="1"/>
  <c r="J314" i="12" s="1"/>
  <c r="J315" i="12" s="1"/>
  <c r="J316" i="12" s="1"/>
  <c r="J317" i="12" s="1"/>
  <c r="J318" i="12" s="1"/>
  <c r="J319" i="12" s="1"/>
  <c r="J320" i="12" s="1"/>
  <c r="J321" i="12" s="1"/>
  <c r="J322" i="12" s="1"/>
  <c r="J323" i="12" s="1"/>
  <c r="J324" i="12" s="1"/>
  <c r="J325" i="12" s="1"/>
  <c r="J326" i="12" s="1"/>
  <c r="J327" i="12" s="1"/>
  <c r="J328" i="12" s="1"/>
  <c r="J329" i="12" s="1"/>
  <c r="J330" i="12" s="1"/>
  <c r="J331" i="12" s="1"/>
  <c r="J332" i="12" s="1"/>
  <c r="J333" i="12" s="1"/>
  <c r="J334" i="12" s="1"/>
  <c r="J335" i="12" s="1"/>
  <c r="J336" i="12" s="1"/>
  <c r="J337" i="12" s="1"/>
  <c r="J338" i="12" s="1"/>
  <c r="J339" i="12" s="1"/>
  <c r="J340" i="12" s="1"/>
  <c r="J341" i="12" s="1"/>
  <c r="J342" i="12" s="1"/>
  <c r="J343" i="12" s="1"/>
  <c r="J344" i="12" s="1"/>
  <c r="J345" i="12" s="1"/>
  <c r="J346" i="12" s="1"/>
  <c r="J347" i="12" s="1"/>
  <c r="J348" i="12" s="1"/>
  <c r="J349" i="12" s="1"/>
  <c r="J350" i="12" s="1"/>
  <c r="J351" i="12" s="1"/>
  <c r="J352" i="12" s="1"/>
  <c r="J353" i="12" s="1"/>
  <c r="J354" i="12" s="1"/>
  <c r="J355" i="12" s="1"/>
  <c r="J356" i="12" s="1"/>
  <c r="J357" i="12" s="1"/>
  <c r="J358" i="12" s="1"/>
  <c r="J359" i="12" s="1"/>
  <c r="J360" i="12" s="1"/>
  <c r="J361" i="12" s="1"/>
  <c r="J362" i="12" s="1"/>
  <c r="J363" i="12" s="1"/>
  <c r="J364" i="12" s="1"/>
  <c r="J365" i="12" s="1"/>
  <c r="J366" i="12" s="1"/>
  <c r="J367" i="12" s="1"/>
  <c r="J368" i="12" s="1"/>
  <c r="J369" i="12" s="1"/>
  <c r="J370" i="12" s="1"/>
  <c r="J371" i="12" s="1"/>
  <c r="J372" i="12" s="1"/>
  <c r="J373" i="12" s="1"/>
  <c r="J374" i="12" s="1"/>
  <c r="J375" i="12" s="1"/>
  <c r="J376" i="12" s="1"/>
  <c r="J377" i="12" s="1"/>
  <c r="J378" i="12" s="1"/>
  <c r="J379" i="12" s="1"/>
  <c r="J380" i="12" s="1"/>
  <c r="J381" i="12" s="1"/>
  <c r="J382" i="12" s="1"/>
  <c r="J383" i="12" s="1"/>
  <c r="J384" i="12" s="1"/>
  <c r="J385" i="12" s="1"/>
  <c r="J386" i="12" s="1"/>
  <c r="J387" i="12" s="1"/>
  <c r="J388" i="12" s="1"/>
  <c r="J389" i="12" s="1"/>
  <c r="J390" i="12" s="1"/>
  <c r="J391" i="12" s="1"/>
  <c r="J392" i="12" s="1"/>
  <c r="J393" i="12" s="1"/>
  <c r="J394" i="12" s="1"/>
  <c r="J395" i="12" s="1"/>
  <c r="J396" i="12" s="1"/>
  <c r="J397" i="12" s="1"/>
  <c r="J398" i="12" s="1"/>
  <c r="J399" i="12" s="1"/>
  <c r="J400" i="12" s="1"/>
  <c r="J401" i="12" s="1"/>
  <c r="J402" i="12" s="1"/>
  <c r="J403" i="12" s="1"/>
  <c r="J404" i="12" s="1"/>
  <c r="J405" i="12" s="1"/>
  <c r="J406" i="12" s="1"/>
  <c r="J407" i="12" s="1"/>
  <c r="J408" i="12" s="1"/>
  <c r="J409" i="12" s="1"/>
  <c r="J410" i="12" s="1"/>
  <c r="J411" i="12" s="1"/>
  <c r="J412" i="12" s="1"/>
  <c r="J413" i="12" s="1"/>
  <c r="J414" i="12" s="1"/>
  <c r="J415" i="12" s="1"/>
  <c r="J416" i="12" s="1"/>
  <c r="J417" i="12" s="1"/>
  <c r="J418" i="12" s="1"/>
  <c r="J419" i="12" s="1"/>
  <c r="J420" i="12" s="1"/>
  <c r="J421" i="12" s="1"/>
  <c r="J422" i="12" s="1"/>
  <c r="J423" i="12" s="1"/>
  <c r="J424" i="12" s="1"/>
  <c r="J425" i="12" s="1"/>
  <c r="J426" i="12" s="1"/>
  <c r="J427" i="12" s="1"/>
  <c r="J428" i="12" s="1"/>
  <c r="J429" i="12" s="1"/>
  <c r="J430" i="12" s="1"/>
  <c r="J431" i="12" s="1"/>
  <c r="J432" i="12" s="1"/>
  <c r="J433" i="12" s="1"/>
  <c r="J434" i="12" s="1"/>
  <c r="J435" i="12" s="1"/>
  <c r="J436" i="12" s="1"/>
  <c r="J437" i="12" s="1"/>
  <c r="J438" i="12" s="1"/>
  <c r="J439" i="12" s="1"/>
  <c r="J440" i="12" s="1"/>
  <c r="J441" i="12" s="1"/>
  <c r="J442" i="12" s="1"/>
  <c r="J443" i="12" s="1"/>
  <c r="J444" i="12" s="1"/>
  <c r="J445" i="12" s="1"/>
  <c r="J446" i="12" s="1"/>
  <c r="J447" i="12" s="1"/>
  <c r="J448" i="12" s="1"/>
  <c r="J449" i="12" s="1"/>
  <c r="J450" i="12" s="1"/>
  <c r="J451" i="12" s="1"/>
  <c r="J452" i="12" s="1"/>
  <c r="J453" i="12" s="1"/>
  <c r="J454" i="12" s="1"/>
  <c r="J455" i="12" s="1"/>
  <c r="J456" i="12" s="1"/>
  <c r="J457" i="12" s="1"/>
  <c r="J458" i="12" s="1"/>
  <c r="J459" i="12" s="1"/>
  <c r="J460" i="12" s="1"/>
  <c r="J461" i="12" s="1"/>
  <c r="J462" i="12" s="1"/>
  <c r="J463" i="12" s="1"/>
  <c r="J464" i="12" s="1"/>
  <c r="J465" i="12" s="1"/>
  <c r="J466" i="12" s="1"/>
  <c r="J467" i="12" s="1"/>
  <c r="J468" i="12" s="1"/>
  <c r="J469" i="12" s="1"/>
  <c r="J470" i="12" s="1"/>
  <c r="J471" i="12" s="1"/>
  <c r="J472" i="12" s="1"/>
  <c r="J473" i="12" s="1"/>
  <c r="J474" i="12" s="1"/>
  <c r="J475" i="12" s="1"/>
  <c r="J476" i="12" s="1"/>
  <c r="J477" i="12" s="1"/>
  <c r="J478" i="12" s="1"/>
  <c r="J479" i="12" s="1"/>
  <c r="J480" i="12" s="1"/>
  <c r="J481" i="12" s="1"/>
  <c r="J482" i="12" s="1"/>
  <c r="J483" i="12" s="1"/>
  <c r="J484" i="12" s="1"/>
  <c r="J485" i="12" s="1"/>
  <c r="J486" i="12" s="1"/>
  <c r="J487" i="12" s="1"/>
  <c r="J488" i="12" s="1"/>
  <c r="J489" i="12" s="1"/>
  <c r="J490" i="12" s="1"/>
  <c r="J491" i="12" s="1"/>
  <c r="J492" i="12" s="1"/>
  <c r="J493" i="12" s="1"/>
  <c r="J494" i="12" s="1"/>
  <c r="J495" i="12" s="1"/>
  <c r="J496" i="12" s="1"/>
  <c r="J497" i="12" s="1"/>
  <c r="J498" i="12" s="1"/>
  <c r="J499" i="12" s="1"/>
  <c r="J500" i="12" s="1"/>
  <c r="J501" i="12" s="1"/>
  <c r="J502" i="12" s="1"/>
  <c r="J503" i="12" s="1"/>
  <c r="J504" i="12" s="1"/>
  <c r="J505" i="12" s="1"/>
  <c r="J506" i="12" s="1"/>
  <c r="J507" i="12" s="1"/>
  <c r="J508" i="12" s="1"/>
  <c r="J509" i="12" s="1"/>
  <c r="J510" i="12" s="1"/>
  <c r="J511" i="12" s="1"/>
  <c r="J512" i="12" s="1"/>
  <c r="J513" i="12" s="1"/>
  <c r="J514" i="12" s="1"/>
  <c r="J515" i="12" s="1"/>
  <c r="J516" i="12" s="1"/>
  <c r="J517" i="12" s="1"/>
  <c r="J518" i="12" s="1"/>
  <c r="J519" i="12" s="1"/>
  <c r="J520" i="12" s="1"/>
  <c r="J521" i="12" s="1"/>
  <c r="J522" i="12" s="1"/>
  <c r="J523" i="12" s="1"/>
  <c r="J524" i="12" s="1"/>
  <c r="J525" i="12" s="1"/>
  <c r="J526" i="12" s="1"/>
  <c r="J527" i="12" s="1"/>
  <c r="J528" i="12" s="1"/>
  <c r="J529" i="12" s="1"/>
  <c r="J530" i="12" s="1"/>
  <c r="J531" i="12" s="1"/>
  <c r="J532" i="12" s="1"/>
  <c r="J533" i="12" s="1"/>
  <c r="J534" i="12" s="1"/>
  <c r="J535" i="12" s="1"/>
  <c r="J536" i="12" s="1"/>
  <c r="J537" i="12" s="1"/>
  <c r="J538" i="12" s="1"/>
  <c r="J539" i="12" s="1"/>
  <c r="J540" i="12" s="1"/>
  <c r="J541" i="12" s="1"/>
  <c r="J542" i="12" s="1"/>
  <c r="J543" i="12" s="1"/>
  <c r="J544" i="12" s="1"/>
  <c r="J545" i="12" s="1"/>
  <c r="J546" i="12" s="1"/>
  <c r="J547" i="12" s="1"/>
  <c r="J548" i="12" s="1"/>
  <c r="J549" i="12" s="1"/>
  <c r="J550" i="12" s="1"/>
  <c r="J551" i="12" s="1"/>
  <c r="J552" i="12" s="1"/>
  <c r="J553" i="12" s="1"/>
  <c r="J554" i="12" s="1"/>
  <c r="J555" i="12" s="1"/>
  <c r="J556" i="12" s="1"/>
  <c r="J557" i="12" s="1"/>
  <c r="J558" i="12" s="1"/>
  <c r="J559" i="12" s="1"/>
  <c r="J560" i="12" s="1"/>
  <c r="J561" i="12" s="1"/>
  <c r="J562" i="12" s="1"/>
  <c r="J563" i="12" s="1"/>
  <c r="J564" i="12" s="1"/>
  <c r="J565" i="12" s="1"/>
  <c r="J566" i="12" s="1"/>
  <c r="J567" i="12" s="1"/>
  <c r="J568" i="12" s="1"/>
  <c r="J569" i="12" s="1"/>
  <c r="J570" i="12" s="1"/>
  <c r="J571" i="12" s="1"/>
  <c r="J572" i="12" s="1"/>
  <c r="J573" i="12" s="1"/>
  <c r="J574" i="12" s="1"/>
  <c r="J575" i="12" s="1"/>
  <c r="J576" i="12" s="1"/>
  <c r="J577" i="12" s="1"/>
  <c r="J578" i="12" s="1"/>
  <c r="J579" i="12" s="1"/>
  <c r="J580" i="12" s="1"/>
  <c r="J581" i="12" s="1"/>
  <c r="J582" i="12" s="1"/>
  <c r="J583" i="12" s="1"/>
  <c r="J584" i="12" s="1"/>
  <c r="J585" i="12" s="1"/>
  <c r="J586" i="12" s="1"/>
  <c r="J587" i="12" s="1"/>
  <c r="J588" i="12" s="1"/>
  <c r="J589" i="12" s="1"/>
  <c r="J590" i="12" s="1"/>
  <c r="J591" i="12" s="1"/>
  <c r="J592" i="12" s="1"/>
  <c r="J593" i="12" s="1"/>
  <c r="J594" i="12" s="1"/>
  <c r="J595" i="12" s="1"/>
  <c r="J596" i="12" s="1"/>
  <c r="J597" i="12" s="1"/>
  <c r="J598" i="12" s="1"/>
  <c r="J599" i="12" s="1"/>
  <c r="J600" i="12" s="1"/>
  <c r="J601" i="12" s="1"/>
  <c r="J602" i="12" s="1"/>
  <c r="J603" i="12" s="1"/>
  <c r="J604" i="12" s="1"/>
  <c r="J605" i="12" s="1"/>
  <c r="J606" i="12" s="1"/>
  <c r="J607" i="12" s="1"/>
  <c r="J608" i="12" s="1"/>
  <c r="J609" i="12" s="1"/>
  <c r="J610" i="12" s="1"/>
  <c r="J611" i="12" s="1"/>
  <c r="J612" i="12" s="1"/>
  <c r="J613" i="12" s="1"/>
  <c r="J614" i="12" s="1"/>
  <c r="J615" i="12" s="1"/>
  <c r="J616" i="12" s="1"/>
  <c r="J617" i="12" s="1"/>
  <c r="J618" i="12" s="1"/>
  <c r="J619" i="12" s="1"/>
  <c r="J620" i="12" s="1"/>
  <c r="J621" i="12" s="1"/>
  <c r="J622" i="12" s="1"/>
  <c r="J623" i="12" s="1"/>
  <c r="J624" i="12" s="1"/>
  <c r="J625" i="12" s="1"/>
  <c r="J626" i="12" s="1"/>
  <c r="J627" i="12" s="1"/>
  <c r="J628" i="12" s="1"/>
  <c r="J629" i="12" s="1"/>
  <c r="J630" i="12" s="1"/>
  <c r="J631" i="12" s="1"/>
  <c r="J632" i="12" s="1"/>
  <c r="J633" i="12" s="1"/>
  <c r="J634" i="12" s="1"/>
  <c r="J635" i="12" s="1"/>
  <c r="J636" i="12" s="1"/>
  <c r="J637" i="12" s="1"/>
  <c r="J638" i="12" s="1"/>
  <c r="J639" i="12" s="1"/>
  <c r="J640" i="12" s="1"/>
  <c r="J641" i="12" s="1"/>
  <c r="J642" i="12" s="1"/>
  <c r="J643" i="12" s="1"/>
  <c r="J644" i="12" s="1"/>
  <c r="J645" i="12" s="1"/>
  <c r="J646" i="12" s="1"/>
  <c r="J647" i="12" s="1"/>
  <c r="J648" i="12" s="1"/>
  <c r="J649" i="12" s="1"/>
  <c r="J650" i="12" s="1"/>
  <c r="J651" i="12" s="1"/>
  <c r="J652" i="12" s="1"/>
  <c r="J653" i="12" s="1"/>
  <c r="J654" i="12" s="1"/>
  <c r="J655" i="12" s="1"/>
  <c r="J656" i="12" s="1"/>
  <c r="J657" i="12" s="1"/>
  <c r="J658" i="12" s="1"/>
  <c r="J659" i="12" s="1"/>
  <c r="J660" i="12" s="1"/>
  <c r="J661" i="12" s="1"/>
  <c r="J662" i="12" s="1"/>
  <c r="J663" i="12" s="1"/>
  <c r="J664" i="12" s="1"/>
  <c r="J665" i="12" s="1"/>
  <c r="J666" i="12" s="1"/>
  <c r="J667" i="12" s="1"/>
  <c r="J668" i="12" s="1"/>
  <c r="J669" i="12" s="1"/>
  <c r="J670" i="12" s="1"/>
  <c r="J671" i="12" s="1"/>
  <c r="J672" i="12" s="1"/>
  <c r="J673" i="12" s="1"/>
  <c r="J674" i="12" s="1"/>
  <c r="J675" i="12" s="1"/>
  <c r="J676" i="12" s="1"/>
  <c r="J677" i="12" s="1"/>
  <c r="J678" i="12" s="1"/>
  <c r="J679" i="12" s="1"/>
  <c r="J680" i="12" s="1"/>
  <c r="J681" i="12" s="1"/>
  <c r="J682" i="12" s="1"/>
  <c r="J683" i="12" s="1"/>
  <c r="J684" i="12" s="1"/>
  <c r="J685" i="12" s="1"/>
  <c r="J686" i="12" s="1"/>
  <c r="J687" i="12" s="1"/>
  <c r="J688" i="12" s="1"/>
  <c r="J689" i="12" s="1"/>
  <c r="J690" i="12" s="1"/>
  <c r="J691" i="12" s="1"/>
  <c r="J692" i="12" s="1"/>
  <c r="J693" i="12" s="1"/>
  <c r="J694" i="12" s="1"/>
  <c r="J695" i="12" s="1"/>
  <c r="J696" i="12" s="1"/>
  <c r="J697" i="12" s="1"/>
  <c r="J698" i="12" s="1"/>
  <c r="J699" i="12" s="1"/>
  <c r="J700" i="12" s="1"/>
  <c r="J701" i="12" s="1"/>
  <c r="J702" i="12" s="1"/>
  <c r="J703" i="12" s="1"/>
  <c r="J704" i="12" s="1"/>
  <c r="J705" i="12" s="1"/>
  <c r="J706" i="12" s="1"/>
  <c r="J707" i="12" s="1"/>
  <c r="J708" i="12" s="1"/>
  <c r="J709" i="12" s="1"/>
  <c r="J710" i="12" s="1"/>
  <c r="J711" i="12" s="1"/>
  <c r="J712" i="12" s="1"/>
  <c r="J713" i="12" s="1"/>
  <c r="J714" i="12" s="1"/>
  <c r="J715" i="12" s="1"/>
  <c r="J716" i="12" s="1"/>
  <c r="J717" i="12" s="1"/>
  <c r="J718" i="12" s="1"/>
  <c r="J719" i="12" s="1"/>
  <c r="J720" i="12" s="1"/>
  <c r="J721" i="12" s="1"/>
  <c r="J722" i="12" s="1"/>
  <c r="J723" i="12" s="1"/>
  <c r="J724" i="12" s="1"/>
  <c r="J725" i="12" s="1"/>
  <c r="J726" i="12" s="1"/>
  <c r="J727" i="12" s="1"/>
  <c r="J728" i="12" s="1"/>
  <c r="J729" i="12" s="1"/>
  <c r="J730" i="12" s="1"/>
  <c r="J731" i="12" s="1"/>
  <c r="J732" i="12" s="1"/>
  <c r="J733" i="12" s="1"/>
  <c r="J734" i="12" s="1"/>
  <c r="J735" i="12" s="1"/>
  <c r="J736" i="12" s="1"/>
  <c r="J737" i="12" s="1"/>
  <c r="J738" i="12" s="1"/>
  <c r="J739" i="12" s="1"/>
  <c r="J740" i="12" s="1"/>
  <c r="J741" i="12" s="1"/>
  <c r="J742" i="12" s="1"/>
  <c r="J743" i="12" s="1"/>
  <c r="J744" i="12" s="1"/>
  <c r="J745" i="12" s="1"/>
  <c r="J746" i="12" s="1"/>
  <c r="J747" i="12" s="1"/>
  <c r="J748" i="12" s="1"/>
  <c r="J749" i="12" s="1"/>
  <c r="J750" i="12" s="1"/>
  <c r="J751" i="12" s="1"/>
  <c r="J752" i="12" s="1"/>
  <c r="J753" i="12" s="1"/>
  <c r="J754" i="12" s="1"/>
  <c r="J755" i="12" s="1"/>
  <c r="J756" i="12" s="1"/>
  <c r="J757" i="12" s="1"/>
  <c r="J758" i="12" s="1"/>
  <c r="J759" i="12" s="1"/>
  <c r="J760" i="12" s="1"/>
  <c r="J761" i="12" s="1"/>
  <c r="J762" i="12" s="1"/>
  <c r="J763" i="12" s="1"/>
  <c r="J764" i="12" s="1"/>
  <c r="J765" i="12" s="1"/>
  <c r="J766" i="12" s="1"/>
  <c r="J767" i="12" s="1"/>
  <c r="J768" i="12" s="1"/>
  <c r="J769" i="12" s="1"/>
  <c r="J770" i="12" s="1"/>
  <c r="J771" i="12" s="1"/>
  <c r="J772" i="12" s="1"/>
  <c r="J773" i="12" s="1"/>
  <c r="J774" i="12" s="1"/>
  <c r="J775" i="12" s="1"/>
  <c r="J776" i="12" s="1"/>
  <c r="J777" i="12" s="1"/>
  <c r="J778" i="12" s="1"/>
  <c r="J779" i="12" s="1"/>
  <c r="J780" i="12" s="1"/>
  <c r="J781" i="12" s="1"/>
  <c r="J782" i="12" s="1"/>
  <c r="J783" i="12" s="1"/>
  <c r="J784" i="12" s="1"/>
  <c r="J785" i="12" s="1"/>
  <c r="J786" i="12" s="1"/>
  <c r="J787" i="12" s="1"/>
  <c r="J788" i="12" s="1"/>
  <c r="J789" i="12" s="1"/>
  <c r="J790" i="12" s="1"/>
  <c r="J791" i="12" s="1"/>
  <c r="J792" i="12" s="1"/>
  <c r="J793" i="12" s="1"/>
  <c r="J794" i="12" s="1"/>
  <c r="J795" i="12" s="1"/>
  <c r="J796" i="12" s="1"/>
  <c r="J797" i="12" s="1"/>
  <c r="J798" i="12" s="1"/>
  <c r="J799" i="12" s="1"/>
  <c r="J800" i="12" s="1"/>
  <c r="J801" i="12" s="1"/>
  <c r="J802" i="12" s="1"/>
  <c r="J803" i="12" s="1"/>
  <c r="J804" i="12" s="1"/>
  <c r="J805" i="12" s="1"/>
  <c r="J806" i="12" s="1"/>
  <c r="J807" i="12" s="1"/>
  <c r="J808" i="12" s="1"/>
  <c r="J809" i="12" s="1"/>
  <c r="J810" i="12" s="1"/>
  <c r="J811" i="12" s="1"/>
  <c r="J812" i="12" s="1"/>
  <c r="J813" i="12" s="1"/>
  <c r="J814" i="12" s="1"/>
  <c r="J815" i="12" s="1"/>
  <c r="J816" i="12" s="1"/>
  <c r="J817" i="12" s="1"/>
  <c r="J818" i="12" s="1"/>
  <c r="J819" i="12" s="1"/>
  <c r="J820" i="12" s="1"/>
  <c r="J821" i="12" s="1"/>
  <c r="J822" i="12" s="1"/>
  <c r="J823" i="12" s="1"/>
  <c r="J824" i="12" s="1"/>
  <c r="J825" i="12" s="1"/>
  <c r="J826" i="12" s="1"/>
  <c r="J827" i="12" s="1"/>
  <c r="J828" i="12" s="1"/>
  <c r="J829" i="12" s="1"/>
  <c r="J830" i="12" s="1"/>
  <c r="J831" i="12" s="1"/>
  <c r="J832" i="12" s="1"/>
  <c r="J833" i="12" s="1"/>
  <c r="J834" i="12" s="1"/>
  <c r="J835" i="12" s="1"/>
  <c r="J836" i="12" s="1"/>
  <c r="J837" i="12" s="1"/>
  <c r="J838" i="12" s="1"/>
  <c r="J839" i="12" s="1"/>
  <c r="J840" i="12" s="1"/>
  <c r="J841" i="12" s="1"/>
  <c r="J842" i="12" s="1"/>
  <c r="J843" i="12" s="1"/>
  <c r="J844" i="12" s="1"/>
  <c r="J845" i="12" s="1"/>
  <c r="J846" i="12" s="1"/>
  <c r="J847" i="12" s="1"/>
  <c r="J848" i="12" s="1"/>
  <c r="J849" i="12" s="1"/>
  <c r="J850" i="12" s="1"/>
  <c r="J851" i="12" s="1"/>
  <c r="J852" i="12" s="1"/>
  <c r="J853" i="12" s="1"/>
  <c r="J854" i="12" s="1"/>
  <c r="J855" i="12" s="1"/>
  <c r="J856" i="12" s="1"/>
  <c r="J857" i="12" s="1"/>
  <c r="J858" i="12" s="1"/>
  <c r="J859" i="12" s="1"/>
  <c r="J860" i="12" s="1"/>
  <c r="J861" i="12" s="1"/>
  <c r="J862" i="12" s="1"/>
  <c r="J863" i="12" s="1"/>
  <c r="J864" i="12" s="1"/>
  <c r="J865" i="12" s="1"/>
  <c r="J866" i="12" s="1"/>
  <c r="J867" i="12" s="1"/>
  <c r="J868" i="12" s="1"/>
  <c r="J869" i="12" s="1"/>
  <c r="J870" i="12" s="1"/>
  <c r="J871" i="12" s="1"/>
  <c r="J872" i="12" s="1"/>
  <c r="J873" i="12" s="1"/>
  <c r="J874" i="12" s="1"/>
  <c r="J875" i="12" s="1"/>
  <c r="J876" i="12" s="1"/>
  <c r="J877" i="12" s="1"/>
  <c r="J878" i="12" s="1"/>
  <c r="J879" i="12" s="1"/>
  <c r="J880" i="12" s="1"/>
  <c r="J881" i="12" s="1"/>
  <c r="J882" i="12" s="1"/>
  <c r="J883" i="12" s="1"/>
  <c r="J884" i="12" s="1"/>
  <c r="J885" i="12" s="1"/>
  <c r="J886" i="12" s="1"/>
  <c r="J887" i="12" s="1"/>
  <c r="J888" i="12" s="1"/>
  <c r="J889" i="12" s="1"/>
  <c r="J890" i="12" s="1"/>
  <c r="J891" i="12" s="1"/>
  <c r="J892" i="12" s="1"/>
  <c r="J893" i="12" s="1"/>
  <c r="J894" i="12" s="1"/>
  <c r="J895" i="12" s="1"/>
  <c r="J896" i="12" s="1"/>
  <c r="J897" i="12" s="1"/>
  <c r="J898" i="12" s="1"/>
  <c r="J899" i="12" s="1"/>
  <c r="J900" i="12" s="1"/>
  <c r="J901" i="12" s="1"/>
  <c r="J902" i="12" s="1"/>
  <c r="J903" i="12" s="1"/>
  <c r="J904" i="12" s="1"/>
  <c r="J905" i="12" s="1"/>
  <c r="J906" i="12" s="1"/>
  <c r="J907" i="12" s="1"/>
  <c r="J908" i="12" s="1"/>
  <c r="J909" i="12" s="1"/>
  <c r="J910" i="12" s="1"/>
  <c r="J911" i="12" s="1"/>
  <c r="J912" i="12" s="1"/>
  <c r="J913" i="12" s="1"/>
  <c r="J914" i="12" s="1"/>
  <c r="J915" i="12" s="1"/>
  <c r="J916" i="12" s="1"/>
  <c r="J917" i="12" s="1"/>
  <c r="J918" i="12" s="1"/>
  <c r="J919" i="12" s="1"/>
  <c r="J920" i="12" s="1"/>
  <c r="J921" i="12" s="1"/>
  <c r="J922" i="12" s="1"/>
  <c r="J923" i="12" s="1"/>
  <c r="J924" i="12" s="1"/>
  <c r="J925" i="12" s="1"/>
  <c r="J926" i="12" s="1"/>
  <c r="J927" i="12" s="1"/>
  <c r="J928" i="12" s="1"/>
  <c r="J929" i="12" s="1"/>
  <c r="J930" i="12" s="1"/>
  <c r="J931" i="12" s="1"/>
  <c r="J932" i="12" s="1"/>
  <c r="J933" i="12" s="1"/>
  <c r="J934" i="12" s="1"/>
  <c r="J935" i="12" s="1"/>
  <c r="J936" i="12" s="1"/>
  <c r="J937" i="12" s="1"/>
  <c r="J938" i="12" s="1"/>
  <c r="J939" i="12" s="1"/>
  <c r="J940" i="12" s="1"/>
  <c r="J941" i="12" s="1"/>
  <c r="J942" i="12" s="1"/>
  <c r="J943" i="12" s="1"/>
  <c r="J944" i="12" s="1"/>
  <c r="J945" i="12" s="1"/>
  <c r="J946" i="12" s="1"/>
  <c r="J947" i="12" s="1"/>
  <c r="J948" i="12" s="1"/>
  <c r="J949" i="12" s="1"/>
  <c r="J950" i="12" s="1"/>
  <c r="J951" i="12" s="1"/>
  <c r="J952" i="12" s="1"/>
  <c r="J953" i="12" s="1"/>
  <c r="J954" i="12" s="1"/>
  <c r="J955" i="12" s="1"/>
  <c r="J956" i="12" s="1"/>
  <c r="J957" i="12" s="1"/>
  <c r="J958" i="12" s="1"/>
  <c r="J959" i="12" s="1"/>
  <c r="J960" i="12" s="1"/>
  <c r="J961" i="12" s="1"/>
  <c r="J962" i="12" s="1"/>
  <c r="J963" i="12" s="1"/>
  <c r="J964" i="12" s="1"/>
  <c r="J965" i="12" s="1"/>
  <c r="J966" i="12" s="1"/>
  <c r="J967" i="12" s="1"/>
  <c r="J968" i="12" s="1"/>
  <c r="J969" i="12" s="1"/>
  <c r="J970" i="12" s="1"/>
  <c r="J971" i="12" s="1"/>
  <c r="J972" i="12" s="1"/>
  <c r="J973" i="12" s="1"/>
  <c r="J974" i="12" s="1"/>
  <c r="J975" i="12" s="1"/>
  <c r="J976" i="12" s="1"/>
  <c r="J977" i="12" s="1"/>
  <c r="J978" i="12" s="1"/>
  <c r="J979" i="12" s="1"/>
  <c r="J980" i="12" s="1"/>
  <c r="J981" i="12" s="1"/>
  <c r="J982" i="12" s="1"/>
  <c r="J983" i="12" s="1"/>
  <c r="J984" i="12" s="1"/>
  <c r="J985" i="12" s="1"/>
  <c r="J986" i="12" s="1"/>
  <c r="J987" i="12" s="1"/>
  <c r="J988" i="12" s="1"/>
  <c r="J989" i="12" s="1"/>
  <c r="J990" i="12" s="1"/>
  <c r="J991" i="12" s="1"/>
  <c r="J992" i="12" s="1"/>
  <c r="J993" i="12" s="1"/>
  <c r="J994" i="12" s="1"/>
  <c r="J995" i="12" s="1"/>
  <c r="J996" i="12" s="1"/>
  <c r="J997" i="12" s="1"/>
  <c r="J998" i="12" s="1"/>
  <c r="J999" i="12" s="1"/>
  <c r="J1000" i="12" s="1"/>
  <c r="J1001" i="12" s="1"/>
  <c r="J1002" i="12" s="1"/>
  <c r="J1003" i="12" s="1"/>
  <c r="J1004" i="12" s="1"/>
  <c r="J1005" i="12" s="1"/>
  <c r="J1006" i="12" s="1"/>
  <c r="J1007" i="12" s="1"/>
  <c r="J1008" i="12" s="1"/>
  <c r="J1009" i="12" s="1"/>
  <c r="J1010" i="12" s="1"/>
  <c r="J1011" i="12" s="1"/>
  <c r="J1012" i="12" s="1"/>
  <c r="J1013" i="12" s="1"/>
  <c r="J1014" i="12" s="1"/>
  <c r="J1015" i="12" s="1"/>
  <c r="J1016" i="12" s="1"/>
  <c r="J1017" i="12" s="1"/>
  <c r="J1018" i="12" s="1"/>
  <c r="J1019" i="12" s="1"/>
  <c r="J1020" i="12" s="1"/>
  <c r="J1021" i="12" s="1"/>
  <c r="J1022" i="12" s="1"/>
  <c r="J1023" i="12" s="1"/>
  <c r="J1024" i="12" s="1"/>
  <c r="J1025" i="12" s="1"/>
  <c r="J1026" i="12" s="1"/>
  <c r="J1027" i="12" s="1"/>
  <c r="J1028" i="12" s="1"/>
  <c r="J1029" i="12" s="1"/>
  <c r="J1030" i="12" s="1"/>
  <c r="J1031" i="12" s="1"/>
  <c r="J1032" i="12" s="1"/>
  <c r="J1033" i="12" s="1"/>
  <c r="J1034" i="12" s="1"/>
  <c r="J1035" i="12" s="1"/>
  <c r="J1036" i="12" s="1"/>
  <c r="J1037" i="12" s="1"/>
  <c r="J1038" i="12" s="1"/>
  <c r="J1039" i="12" s="1"/>
  <c r="J1040" i="12" s="1"/>
  <c r="J1041" i="12" s="1"/>
  <c r="J1042" i="12" s="1"/>
  <c r="J1043" i="12" s="1"/>
  <c r="J1044" i="12" s="1"/>
  <c r="J1045" i="12" s="1"/>
  <c r="J1046" i="12" s="1"/>
  <c r="J1047" i="12" s="1"/>
  <c r="J1048" i="12" s="1"/>
  <c r="J1049" i="12" s="1"/>
  <c r="J1050" i="12" s="1"/>
  <c r="J1051" i="12" s="1"/>
  <c r="J1052" i="12" s="1"/>
  <c r="J1053" i="12" s="1"/>
  <c r="J1054" i="12" s="1"/>
  <c r="J1055" i="12" s="1"/>
  <c r="J1056" i="12" s="1"/>
  <c r="J1057" i="12" s="1"/>
  <c r="J1058" i="12" s="1"/>
  <c r="J1059" i="12" s="1"/>
  <c r="J1060" i="12" s="1"/>
  <c r="J1061" i="12" s="1"/>
  <c r="J1062" i="12" s="1"/>
  <c r="J1063" i="12" s="1"/>
  <c r="J1064" i="12" s="1"/>
  <c r="J1065" i="12" s="1"/>
  <c r="H545" i="12" l="1"/>
  <c r="H546" i="12" l="1"/>
  <c r="H547" i="12" s="1"/>
  <c r="H548" i="12" s="1"/>
  <c r="H549" i="12" s="1"/>
  <c r="H550" i="12" s="1"/>
  <c r="H551" i="12" s="1"/>
  <c r="H552" i="12" s="1"/>
  <c r="H553" i="12" s="1"/>
  <c r="H554" i="12" s="1"/>
  <c r="H555" i="12" s="1"/>
  <c r="H556" i="12" s="1"/>
  <c r="H557" i="12" s="1"/>
  <c r="H558" i="12" s="1"/>
  <c r="H559" i="12" s="1"/>
  <c r="H560" i="12" s="1"/>
  <c r="H561" i="12" s="1"/>
  <c r="H562" i="12" s="1"/>
  <c r="H563" i="12" s="1"/>
  <c r="H564" i="12" s="1"/>
  <c r="H565" i="12" s="1"/>
  <c r="H566" i="12" s="1"/>
  <c r="H567" i="12" s="1"/>
  <c r="H568" i="12" s="1"/>
  <c r="H569" i="12" s="1"/>
  <c r="H570" i="12" s="1"/>
  <c r="H571" i="12" s="1"/>
  <c r="H572" i="12" s="1"/>
  <c r="H573" i="12" s="1"/>
  <c r="H574" i="12" s="1"/>
  <c r="H575" i="12" s="1"/>
  <c r="H576" i="12" s="1"/>
  <c r="H577" i="12" s="1"/>
  <c r="H578" i="12" s="1"/>
  <c r="H579" i="12" s="1"/>
  <c r="H580" i="12" s="1"/>
  <c r="H581" i="12" s="1"/>
  <c r="H582" i="12" s="1"/>
  <c r="H583" i="12" s="1"/>
  <c r="H584" i="12" s="1"/>
  <c r="H585" i="12" s="1"/>
  <c r="H586" i="12" s="1"/>
  <c r="H587" i="12" s="1"/>
  <c r="H588" i="12" s="1"/>
  <c r="H589" i="12" s="1"/>
  <c r="H590" i="12" s="1"/>
  <c r="H591" i="12" s="1"/>
  <c r="H592" i="12" s="1"/>
  <c r="H593" i="12" s="1"/>
  <c r="H594" i="12" s="1"/>
  <c r="H595" i="12" s="1"/>
  <c r="H596" i="12" s="1"/>
  <c r="H597" i="12" s="1"/>
  <c r="H598" i="12" s="1"/>
  <c r="H599" i="12" s="1"/>
  <c r="H600" i="12" s="1"/>
  <c r="H601" i="12" s="1"/>
  <c r="H602" i="12" s="1"/>
  <c r="H603" i="12" s="1"/>
  <c r="H604" i="12" s="1"/>
  <c r="H605" i="12" s="1"/>
  <c r="H606" i="12" s="1"/>
  <c r="H607" i="12" s="1"/>
  <c r="H608" i="12" s="1"/>
  <c r="H609" i="12" s="1"/>
  <c r="H610" i="12" s="1"/>
  <c r="H611" i="12" s="1"/>
  <c r="H612" i="12" s="1"/>
  <c r="H613" i="12" s="1"/>
  <c r="H614" i="12" s="1"/>
  <c r="H615" i="12" s="1"/>
  <c r="H616" i="12" s="1"/>
  <c r="H617" i="12" s="1"/>
  <c r="H618" i="12" s="1"/>
  <c r="H619" i="12" s="1"/>
  <c r="H620" i="12" s="1"/>
  <c r="H621" i="12" s="1"/>
  <c r="H622" i="12" s="1"/>
  <c r="H623" i="12" s="1"/>
  <c r="H624" i="12" s="1"/>
  <c r="H625" i="12" s="1"/>
  <c r="H626" i="12" s="1"/>
  <c r="H627" i="12" s="1"/>
  <c r="H628" i="12" s="1"/>
  <c r="H629" i="12" s="1"/>
  <c r="H630" i="12" s="1"/>
  <c r="H631" i="12" s="1"/>
  <c r="H632" i="12" s="1"/>
  <c r="H633" i="12" s="1"/>
  <c r="H634" i="12" s="1"/>
  <c r="H635" i="12" s="1"/>
  <c r="H636" i="12" s="1"/>
  <c r="H637" i="12" s="1"/>
  <c r="H638" i="12" s="1"/>
  <c r="H639" i="12" s="1"/>
  <c r="H640" i="12" s="1"/>
  <c r="H641" i="12" s="1"/>
  <c r="H642" i="12" s="1"/>
  <c r="H643" i="12" s="1"/>
  <c r="H644" i="12" s="1"/>
  <c r="H645" i="12" s="1"/>
  <c r="H646" i="12" s="1"/>
  <c r="H647" i="12" s="1"/>
  <c r="H648" i="12" s="1"/>
  <c r="H649" i="12" s="1"/>
  <c r="H650" i="12" s="1"/>
  <c r="H651" i="12" s="1"/>
  <c r="H652" i="12" s="1"/>
  <c r="H653" i="12" s="1"/>
  <c r="H654" i="12" s="1"/>
  <c r="H655" i="12" s="1"/>
  <c r="H656" i="12" s="1"/>
  <c r="H657" i="12" s="1"/>
  <c r="H658" i="12" s="1"/>
  <c r="H659" i="12" s="1"/>
  <c r="H660" i="12" s="1"/>
  <c r="H661" i="12" s="1"/>
  <c r="H662" i="12" s="1"/>
  <c r="H663" i="12" s="1"/>
  <c r="H664" i="12" s="1"/>
  <c r="H665" i="12" s="1"/>
  <c r="H666" i="12" s="1"/>
  <c r="H667" i="12" s="1"/>
  <c r="H668" i="12" s="1"/>
  <c r="H669" i="12" s="1"/>
  <c r="H670" i="12" s="1"/>
  <c r="H671" i="12" s="1"/>
  <c r="H672" i="12" s="1"/>
  <c r="H673" i="12" s="1"/>
  <c r="H674" i="12" s="1"/>
  <c r="H675" i="12" s="1"/>
  <c r="H676" i="12" s="1"/>
  <c r="H677" i="12" s="1"/>
  <c r="H678" i="12" s="1"/>
  <c r="H679" i="12" s="1"/>
  <c r="H680" i="12" s="1"/>
  <c r="H681" i="12" s="1"/>
  <c r="H682" i="12" s="1"/>
  <c r="H683" i="12" s="1"/>
  <c r="H684" i="12" s="1"/>
  <c r="H685" i="12" s="1"/>
  <c r="H686" i="12" s="1"/>
  <c r="H687" i="12" s="1"/>
  <c r="H688" i="12" s="1"/>
  <c r="H689" i="12" s="1"/>
  <c r="H690" i="12" s="1"/>
  <c r="H691" i="12" s="1"/>
  <c r="H692" i="12" s="1"/>
  <c r="H693" i="12" s="1"/>
  <c r="H694" i="12" s="1"/>
  <c r="H695" i="12" s="1"/>
  <c r="H696" i="12" s="1"/>
  <c r="H697" i="12" s="1"/>
  <c r="H698" i="12" s="1"/>
  <c r="H699" i="12" s="1"/>
  <c r="H700" i="12" s="1"/>
  <c r="H701" i="12" s="1"/>
  <c r="H702" i="12" s="1"/>
  <c r="H703" i="12" s="1"/>
  <c r="H704" i="12" s="1"/>
  <c r="H705" i="12" s="1"/>
  <c r="H706" i="12" s="1"/>
  <c r="H707" i="12" s="1"/>
  <c r="H708" i="12" s="1"/>
  <c r="H709" i="12" s="1"/>
  <c r="H710" i="12" s="1"/>
  <c r="H711" i="12" s="1"/>
  <c r="H712" i="12" s="1"/>
  <c r="H713" i="12" s="1"/>
  <c r="H714" i="12" s="1"/>
  <c r="H715" i="12" s="1"/>
  <c r="H716" i="12" s="1"/>
  <c r="H717" i="12" s="1"/>
  <c r="H718" i="12" s="1"/>
  <c r="H719" i="12" s="1"/>
  <c r="H720" i="12" s="1"/>
  <c r="H721" i="12" s="1"/>
  <c r="H722" i="12" s="1"/>
  <c r="H723" i="12" s="1"/>
  <c r="H724" i="12" s="1"/>
  <c r="H725" i="12" s="1"/>
  <c r="H726" i="12" s="1"/>
  <c r="H727" i="12" s="1"/>
  <c r="H728" i="12" s="1"/>
  <c r="H729" i="12" s="1"/>
  <c r="H730" i="12" s="1"/>
  <c r="H731" i="12" s="1"/>
  <c r="H732" i="12" s="1"/>
  <c r="H733" i="12" s="1"/>
  <c r="H734" i="12" s="1"/>
  <c r="H735" i="12" s="1"/>
  <c r="H736" i="12" s="1"/>
  <c r="H737" i="12" s="1"/>
  <c r="H738" i="12" s="1"/>
  <c r="H739" i="12" s="1"/>
  <c r="H740" i="12" s="1"/>
  <c r="H741" i="12" s="1"/>
  <c r="H742" i="12" s="1"/>
  <c r="H743" i="12" s="1"/>
  <c r="H744" i="12" s="1"/>
  <c r="H745" i="12" s="1"/>
  <c r="H746" i="12" s="1"/>
  <c r="H747" i="12" s="1"/>
  <c r="H748" i="12" s="1"/>
  <c r="H749" i="12" s="1"/>
  <c r="H750" i="12" s="1"/>
  <c r="H751" i="12" s="1"/>
  <c r="H752" i="12" s="1"/>
  <c r="H753" i="12" s="1"/>
  <c r="H754" i="12" s="1"/>
  <c r="H755" i="12" s="1"/>
  <c r="H756" i="12" s="1"/>
  <c r="H757" i="12" s="1"/>
  <c r="H758" i="12" s="1"/>
  <c r="H759" i="12" s="1"/>
  <c r="H760" i="12" s="1"/>
  <c r="H761" i="12" s="1"/>
  <c r="H762" i="12" s="1"/>
  <c r="H763" i="12" s="1"/>
  <c r="H764" i="12" s="1"/>
  <c r="H765" i="12" s="1"/>
  <c r="H766" i="12" s="1"/>
  <c r="H767" i="12" s="1"/>
  <c r="H768" i="12" s="1"/>
  <c r="H769" i="12" s="1"/>
  <c r="H770" i="12" s="1"/>
  <c r="H771" i="12" s="1"/>
  <c r="H772" i="12" s="1"/>
  <c r="H773" i="12" s="1"/>
  <c r="H774" i="12" s="1"/>
  <c r="H775" i="12" s="1"/>
  <c r="H776" i="12" s="1"/>
  <c r="H777" i="12" s="1"/>
  <c r="H778" i="12" s="1"/>
  <c r="H779" i="12" s="1"/>
  <c r="H780" i="12" s="1"/>
  <c r="H781" i="12" s="1"/>
  <c r="H782" i="12" s="1"/>
  <c r="H783" i="12" s="1"/>
  <c r="H784" i="12" s="1"/>
  <c r="H785" i="12" s="1"/>
  <c r="H786" i="12" s="1"/>
  <c r="H787" i="12" s="1"/>
  <c r="H788" i="12" s="1"/>
  <c r="H789" i="12" s="1"/>
  <c r="H790" i="12" s="1"/>
  <c r="H791" i="12" s="1"/>
  <c r="H792" i="12" s="1"/>
  <c r="H793" i="12" s="1"/>
  <c r="H794" i="12" s="1"/>
  <c r="H795" i="12" s="1"/>
  <c r="H796" i="12" s="1"/>
  <c r="H797" i="12" s="1"/>
  <c r="H798" i="12" s="1"/>
  <c r="H799" i="12" s="1"/>
  <c r="H800" i="12" s="1"/>
  <c r="H801" i="12" s="1"/>
  <c r="H802" i="12" s="1"/>
  <c r="H803" i="12" s="1"/>
  <c r="H804" i="12" s="1"/>
  <c r="H805" i="12" s="1"/>
  <c r="H806" i="12" s="1"/>
  <c r="H807" i="12" s="1"/>
  <c r="H808" i="12" s="1"/>
  <c r="H809" i="12" s="1"/>
  <c r="H810" i="12" s="1"/>
  <c r="H811" i="12" s="1"/>
  <c r="H812" i="12" s="1"/>
  <c r="H813" i="12" s="1"/>
  <c r="H814" i="12" s="1"/>
  <c r="H815" i="12" s="1"/>
  <c r="H816" i="12" s="1"/>
  <c r="H817" i="12" s="1"/>
  <c r="H818" i="12" s="1"/>
  <c r="H819" i="12" s="1"/>
  <c r="H820" i="12" s="1"/>
  <c r="H821" i="12" s="1"/>
  <c r="H822" i="12" s="1"/>
  <c r="H823" i="12" s="1"/>
  <c r="H824" i="12" s="1"/>
  <c r="H825" i="12" s="1"/>
  <c r="H826" i="12" s="1"/>
  <c r="H827" i="12" s="1"/>
  <c r="H828" i="12" s="1"/>
  <c r="H829" i="12" s="1"/>
  <c r="H830" i="12" s="1"/>
  <c r="H831" i="12" s="1"/>
  <c r="H832" i="12" s="1"/>
  <c r="H833" i="12" s="1"/>
  <c r="H834" i="12" s="1"/>
  <c r="H835" i="12" s="1"/>
  <c r="H836" i="12" s="1"/>
  <c r="H837" i="12" s="1"/>
  <c r="H838" i="12" s="1"/>
  <c r="H839" i="12" s="1"/>
  <c r="H840" i="12" s="1"/>
  <c r="H841" i="12" s="1"/>
  <c r="H842" i="12" s="1"/>
  <c r="H843" i="12" s="1"/>
  <c r="H844" i="12" s="1"/>
  <c r="H845" i="12" s="1"/>
  <c r="H846" i="12" s="1"/>
  <c r="H847" i="12" s="1"/>
  <c r="H848" i="12" s="1"/>
  <c r="H849" i="12" s="1"/>
  <c r="H850" i="12" s="1"/>
  <c r="H851" i="12" s="1"/>
  <c r="H852" i="12" s="1"/>
  <c r="H853" i="12" s="1"/>
  <c r="H854" i="12" s="1"/>
  <c r="H855" i="12" s="1"/>
  <c r="H856" i="12" s="1"/>
  <c r="H857" i="12" s="1"/>
  <c r="H858" i="12" s="1"/>
  <c r="H859" i="12" s="1"/>
  <c r="H860" i="12" s="1"/>
  <c r="H861" i="12" s="1"/>
  <c r="H862" i="12" s="1"/>
  <c r="H863" i="12" s="1"/>
  <c r="H864" i="12" s="1"/>
  <c r="H865" i="12" s="1"/>
  <c r="H866" i="12" s="1"/>
  <c r="H867" i="12" s="1"/>
  <c r="H868" i="12" s="1"/>
  <c r="H869" i="12" s="1"/>
  <c r="H870" i="12" s="1"/>
  <c r="H871" i="12" s="1"/>
  <c r="H872" i="12" s="1"/>
  <c r="H873" i="12" s="1"/>
  <c r="H874" i="12" s="1"/>
  <c r="H875" i="12" s="1"/>
  <c r="H876" i="12" s="1"/>
  <c r="H877" i="12" s="1"/>
  <c r="H878" i="12" s="1"/>
  <c r="H879" i="12" s="1"/>
  <c r="H880" i="12" s="1"/>
  <c r="H881" i="12" s="1"/>
  <c r="H882" i="12" s="1"/>
  <c r="H883" i="12" s="1"/>
  <c r="H884" i="12" s="1"/>
  <c r="H885" i="12" s="1"/>
  <c r="H886" i="12" s="1"/>
  <c r="H887" i="12" s="1"/>
  <c r="H888" i="12" s="1"/>
  <c r="H889" i="12" s="1"/>
  <c r="H890" i="12" s="1"/>
  <c r="H891" i="12" s="1"/>
  <c r="H892" i="12" s="1"/>
  <c r="H893" i="12" s="1"/>
  <c r="H894" i="12" s="1"/>
  <c r="H895" i="12" s="1"/>
  <c r="H896" i="12" s="1"/>
  <c r="H897" i="12" s="1"/>
  <c r="H898" i="12" s="1"/>
  <c r="H899" i="12" s="1"/>
  <c r="H900" i="12" s="1"/>
  <c r="H901" i="12" s="1"/>
  <c r="H902" i="12" s="1"/>
  <c r="H903" i="12" s="1"/>
  <c r="H904" i="12" s="1"/>
  <c r="H905" i="12" s="1"/>
  <c r="H906" i="12" s="1"/>
  <c r="H907" i="12" s="1"/>
  <c r="H908" i="12" s="1"/>
  <c r="H909" i="12" s="1"/>
  <c r="H910" i="12" s="1"/>
  <c r="H911" i="12" s="1"/>
  <c r="H912" i="12" s="1"/>
  <c r="H913" i="12" s="1"/>
  <c r="H914" i="12" s="1"/>
  <c r="H915" i="12" s="1"/>
  <c r="H916" i="12" s="1"/>
  <c r="H917" i="12" s="1"/>
  <c r="H918" i="12" s="1"/>
  <c r="H919" i="12" s="1"/>
  <c r="H920" i="12" s="1"/>
  <c r="H921" i="12" s="1"/>
  <c r="H922" i="12" s="1"/>
  <c r="H923" i="12" s="1"/>
  <c r="H924" i="12" s="1"/>
  <c r="H925" i="12" s="1"/>
  <c r="H926" i="12" s="1"/>
  <c r="H927" i="12" s="1"/>
  <c r="H928" i="12" s="1"/>
  <c r="H929" i="12" s="1"/>
  <c r="H930" i="12" s="1"/>
  <c r="H931" i="12" s="1"/>
  <c r="H932" i="12" s="1"/>
  <c r="H933" i="12" s="1"/>
  <c r="H934" i="12" s="1"/>
  <c r="H935" i="12" s="1"/>
  <c r="H936" i="12" s="1"/>
  <c r="H937" i="12" s="1"/>
  <c r="H938" i="12" s="1"/>
  <c r="H939" i="12" s="1"/>
  <c r="H940" i="12" s="1"/>
  <c r="H941" i="12" s="1"/>
  <c r="H942" i="12" s="1"/>
  <c r="H943" i="12" s="1"/>
  <c r="H944" i="12" s="1"/>
  <c r="H945" i="12" s="1"/>
  <c r="H946" i="12" s="1"/>
  <c r="H947" i="12" s="1"/>
  <c r="H948" i="12" s="1"/>
  <c r="H949" i="12" s="1"/>
  <c r="H950" i="12" s="1"/>
  <c r="H951" i="12" s="1"/>
  <c r="H952" i="12" s="1"/>
  <c r="H953" i="12" s="1"/>
  <c r="H954" i="12" s="1"/>
  <c r="H955" i="12" s="1"/>
  <c r="H956" i="12" s="1"/>
  <c r="H957" i="12" s="1"/>
  <c r="H958" i="12" s="1"/>
  <c r="H959" i="12" s="1"/>
  <c r="H960" i="12" s="1"/>
  <c r="H961" i="12" s="1"/>
  <c r="H962" i="12" s="1"/>
  <c r="H963" i="12" s="1"/>
  <c r="H964" i="12" s="1"/>
  <c r="H965" i="12" s="1"/>
  <c r="H966" i="12" s="1"/>
  <c r="H967" i="12" s="1"/>
  <c r="H968" i="12" s="1"/>
  <c r="H969" i="12" s="1"/>
  <c r="H970" i="12" s="1"/>
  <c r="H971" i="12" s="1"/>
  <c r="H972" i="12" s="1"/>
  <c r="H973" i="12" s="1"/>
  <c r="H974" i="12" s="1"/>
  <c r="H975" i="12" s="1"/>
  <c r="H976" i="12" s="1"/>
  <c r="H977" i="12" s="1"/>
  <c r="H978" i="12" s="1"/>
  <c r="H979" i="12" s="1"/>
  <c r="H980" i="12" s="1"/>
  <c r="H981" i="12" s="1"/>
  <c r="H982" i="12" s="1"/>
  <c r="H983" i="12" s="1"/>
  <c r="H984" i="12" s="1"/>
  <c r="H985" i="12" s="1"/>
  <c r="H986" i="12" s="1"/>
  <c r="H987" i="12" s="1"/>
  <c r="H988" i="12" s="1"/>
  <c r="H989" i="12" s="1"/>
  <c r="H990" i="12" s="1"/>
  <c r="H991" i="12" s="1"/>
  <c r="H992" i="12" s="1"/>
  <c r="H993" i="12" s="1"/>
  <c r="H994" i="12" s="1"/>
  <c r="H995" i="12" s="1"/>
  <c r="H996" i="12" s="1"/>
  <c r="H997" i="12" s="1"/>
  <c r="H998" i="12" s="1"/>
  <c r="H999" i="12" s="1"/>
  <c r="H1000" i="12" s="1"/>
  <c r="H1001" i="12" s="1"/>
  <c r="H1002" i="12" s="1"/>
  <c r="H1003" i="12" s="1"/>
  <c r="H1004" i="12" s="1"/>
  <c r="H1005" i="12" s="1"/>
  <c r="H1006" i="12" s="1"/>
  <c r="H1007" i="12" s="1"/>
  <c r="H1008" i="12" s="1"/>
  <c r="H1009" i="12" s="1"/>
  <c r="H1010" i="12" s="1"/>
  <c r="H1011" i="12" s="1"/>
  <c r="H1012" i="12" s="1"/>
  <c r="H1013" i="12" s="1"/>
  <c r="H1014" i="12" s="1"/>
  <c r="H1015" i="12" s="1"/>
  <c r="H1016" i="12" s="1"/>
  <c r="H1017" i="12" s="1"/>
  <c r="H1018" i="12" s="1"/>
  <c r="H1019" i="12" s="1"/>
  <c r="H1020" i="12" s="1"/>
  <c r="H1021" i="12" s="1"/>
  <c r="H1022" i="12" s="1"/>
  <c r="H1023" i="12" s="1"/>
  <c r="H1024" i="12" s="1"/>
  <c r="H1025" i="12" s="1"/>
  <c r="H1026" i="12" s="1"/>
  <c r="H1027" i="12" s="1"/>
  <c r="H1028" i="12" s="1"/>
  <c r="H1029" i="12" s="1"/>
  <c r="H1030" i="12" s="1"/>
  <c r="H1031" i="12" s="1"/>
  <c r="H1032" i="12" s="1"/>
  <c r="H1033" i="12" s="1"/>
  <c r="H1034" i="12" s="1"/>
  <c r="H1035" i="12" s="1"/>
  <c r="H1036" i="12" s="1"/>
  <c r="H1037" i="12" s="1"/>
  <c r="H1038" i="12" s="1"/>
  <c r="H1039" i="12" s="1"/>
  <c r="H1040" i="12" s="1"/>
  <c r="H1041" i="12" s="1"/>
  <c r="H1042" i="12" s="1"/>
  <c r="H1043" i="12" s="1"/>
  <c r="H1044" i="12" s="1"/>
  <c r="H1045" i="12" s="1"/>
  <c r="H1046" i="12" s="1"/>
  <c r="H1047" i="12" s="1"/>
  <c r="H1048" i="12" s="1"/>
  <c r="H1049" i="12" s="1"/>
  <c r="H1050" i="12" s="1"/>
  <c r="H1051" i="12" s="1"/>
  <c r="H1052" i="12" s="1"/>
  <c r="H1053" i="12" s="1"/>
  <c r="H1054" i="12" s="1"/>
  <c r="H1055" i="12" s="1"/>
  <c r="H1056" i="12" s="1"/>
  <c r="H1057" i="12" s="1"/>
  <c r="H1058" i="12" s="1"/>
  <c r="H1059" i="12" s="1"/>
  <c r="H1060" i="12" s="1"/>
  <c r="H1061" i="12" s="1"/>
  <c r="H1062" i="12" s="1"/>
  <c r="H1063" i="12" s="1"/>
  <c r="H1064" i="12" s="1"/>
  <c r="H1065" i="12" s="1"/>
  <c r="H1066" i="12" s="1"/>
  <c r="H1067" i="12" s="1"/>
  <c r="H1068" i="12" s="1"/>
  <c r="H1069" i="12" s="1"/>
  <c r="H1070" i="12" s="1"/>
  <c r="H1071" i="12" s="1"/>
  <c r="H1072" i="12" s="1"/>
  <c r="H1073" i="12" s="1"/>
  <c r="H1074" i="12" s="1"/>
  <c r="H1075" i="12" s="1"/>
  <c r="H1076" i="12" s="1"/>
  <c r="H1077" i="12" s="1"/>
  <c r="H1078" i="12" s="1"/>
  <c r="H1079" i="12" s="1"/>
  <c r="H1080" i="12" s="1"/>
  <c r="H1081" i="12" s="1"/>
  <c r="H1082" i="12" s="1"/>
  <c r="H1083" i="12" s="1"/>
  <c r="H1084" i="12" s="1"/>
  <c r="H1085" i="12" s="1"/>
  <c r="H1086" i="12" s="1"/>
  <c r="H1087" i="12" s="1"/>
  <c r="H1088" i="12" s="1"/>
  <c r="H1089" i="12" s="1"/>
  <c r="H1090" i="12" s="1"/>
  <c r="H1091" i="12" s="1"/>
  <c r="H1092" i="12" s="1"/>
  <c r="H1093" i="12" s="1"/>
  <c r="H1094" i="12" s="1"/>
  <c r="H1095" i="12" s="1"/>
  <c r="H1096" i="12" s="1"/>
  <c r="H1097" i="12" s="1"/>
  <c r="H1098" i="12" s="1"/>
  <c r="H1099" i="12" s="1"/>
  <c r="H1100" i="12" s="1"/>
  <c r="H1101" i="12" s="1"/>
  <c r="H1102" i="12" s="1"/>
  <c r="H1103" i="12" s="1"/>
  <c r="H1104" i="12" s="1"/>
  <c r="H1105" i="12" s="1"/>
  <c r="H1106" i="12" s="1"/>
  <c r="H1107" i="12" s="1"/>
  <c r="H1108" i="12" s="1"/>
  <c r="H1109" i="12" s="1"/>
  <c r="H1110" i="12" s="1"/>
  <c r="H1111" i="12" s="1"/>
  <c r="H1112" i="12" s="1"/>
  <c r="H1113" i="12" s="1"/>
  <c r="H1114" i="12" s="1"/>
  <c r="H1115" i="12" s="1"/>
  <c r="H1116" i="12" s="1"/>
  <c r="H1117" i="12" s="1"/>
  <c r="H1118" i="12" s="1"/>
  <c r="H1119" i="12" s="1"/>
  <c r="H1120" i="12" s="1"/>
  <c r="H1121" i="12" s="1"/>
  <c r="H1122" i="12" s="1"/>
  <c r="H1123" i="12" s="1"/>
  <c r="H1124" i="12" s="1"/>
  <c r="H1125" i="12" s="1"/>
  <c r="H1126" i="12" s="1"/>
  <c r="H1127" i="12" s="1"/>
  <c r="H1128" i="12" s="1"/>
  <c r="H1129" i="12" s="1"/>
  <c r="H1130" i="12" s="1"/>
  <c r="H1131" i="12" s="1"/>
  <c r="H1132" i="12" s="1"/>
  <c r="H1133" i="12" s="1"/>
  <c r="H1134" i="12" s="1"/>
  <c r="H1135" i="12" s="1"/>
  <c r="H1136" i="12" s="1"/>
  <c r="H1137" i="12" s="1"/>
  <c r="H1138" i="12" s="1"/>
  <c r="H1139" i="12" s="1"/>
  <c r="H1140" i="12" s="1"/>
  <c r="H1141" i="12" s="1"/>
  <c r="H1142" i="12" s="1"/>
  <c r="H1143" i="12" s="1"/>
  <c r="H1144" i="12" s="1"/>
  <c r="H1145" i="12" s="1"/>
  <c r="H1146" i="12" s="1"/>
  <c r="H1147" i="12" s="1"/>
  <c r="H1148" i="12" s="1"/>
  <c r="H1149" i="12" s="1"/>
  <c r="H1150" i="12" s="1"/>
  <c r="H1151" i="12" s="1"/>
  <c r="H1152" i="12" s="1"/>
  <c r="H1153" i="12" s="1"/>
  <c r="H1154" i="12" s="1"/>
  <c r="H1155" i="12" s="1"/>
  <c r="H1156" i="12" s="1"/>
  <c r="H1157" i="12" s="1"/>
  <c r="H1158" i="12" s="1"/>
  <c r="H1159" i="12" s="1"/>
  <c r="H1160" i="12" s="1"/>
  <c r="H1161" i="12" s="1"/>
  <c r="H1162" i="12" s="1"/>
  <c r="H1163" i="12" s="1"/>
  <c r="H1164" i="12" s="1"/>
  <c r="H1165" i="12" s="1"/>
  <c r="H1166" i="12" s="1"/>
  <c r="H1167" i="12" s="1"/>
  <c r="H1168" i="12" s="1"/>
  <c r="H1169" i="12" s="1"/>
  <c r="H1170" i="12" s="1"/>
  <c r="H1171" i="12" s="1"/>
  <c r="H1172" i="12" s="1"/>
  <c r="H1173" i="12" s="1"/>
  <c r="H1174" i="12" s="1"/>
  <c r="H1175" i="12" s="1"/>
  <c r="H1176" i="12" s="1"/>
  <c r="H1177" i="12" s="1"/>
  <c r="H1178" i="12" s="1"/>
  <c r="I984" i="12" s="1"/>
  <c r="I949" i="12" l="1"/>
  <c r="I1027" i="12"/>
  <c r="I1026" i="12"/>
  <c r="I846" i="12"/>
  <c r="I43" i="12"/>
  <c r="I995" i="12"/>
  <c r="I1061" i="12"/>
  <c r="I1169" i="12"/>
  <c r="I74" i="12"/>
  <c r="I1138" i="12"/>
  <c r="I1029" i="12"/>
  <c r="I1062" i="12"/>
  <c r="I232" i="12"/>
  <c r="I899" i="12"/>
  <c r="I1168" i="12"/>
  <c r="I518" i="12"/>
  <c r="I1030" i="12"/>
  <c r="I234" i="12"/>
  <c r="I1141" i="12"/>
  <c r="I396" i="12"/>
  <c r="I729" i="12"/>
  <c r="I1063" i="12"/>
  <c r="I614" i="12"/>
  <c r="I1161" i="12"/>
  <c r="I1170" i="12"/>
  <c r="I1097" i="12"/>
  <c r="I375" i="12"/>
  <c r="I104" i="12"/>
  <c r="I1095" i="12"/>
  <c r="I1083" i="12"/>
  <c r="I804" i="12"/>
  <c r="I461" i="12"/>
  <c r="I884" i="12"/>
  <c r="I527" i="12"/>
  <c r="I921" i="12"/>
  <c r="I9" i="12"/>
  <c r="I296" i="12"/>
  <c r="I885" i="12"/>
  <c r="I591" i="12"/>
  <c r="I957" i="12"/>
  <c r="I595" i="12"/>
  <c r="I192" i="12"/>
  <c r="I498" i="12"/>
  <c r="I952" i="12"/>
  <c r="I200" i="12"/>
  <c r="I807" i="12"/>
  <c r="I780" i="12"/>
  <c r="I769" i="12"/>
  <c r="I714" i="12"/>
  <c r="I1144" i="12"/>
  <c r="I458" i="12"/>
  <c r="I585" i="12"/>
  <c r="I207" i="12"/>
  <c r="I425" i="12"/>
  <c r="I683" i="12"/>
  <c r="I938" i="12"/>
  <c r="I463" i="12"/>
  <c r="I973" i="12"/>
  <c r="I968" i="12"/>
  <c r="I142" i="12"/>
  <c r="I178" i="12"/>
  <c r="I850" i="12"/>
  <c r="I508" i="12"/>
  <c r="I801" i="12"/>
  <c r="I925" i="12"/>
  <c r="I1090" i="12"/>
  <c r="I434" i="12"/>
  <c r="I393" i="12"/>
  <c r="I237" i="12"/>
  <c r="I868" i="12"/>
  <c r="I249" i="12"/>
  <c r="I148" i="12"/>
  <c r="I1129" i="12"/>
  <c r="I36" i="12"/>
  <c r="I523" i="12"/>
  <c r="I1147" i="12"/>
  <c r="I383" i="12"/>
  <c r="I1156" i="12"/>
  <c r="I435" i="12"/>
  <c r="I35" i="12"/>
  <c r="I440" i="12"/>
  <c r="I256" i="12"/>
  <c r="I61" i="12"/>
  <c r="I593" i="12"/>
  <c r="I1098" i="12"/>
  <c r="I69" i="12"/>
  <c r="I944" i="12"/>
  <c r="I531" i="12"/>
  <c r="I143" i="12"/>
  <c r="I117" i="12"/>
  <c r="I376" i="12"/>
  <c r="I222" i="12"/>
  <c r="I380" i="12"/>
  <c r="I501" i="12"/>
  <c r="I535" i="12"/>
  <c r="I998" i="12"/>
  <c r="I157" i="12"/>
  <c r="I360" i="12"/>
  <c r="I958" i="12"/>
  <c r="I447" i="12"/>
  <c r="I775" i="12"/>
  <c r="I601" i="12"/>
  <c r="I17" i="12"/>
  <c r="I640" i="12"/>
  <c r="I374" i="12"/>
  <c r="I799" i="12"/>
  <c r="I592" i="12"/>
  <c r="I726" i="12"/>
  <c r="I689" i="12"/>
  <c r="I493" i="12"/>
  <c r="I274" i="12"/>
  <c r="I1160" i="12"/>
  <c r="I154" i="12"/>
  <c r="I227" i="12"/>
  <c r="I811" i="12"/>
  <c r="I230" i="12"/>
  <c r="I911" i="12"/>
  <c r="I173" i="12"/>
  <c r="I567" i="12"/>
  <c r="I991" i="12"/>
  <c r="I352" i="12"/>
  <c r="I720" i="12"/>
  <c r="I1149" i="12"/>
  <c r="I950" i="12"/>
  <c r="I414" i="12"/>
  <c r="I638" i="12"/>
  <c r="I1089" i="12"/>
  <c r="I476" i="12"/>
  <c r="I765" i="12"/>
  <c r="I469" i="12"/>
  <c r="I258" i="12"/>
  <c r="I776" i="12"/>
  <c r="I381" i="12"/>
  <c r="I510" i="12"/>
  <c r="I605" i="12"/>
  <c r="I1119" i="12"/>
  <c r="I1081" i="12"/>
  <c r="I785" i="12"/>
  <c r="I656" i="12"/>
  <c r="I873" i="12"/>
  <c r="I774" i="12"/>
  <c r="I1166" i="12"/>
  <c r="I703" i="12"/>
  <c r="I1125" i="12"/>
  <c r="I181" i="12"/>
  <c r="I34" i="12"/>
  <c r="I740" i="12"/>
  <c r="I708" i="12"/>
  <c r="I1139" i="12"/>
  <c r="I359" i="12"/>
  <c r="I685" i="12"/>
  <c r="I26" i="12"/>
  <c r="I306" i="12"/>
  <c r="I682" i="12"/>
  <c r="I974" i="12"/>
  <c r="I582" i="12"/>
  <c r="I747" i="12"/>
  <c r="I637" i="12"/>
  <c r="I429" i="12"/>
  <c r="I557" i="12"/>
  <c r="I347" i="12"/>
  <c r="I58" i="12"/>
  <c r="I750" i="12"/>
  <c r="I118" i="12"/>
  <c r="I877" i="12"/>
  <c r="I594" i="12"/>
  <c r="I1017" i="12"/>
  <c r="I1003" i="12"/>
  <c r="I979" i="12"/>
  <c r="I646" i="12"/>
  <c r="I388" i="12"/>
  <c r="I371" i="12"/>
  <c r="I830" i="12"/>
  <c r="I894" i="12"/>
  <c r="I905" i="12"/>
  <c r="I33" i="12"/>
  <c r="I241" i="12"/>
  <c r="I781" i="12"/>
  <c r="I437" i="12"/>
  <c r="I426" i="12"/>
  <c r="I1164" i="12"/>
  <c r="I1159" i="12"/>
  <c r="I131" i="12"/>
  <c r="I128" i="12"/>
  <c r="I907" i="12"/>
  <c r="I1126" i="12"/>
  <c r="I538" i="12"/>
  <c r="I903" i="12"/>
  <c r="I243" i="12"/>
  <c r="I339" i="12"/>
  <c r="I460" i="12"/>
  <c r="I524" i="12"/>
  <c r="I757" i="12"/>
  <c r="I575" i="12"/>
  <c r="I398" i="12"/>
  <c r="I544" i="12"/>
  <c r="I5" i="12"/>
  <c r="I370" i="12"/>
  <c r="I512" i="12"/>
  <c r="I101" i="12"/>
  <c r="I642" i="12"/>
  <c r="I661" i="12"/>
  <c r="I332" i="12"/>
  <c r="I612" i="12"/>
  <c r="I937" i="12"/>
  <c r="I783" i="12"/>
  <c r="I833" i="12"/>
  <c r="I617" i="12"/>
  <c r="I705" i="12"/>
  <c r="I209" i="12"/>
  <c r="I450" i="12"/>
  <c r="I107" i="12"/>
  <c r="I562" i="12"/>
  <c r="I44" i="12"/>
  <c r="I149" i="12"/>
  <c r="I641" i="12"/>
  <c r="I655" i="12"/>
  <c r="I624" i="12"/>
  <c r="I1130" i="12"/>
  <c r="I1024" i="12"/>
  <c r="I981" i="12"/>
  <c r="I1015" i="12"/>
  <c r="I125" i="12"/>
  <c r="I573" i="12"/>
  <c r="I103" i="12"/>
  <c r="I749" i="12"/>
  <c r="I961" i="12"/>
  <c r="I45" i="12"/>
  <c r="I1177" i="12"/>
  <c r="I391" i="12"/>
  <c r="I618" i="12"/>
  <c r="I653" i="12"/>
  <c r="I929" i="12"/>
  <c r="I139" i="12"/>
  <c r="I273" i="12"/>
  <c r="I1082" i="12"/>
  <c r="I692" i="12"/>
  <c r="I1055" i="12"/>
  <c r="I10" i="12"/>
  <c r="I587" i="12"/>
  <c r="I77" i="12"/>
  <c r="I643" i="12"/>
  <c r="I965" i="12"/>
  <c r="I943" i="12"/>
  <c r="I1101" i="12"/>
  <c r="I509" i="12"/>
  <c r="I174" i="12"/>
  <c r="I1047" i="12"/>
  <c r="I350" i="12"/>
  <c r="I335" i="12"/>
  <c r="I382" i="12"/>
  <c r="I87" i="12"/>
  <c r="I18" i="12"/>
  <c r="I797" i="12"/>
  <c r="I379" i="12"/>
  <c r="I676" i="12"/>
  <c r="I97" i="12"/>
  <c r="I1133" i="12"/>
  <c r="I738" i="12"/>
  <c r="I764" i="12"/>
  <c r="I678" i="12"/>
  <c r="I910" i="12"/>
  <c r="I47" i="12"/>
  <c r="I19" i="12"/>
  <c r="I534" i="12"/>
  <c r="I926" i="12"/>
  <c r="I818" i="12"/>
  <c r="I621" i="12"/>
  <c r="I68" i="12"/>
  <c r="I1175" i="12"/>
  <c r="I815" i="12"/>
  <c r="I155" i="12"/>
  <c r="I748" i="12"/>
  <c r="I939" i="12"/>
  <c r="I994" i="12"/>
  <c r="I739" i="12"/>
  <c r="I147" i="12"/>
  <c r="I215" i="12"/>
  <c r="I1004" i="12"/>
  <c r="I1031" i="12"/>
  <c r="I1042" i="12"/>
  <c r="I1007" i="12"/>
  <c r="I1176" i="12"/>
  <c r="I96" i="12"/>
  <c r="I122" i="12"/>
  <c r="I1108" i="12"/>
  <c r="I526" i="12"/>
  <c r="I72" i="12"/>
  <c r="I336" i="12"/>
  <c r="I1058" i="12"/>
  <c r="I275" i="12"/>
  <c r="I576" i="12"/>
  <c r="I863" i="12"/>
  <c r="I770" i="12"/>
  <c r="I1173" i="12"/>
  <c r="I530" i="12"/>
  <c r="I712" i="12"/>
  <c r="I762" i="12"/>
  <c r="I41" i="12"/>
  <c r="I1109" i="12"/>
  <c r="I1019" i="12"/>
  <c r="I288" i="12"/>
  <c r="I1064" i="12"/>
  <c r="I187" i="12"/>
  <c r="I405" i="12"/>
  <c r="I266" i="12"/>
  <c r="I56" i="12"/>
  <c r="I271" i="12"/>
  <c r="I1140" i="12"/>
  <c r="I1136" i="12"/>
  <c r="I152" i="12"/>
  <c r="I1041" i="12"/>
  <c r="I1163" i="12"/>
  <c r="I409" i="12"/>
  <c r="I1102" i="12"/>
  <c r="I99" i="12"/>
  <c r="I1118" i="12"/>
  <c r="I412" i="12"/>
  <c r="I1069" i="12"/>
  <c r="I767" i="12"/>
  <c r="I310" i="12"/>
  <c r="I1131" i="12"/>
  <c r="I1010" i="12"/>
  <c r="I1068" i="12"/>
  <c r="I866" i="12"/>
  <c r="I127" i="12"/>
  <c r="I1116" i="12"/>
  <c r="I796" i="12"/>
  <c r="I1054" i="12"/>
  <c r="I49" i="12"/>
  <c r="I477" i="12"/>
  <c r="I111" i="12"/>
  <c r="I700" i="12"/>
  <c r="I94" i="12"/>
  <c r="I214" i="12"/>
  <c r="I1091" i="12"/>
  <c r="I378" i="12"/>
  <c r="I717" i="12"/>
  <c r="I453" i="12"/>
  <c r="I259" i="12"/>
  <c r="I465" i="12"/>
  <c r="I311" i="12"/>
  <c r="I753" i="12"/>
  <c r="I732" i="12"/>
  <c r="I302" i="12"/>
  <c r="I431" i="12"/>
  <c r="I474" i="12"/>
  <c r="I909" i="12"/>
  <c r="I928" i="12"/>
  <c r="I109" i="12"/>
  <c r="I644" i="12"/>
  <c r="I504" i="12"/>
  <c r="I817" i="12"/>
  <c r="I1028" i="12"/>
  <c r="I318" i="12"/>
  <c r="I195" i="12"/>
  <c r="I793" i="12"/>
  <c r="I248" i="12"/>
  <c r="I421" i="12"/>
  <c r="I1096" i="12"/>
  <c r="I110" i="12"/>
  <c r="I904" i="12"/>
  <c r="I901" i="12"/>
  <c r="I667" i="12"/>
  <c r="I1086" i="12"/>
  <c r="I98" i="12"/>
  <c r="I1158" i="12"/>
  <c r="I1033" i="12"/>
  <c r="I253" i="12"/>
  <c r="I1080" i="12"/>
  <c r="I897" i="12"/>
  <c r="I92" i="12"/>
  <c r="I889" i="12"/>
  <c r="I343" i="12"/>
  <c r="I920" i="12"/>
  <c r="I859" i="12"/>
  <c r="I1103" i="12"/>
  <c r="I1008" i="12"/>
  <c r="I871" i="12"/>
  <c r="I956" i="12"/>
  <c r="I604" i="12"/>
  <c r="I760" i="12"/>
  <c r="I353" i="12"/>
  <c r="I941" i="12"/>
  <c r="I741" i="12"/>
  <c r="I168" i="12"/>
  <c r="I917" i="12"/>
  <c r="I561" i="12"/>
  <c r="I48" i="12"/>
  <c r="I742" i="12"/>
  <c r="I1078" i="12"/>
  <c r="I86" i="12"/>
  <c r="I161" i="12"/>
  <c r="I112" i="12"/>
  <c r="I428" i="12"/>
  <c r="I160" i="12"/>
  <c r="I713" i="12"/>
  <c r="I196" i="12"/>
  <c r="I752" i="12"/>
  <c r="I558" i="12"/>
  <c r="I487" i="12"/>
  <c r="I802" i="12"/>
  <c r="I627" i="12"/>
  <c r="I348" i="12"/>
  <c r="I922" i="12"/>
  <c r="I985" i="12"/>
  <c r="I39" i="12"/>
  <c r="I964" i="12"/>
  <c r="I289" i="12"/>
  <c r="I754" i="12"/>
  <c r="I847" i="12"/>
  <c r="I286" i="12"/>
  <c r="I240" i="12"/>
  <c r="I1145" i="12"/>
  <c r="I46" i="12"/>
  <c r="I808" i="12"/>
  <c r="I1051" i="12"/>
  <c r="I662" i="12"/>
  <c r="I568" i="12"/>
  <c r="I422" i="12"/>
  <c r="I537" i="12"/>
  <c r="I1046" i="12"/>
  <c r="I547" i="12"/>
  <c r="I213" i="12"/>
  <c r="I430" i="12"/>
  <c r="I63" i="12"/>
  <c r="I1123" i="12"/>
  <c r="I472" i="12"/>
  <c r="I29" i="12"/>
  <c r="I4" i="12"/>
  <c r="I608" i="12"/>
  <c r="I151" i="12"/>
  <c r="I145" i="12"/>
  <c r="I962" i="12"/>
  <c r="I158" i="12"/>
  <c r="I606" i="12"/>
  <c r="I184" i="12"/>
  <c r="I269" i="12"/>
  <c r="I1106" i="12"/>
  <c r="I317" i="12"/>
  <c r="I153" i="12"/>
  <c r="I320" i="12"/>
  <c r="I356" i="12"/>
  <c r="I690" i="12"/>
  <c r="I835" i="12"/>
  <c r="I490" i="12"/>
  <c r="I966" i="12"/>
  <c r="I206" i="12"/>
  <c r="I290" i="12"/>
  <c r="I622" i="12"/>
  <c r="I2" i="12"/>
  <c r="I709" i="12"/>
  <c r="I144" i="12"/>
  <c r="I346" i="12"/>
  <c r="I496" i="12"/>
  <c r="I30" i="12"/>
  <c r="I861" i="12"/>
  <c r="I436" i="12"/>
  <c r="I1014" i="12"/>
  <c r="I580" i="12"/>
  <c r="I132" i="12"/>
  <c r="I728" i="12"/>
  <c r="I52" i="12"/>
  <c r="I268" i="12"/>
  <c r="I865" i="12"/>
  <c r="I935" i="12"/>
  <c r="I963" i="12"/>
  <c r="I1142" i="12"/>
  <c r="I870" i="12"/>
  <c r="I584" i="12"/>
  <c r="I137" i="12"/>
  <c r="I933" i="12"/>
  <c r="I860" i="12"/>
  <c r="I276" i="12"/>
  <c r="I179" i="12"/>
  <c r="I489" i="12"/>
  <c r="I670" i="12"/>
  <c r="I511" i="12"/>
  <c r="I257" i="12"/>
  <c r="I1057" i="12"/>
  <c r="I1152" i="12"/>
  <c r="I315" i="12"/>
  <c r="I204" i="12"/>
  <c r="I599" i="12"/>
  <c r="I182" i="12"/>
  <c r="I635" i="12"/>
  <c r="I659" i="12"/>
  <c r="I326" i="12"/>
  <c r="I64" i="12"/>
  <c r="I1171" i="12"/>
  <c r="I507" i="12"/>
  <c r="I761" i="12"/>
  <c r="I3" i="12"/>
  <c r="I1112" i="12"/>
  <c r="I1094" i="12"/>
  <c r="I65" i="12"/>
  <c r="I1052" i="12"/>
  <c r="I349" i="12"/>
  <c r="I813" i="12"/>
  <c r="I832" i="12"/>
  <c r="I212" i="12"/>
  <c r="I982" i="12"/>
  <c r="I233" i="12"/>
  <c r="I513" i="12"/>
  <c r="I540" i="12"/>
  <c r="I333" i="12"/>
  <c r="I116" i="12"/>
  <c r="I639" i="12"/>
  <c r="I304" i="12"/>
  <c r="I6" i="12"/>
  <c r="I854" i="12"/>
  <c r="I565" i="12"/>
  <c r="I891" i="12"/>
  <c r="I609" i="12"/>
  <c r="I987" i="12"/>
  <c r="I718" i="12"/>
  <c r="I522" i="12"/>
  <c r="I146" i="12"/>
  <c r="I267" i="12"/>
  <c r="I543" i="12"/>
  <c r="I696" i="12"/>
  <c r="I93" i="12"/>
  <c r="I119" i="12"/>
  <c r="I223" i="12"/>
  <c r="I417" i="12"/>
  <c r="I778" i="12"/>
  <c r="I658" i="12"/>
  <c r="I701" i="12"/>
  <c r="I1072" i="12"/>
  <c r="I189" i="12"/>
  <c r="I744" i="12"/>
  <c r="I446" i="12"/>
  <c r="I78" i="12"/>
  <c r="I1087" i="12"/>
  <c r="I810" i="12"/>
  <c r="I1049" i="12"/>
  <c r="I1059" i="12"/>
  <c r="I89" i="12"/>
  <c r="I264" i="12"/>
  <c r="I999" i="12"/>
  <c r="I403" i="12"/>
  <c r="I479" i="12"/>
  <c r="I1134" i="12"/>
  <c r="I265" i="12"/>
  <c r="I839" i="12"/>
  <c r="I1093" i="12"/>
  <c r="I402" i="12"/>
  <c r="I397" i="12"/>
  <c r="I262" i="12"/>
  <c r="I1002" i="12"/>
  <c r="I452" i="12"/>
  <c r="I532" i="12"/>
  <c r="I170" i="12"/>
  <c r="I413" i="12"/>
  <c r="I50" i="12"/>
  <c r="I285" i="12"/>
  <c r="I721" i="12"/>
  <c r="I733" i="12"/>
  <c r="I836" i="12"/>
  <c r="I908" i="12"/>
  <c r="I931" i="12"/>
  <c r="I400" i="12"/>
  <c r="I826" i="12"/>
  <c r="I853" i="12"/>
  <c r="I386" i="12"/>
  <c r="I23" i="12"/>
  <c r="I363" i="12"/>
  <c r="I115" i="12"/>
  <c r="I468" i="12"/>
  <c r="I900" i="12"/>
  <c r="I693" i="12"/>
  <c r="I406" i="12"/>
  <c r="I1037" i="12"/>
  <c r="I849" i="12"/>
  <c r="I1132" i="12"/>
  <c r="I1153" i="12"/>
  <c r="I923" i="12"/>
  <c r="I702" i="12"/>
  <c r="I301" i="12"/>
  <c r="I226" i="12"/>
  <c r="I255" i="12"/>
  <c r="I555" i="12"/>
  <c r="I62" i="12"/>
  <c r="I270" i="12"/>
  <c r="I66" i="12"/>
  <c r="I321" i="12"/>
  <c r="I822" i="12"/>
  <c r="I165" i="12"/>
  <c r="I163" i="12"/>
  <c r="I130" i="12"/>
  <c r="I294" i="12"/>
  <c r="I15" i="12"/>
  <c r="I1105" i="12"/>
  <c r="I1114" i="12"/>
  <c r="I323" i="12"/>
  <c r="I736" i="12"/>
  <c r="I141" i="12"/>
  <c r="I687" i="12"/>
  <c r="I1143" i="12"/>
  <c r="I1113" i="12"/>
  <c r="I83" i="12"/>
  <c r="I219" i="12"/>
  <c r="I788" i="12"/>
  <c r="I106" i="12"/>
  <c r="I1092" i="12"/>
  <c r="I90" i="12"/>
  <c r="I858" i="12"/>
  <c r="I129" i="12"/>
  <c r="I986" i="12"/>
  <c r="I277" i="12"/>
  <c r="I934" i="12"/>
  <c r="I652" i="12"/>
  <c r="I572" i="12"/>
  <c r="I1124" i="12"/>
  <c r="I516" i="12"/>
  <c r="I1172" i="12"/>
  <c r="I499" i="12"/>
  <c r="I798" i="12"/>
  <c r="I634" i="12"/>
  <c r="I322" i="12"/>
  <c r="I715" i="12"/>
  <c r="I31" i="12"/>
  <c r="I828" i="12"/>
  <c r="I305" i="12"/>
  <c r="I358" i="12"/>
  <c r="I823" i="12"/>
  <c r="I385" i="12"/>
  <c r="I515" i="12"/>
  <c r="I684" i="12"/>
  <c r="I589" i="12"/>
  <c r="I559" i="12"/>
  <c r="I795" i="12"/>
  <c r="I603" i="12"/>
  <c r="I291" i="12"/>
  <c r="I895" i="12"/>
  <c r="I607" i="12"/>
  <c r="I457" i="12"/>
  <c r="I970" i="12"/>
  <c r="I734" i="12"/>
  <c r="I108" i="12"/>
  <c r="I85" i="12"/>
  <c r="I488" i="12"/>
  <c r="I1100" i="12"/>
  <c r="I292" i="12"/>
  <c r="I502" i="12"/>
  <c r="I100" i="12"/>
  <c r="I1005" i="12"/>
  <c r="I1085" i="12"/>
  <c r="I867" i="12"/>
  <c r="I541" i="12"/>
  <c r="I786" i="12"/>
  <c r="I459" i="12"/>
  <c r="I1127" i="12"/>
  <c r="I366" i="12"/>
  <c r="I11" i="12"/>
  <c r="I495" i="12"/>
  <c r="I1135" i="12"/>
  <c r="I688" i="12"/>
  <c r="I60" i="12"/>
  <c r="I1034" i="12"/>
  <c r="I1048" i="12"/>
  <c r="I521" i="12"/>
  <c r="I977" i="12"/>
  <c r="I1077" i="12"/>
  <c r="I194" i="12"/>
  <c r="I415" i="12"/>
  <c r="I367" i="12"/>
  <c r="I330" i="12"/>
  <c r="I202" i="12"/>
  <c r="I126" i="12"/>
  <c r="I338" i="12"/>
  <c r="I199" i="12"/>
  <c r="I880" i="12"/>
  <c r="I254" i="12"/>
  <c r="I628" i="12"/>
  <c r="I539" i="12"/>
  <c r="I140" i="12"/>
  <c r="I674" i="12"/>
  <c r="I663" i="12"/>
  <c r="I800" i="12"/>
  <c r="I20" i="12"/>
  <c r="I442" i="12"/>
  <c r="I328" i="12"/>
  <c r="I37" i="12"/>
  <c r="I245" i="12"/>
  <c r="I244" i="12"/>
  <c r="I990" i="12"/>
  <c r="I566" i="12"/>
  <c r="I1084" i="12"/>
  <c r="I792" i="12"/>
  <c r="I303" i="12"/>
  <c r="I716" i="12"/>
  <c r="I806" i="12"/>
  <c r="I480" i="12"/>
  <c r="I13" i="12"/>
  <c r="I283" i="12"/>
  <c r="I1167" i="12"/>
  <c r="I369" i="12"/>
  <c r="I825" i="12"/>
  <c r="I777" i="12"/>
  <c r="I481" i="12"/>
  <c r="I623" i="12"/>
  <c r="I482" i="12"/>
  <c r="I1099" i="12"/>
  <c r="I448" i="12"/>
  <c r="I95" i="12"/>
  <c r="I84" i="12"/>
  <c r="I514" i="12"/>
  <c r="I610" i="12"/>
  <c r="I505" i="12"/>
  <c r="I1111" i="12"/>
  <c r="I236" i="12"/>
  <c r="I881" i="12"/>
  <c r="I574" i="12"/>
  <c r="I169" i="12"/>
  <c r="I597" i="12"/>
  <c r="I731" i="12"/>
  <c r="I864" i="12"/>
  <c r="I1050" i="12"/>
  <c r="I1162" i="12"/>
  <c r="I324" i="12"/>
  <c r="I924" i="12"/>
  <c r="I1148" i="12"/>
  <c r="I737" i="12"/>
  <c r="I1032" i="12"/>
  <c r="I848" i="12"/>
  <c r="I475" i="12"/>
  <c r="I704" i="12"/>
  <c r="I936" i="12"/>
  <c r="I820" i="12"/>
  <c r="I906" i="12"/>
  <c r="I239" i="12"/>
  <c r="I955" i="12"/>
  <c r="I819" i="12"/>
  <c r="I81" i="12"/>
  <c r="I719" i="12"/>
  <c r="I325" i="12"/>
  <c r="I12" i="12"/>
  <c r="I916" i="12"/>
  <c r="I564" i="12"/>
  <c r="I401" i="12"/>
  <c r="I357" i="12"/>
  <c r="I671" i="12"/>
  <c r="I7" i="12"/>
  <c r="I355" i="12"/>
  <c r="I699" i="12"/>
  <c r="I1075" i="12"/>
  <c r="I578" i="12"/>
  <c r="I927" i="12"/>
  <c r="I221" i="12"/>
  <c r="I1174" i="12"/>
  <c r="I680" i="12"/>
  <c r="I198" i="12"/>
  <c r="I411" i="12"/>
  <c r="I1146" i="12"/>
  <c r="I1071" i="12"/>
  <c r="I342" i="12"/>
  <c r="I272" i="12"/>
  <c r="I625" i="12"/>
  <c r="I309" i="12"/>
  <c r="I556" i="12"/>
  <c r="I779" i="12"/>
  <c r="I313" i="12"/>
  <c r="I1045" i="12"/>
  <c r="I570" i="12"/>
  <c r="I620" i="12"/>
  <c r="I423" i="12"/>
  <c r="I665" i="12"/>
  <c r="I978" i="12"/>
  <c r="I312" i="12"/>
  <c r="I1043" i="12"/>
  <c r="I967" i="12"/>
  <c r="I829" i="12"/>
  <c r="I416" i="12"/>
  <c r="I735" i="12"/>
  <c r="I812" i="12"/>
  <c r="I399" i="12"/>
  <c r="I162" i="12"/>
  <c r="I183" i="12"/>
  <c r="I896" i="12"/>
  <c r="I467" i="12"/>
  <c r="I542" i="12"/>
  <c r="I319" i="12"/>
  <c r="I297" i="12"/>
  <c r="I334" i="12"/>
  <c r="I745" i="12"/>
  <c r="I506" i="12"/>
  <c r="I919" i="12"/>
  <c r="I814" i="12"/>
  <c r="I486" i="12"/>
  <c r="I340" i="12"/>
  <c r="I695" i="12"/>
  <c r="I743" i="12"/>
  <c r="I1011" i="12"/>
  <c r="I583" i="12"/>
  <c r="I590" i="12"/>
  <c r="I1115" i="12"/>
  <c r="I390" i="12"/>
  <c r="I1079" i="12"/>
  <c r="I645" i="12"/>
  <c r="I698" i="12"/>
  <c r="I789" i="12"/>
  <c r="I886" i="12"/>
  <c r="I57" i="12"/>
  <c r="I626" i="12"/>
  <c r="I438" i="12"/>
  <c r="I888" i="12"/>
  <c r="I14" i="12"/>
  <c r="I484" i="12"/>
  <c r="I208" i="12"/>
  <c r="I1088" i="12"/>
  <c r="I1053" i="12"/>
  <c r="I883" i="12"/>
  <c r="I751" i="12"/>
  <c r="I462" i="12"/>
  <c r="I278" i="12"/>
  <c r="I55" i="12"/>
  <c r="I408" i="12"/>
  <c r="I176" i="12"/>
  <c r="I21" i="12"/>
  <c r="I988" i="12"/>
  <c r="I464" i="12"/>
  <c r="I80" i="12"/>
  <c r="I384" i="12"/>
  <c r="I483" i="12"/>
  <c r="I528" i="12"/>
  <c r="I673" i="12"/>
  <c r="I706" i="12"/>
  <c r="I28" i="12"/>
  <c r="I942" i="12"/>
  <c r="I225" i="12"/>
  <c r="I554" i="12"/>
  <c r="I410" i="12"/>
  <c r="I838" i="12"/>
  <c r="I205" i="12"/>
  <c r="I878" i="12"/>
  <c r="I983" i="12"/>
  <c r="I669" i="12"/>
  <c r="I1013" i="12"/>
  <c r="I439" i="12"/>
  <c r="I71" i="12"/>
  <c r="I67" i="12"/>
  <c r="I218" i="12"/>
  <c r="I407" i="12"/>
  <c r="I138" i="12"/>
  <c r="I365" i="12"/>
  <c r="I88" i="12"/>
  <c r="I697" i="12"/>
  <c r="I840" i="12"/>
  <c r="I235" i="12"/>
  <c r="I1067" i="12"/>
  <c r="I723" i="12"/>
  <c r="I989" i="12"/>
  <c r="I834" i="12"/>
  <c r="I548" i="12"/>
  <c r="I247" i="12"/>
  <c r="I869" i="12"/>
  <c r="I470" i="12"/>
  <c r="I1074" i="12"/>
  <c r="I843" i="12"/>
  <c r="I1001" i="12"/>
  <c r="I228" i="12"/>
  <c r="I1021" i="12"/>
  <c r="I485" i="12"/>
  <c r="I913" i="12"/>
  <c r="I546" i="12"/>
  <c r="I668" i="12"/>
  <c r="I898" i="12"/>
  <c r="I362" i="12"/>
  <c r="I844" i="12"/>
  <c r="I824" i="12"/>
  <c r="I454" i="12"/>
  <c r="I180" i="12"/>
  <c r="I842" i="12"/>
  <c r="I560" i="12"/>
  <c r="I329" i="12"/>
  <c r="I914" i="12"/>
  <c r="I136" i="12"/>
  <c r="I24" i="12"/>
  <c r="I135" i="12"/>
  <c r="I1018" i="12"/>
  <c r="I159" i="12"/>
  <c r="I224" i="12"/>
  <c r="I1154" i="12"/>
  <c r="I1157" i="12"/>
  <c r="I345" i="12"/>
  <c r="I261" i="12"/>
  <c r="I82" i="12"/>
  <c r="I25" i="12"/>
  <c r="I725" i="12"/>
  <c r="I1016" i="12"/>
  <c r="I177" i="12"/>
  <c r="I424" i="12"/>
  <c r="I70" i="12"/>
  <c r="I337" i="12"/>
  <c r="I969" i="12"/>
  <c r="I782" i="12"/>
  <c r="I577" i="12"/>
  <c r="I772" i="12"/>
  <c r="I940" i="12"/>
  <c r="I211" i="12"/>
  <c r="I1039" i="12"/>
  <c r="I672" i="12"/>
  <c r="I216" i="12"/>
  <c r="I872" i="12"/>
  <c r="I1056" i="12"/>
  <c r="I114" i="12"/>
  <c r="I918" i="12"/>
  <c r="I887" i="12"/>
  <c r="I975" i="12"/>
  <c r="I1122" i="12"/>
  <c r="I851" i="12"/>
  <c r="I172" i="12"/>
  <c r="I197" i="12"/>
  <c r="I845" i="12"/>
  <c r="I679" i="12"/>
  <c r="I953" i="12"/>
  <c r="I1036" i="12"/>
  <c r="I794" i="12"/>
  <c r="I1128" i="12"/>
  <c r="I22" i="12"/>
  <c r="I1000" i="12"/>
  <c r="I432" i="12"/>
  <c r="I1020" i="12"/>
  <c r="I790" i="12"/>
  <c r="I980" i="12"/>
  <c r="I361" i="12"/>
  <c r="I32" i="12"/>
  <c r="I1022" i="12"/>
  <c r="I121" i="12"/>
  <c r="I862" i="12"/>
  <c r="I492" i="12"/>
  <c r="I444" i="12"/>
  <c r="I831" i="12"/>
  <c r="I354" i="12"/>
  <c r="I167" i="12"/>
  <c r="I756" i="12"/>
  <c r="I1178" i="12"/>
  <c r="I758" i="12"/>
  <c r="I445" i="12"/>
  <c r="I1155" i="12"/>
  <c r="I1023" i="12"/>
  <c r="I150" i="12"/>
  <c r="I553" i="12"/>
  <c r="I1038" i="12"/>
  <c r="I893" i="12"/>
  <c r="I190" i="12"/>
  <c r="I619" i="12"/>
  <c r="I1035" i="12"/>
  <c r="I113" i="12"/>
  <c r="I175" i="12"/>
  <c r="I563" i="12"/>
  <c r="I299" i="12"/>
  <c r="I1110" i="12"/>
  <c r="I377" i="12"/>
  <c r="I373" i="12"/>
  <c r="I821" i="12"/>
  <c r="I287" i="12"/>
  <c r="I191" i="12"/>
  <c r="I600" i="12"/>
  <c r="I418" i="12"/>
  <c r="I185" i="12"/>
  <c r="I876" i="12"/>
  <c r="I16" i="12"/>
  <c r="I525" i="12"/>
  <c r="I238" i="12"/>
  <c r="I53" i="12"/>
  <c r="I947" i="12"/>
  <c r="I1066" i="12"/>
  <c r="I971" i="12"/>
  <c r="I664" i="12"/>
  <c r="I879" i="12"/>
  <c r="I387" i="12"/>
  <c r="I1073" i="12"/>
  <c r="I841" i="12"/>
  <c r="I217" i="12"/>
  <c r="I368" i="12"/>
  <c r="I616" i="12"/>
  <c r="I79" i="12"/>
  <c r="I298" i="12"/>
  <c r="I816" i="12"/>
  <c r="I419" i="12"/>
  <c r="I629" i="12"/>
  <c r="I456" i="12"/>
  <c r="I433" i="12"/>
  <c r="I351" i="12"/>
  <c r="I1165" i="12"/>
  <c r="I246" i="12"/>
  <c r="I882" i="12"/>
  <c r="I1150" i="12"/>
  <c r="I193" i="12"/>
  <c r="I242" i="12"/>
  <c r="I602" i="12"/>
  <c r="I759" i="12"/>
  <c r="I581" i="12"/>
  <c r="I59" i="12"/>
  <c r="I647" i="12"/>
  <c r="I972" i="12"/>
  <c r="I404" i="12"/>
  <c r="I123" i="12"/>
  <c r="I675" i="12"/>
  <c r="I631" i="12"/>
  <c r="I959" i="12"/>
  <c r="I307" i="12"/>
  <c r="I766" i="12"/>
  <c r="I188" i="12"/>
  <c r="I473" i="12"/>
  <c r="I875" i="12"/>
  <c r="I491" i="12"/>
  <c r="I341" i="12"/>
  <c r="I314" i="12"/>
  <c r="I550" i="12"/>
  <c r="I478" i="12"/>
  <c r="I707" i="12"/>
  <c r="I520" i="12"/>
  <c r="I551" i="12"/>
  <c r="I455" i="12"/>
  <c r="I805" i="12"/>
  <c r="I727" i="12"/>
  <c r="I948" i="12"/>
  <c r="I1117" i="12"/>
  <c r="I134" i="12"/>
  <c r="I809" i="12"/>
  <c r="I649" i="12"/>
  <c r="I856" i="12"/>
  <c r="I1065" i="12"/>
  <c r="I466" i="12"/>
  <c r="I282" i="12"/>
  <c r="I260" i="12"/>
  <c r="I992" i="12"/>
  <c r="I677" i="12"/>
  <c r="I681" i="12"/>
  <c r="I1104" i="12"/>
  <c r="I666" i="12"/>
  <c r="I1009" i="12"/>
  <c r="I586" i="12"/>
  <c r="I295" i="12"/>
  <c r="I1060" i="12"/>
  <c r="I1044" i="12"/>
  <c r="I51" i="12"/>
  <c r="I611" i="12"/>
  <c r="I1076" i="12"/>
  <c r="I203" i="12"/>
  <c r="I648" i="12"/>
  <c r="I281" i="12"/>
  <c r="I571" i="12"/>
  <c r="I932" i="12"/>
  <c r="I279" i="12"/>
  <c r="I308" i="12"/>
  <c r="I654" i="12"/>
  <c r="I1006" i="12"/>
  <c r="I632" i="12"/>
  <c r="I890" i="12"/>
  <c r="I686" i="12"/>
  <c r="I252" i="12"/>
  <c r="I1040" i="12"/>
  <c r="I392" i="12"/>
  <c r="I1151" i="12"/>
  <c r="I579" i="12"/>
  <c r="I827" i="12"/>
  <c r="I930" i="12"/>
  <c r="I722" i="12"/>
  <c r="I657" i="12"/>
  <c r="I691" i="12"/>
  <c r="I38" i="12"/>
  <c r="I451" i="12"/>
  <c r="I40" i="12"/>
  <c r="I711" i="12"/>
  <c r="I124" i="12"/>
  <c r="I229" i="12"/>
  <c r="I536" i="12"/>
  <c r="I284" i="12"/>
  <c r="I166" i="12"/>
  <c r="I960" i="12"/>
  <c r="I912" i="12"/>
  <c r="I549" i="12"/>
  <c r="I503" i="12"/>
  <c r="I210" i="12"/>
  <c r="I300" i="12"/>
  <c r="I1070" i="12"/>
  <c r="I471" i="12"/>
  <c r="I250" i="12"/>
  <c r="I791" i="12"/>
  <c r="I394" i="12"/>
  <c r="I545" i="12"/>
  <c r="I54" i="12"/>
  <c r="I598" i="12"/>
  <c r="I8" i="12"/>
  <c r="I105" i="12"/>
  <c r="I529" i="12"/>
  <c r="I1120" i="12"/>
  <c r="I803" i="12"/>
  <c r="I251" i="12"/>
  <c r="I76" i="12"/>
  <c r="I902" i="12"/>
  <c r="I494" i="12"/>
  <c r="I263" i="12"/>
  <c r="I755" i="12"/>
  <c r="I651" i="12"/>
  <c r="I220" i="12"/>
  <c r="I1012" i="12"/>
  <c r="I945" i="12"/>
  <c r="I91" i="12"/>
  <c r="I327" i="12"/>
  <c r="I27" i="12"/>
  <c r="I1121" i="12"/>
  <c r="I569" i="12"/>
  <c r="I951" i="12"/>
  <c r="I694" i="12"/>
  <c r="I636" i="12"/>
  <c r="I500" i="12"/>
  <c r="I1107" i="12"/>
  <c r="I915" i="12"/>
  <c r="I449" i="12"/>
  <c r="I427" i="12"/>
  <c r="I42" i="12"/>
  <c r="I892" i="12"/>
  <c r="I771" i="12"/>
  <c r="I730" i="12"/>
  <c r="I710" i="12"/>
  <c r="I133" i="12"/>
  <c r="I763" i="12"/>
  <c r="I441" i="12"/>
  <c r="I533" i="12"/>
  <c r="I156" i="12"/>
  <c r="I855" i="12"/>
  <c r="I773" i="12"/>
  <c r="I954" i="12"/>
  <c r="I596" i="12"/>
  <c r="I280" i="12"/>
  <c r="I497" i="12"/>
  <c r="I768" i="12"/>
  <c r="I874" i="12"/>
  <c r="I293" i="12"/>
  <c r="I552" i="12"/>
  <c r="I443" i="12"/>
  <c r="I201" i="12"/>
  <c r="I231" i="12"/>
  <c r="I364" i="12"/>
  <c r="I993" i="12"/>
  <c r="I171" i="12"/>
  <c r="I344" i="12"/>
  <c r="I615" i="12"/>
  <c r="I1025" i="12"/>
  <c r="I613" i="12"/>
  <c r="I724" i="12"/>
  <c r="I852" i="12"/>
  <c r="I389" i="12"/>
  <c r="I372" i="12"/>
  <c r="I997" i="12"/>
  <c r="I946" i="12"/>
  <c r="I186" i="12"/>
  <c r="I1137" i="12"/>
  <c r="I837" i="12"/>
  <c r="I75" i="12"/>
  <c r="I517" i="12"/>
  <c r="I120" i="12"/>
  <c r="I519" i="12"/>
  <c r="I331" i="12"/>
  <c r="I996" i="12"/>
  <c r="I420" i="12"/>
  <c r="I102" i="12"/>
  <c r="I746" i="12"/>
  <c r="I588" i="12"/>
  <c r="I633" i="12"/>
  <c r="I784" i="12"/>
  <c r="I316" i="12"/>
  <c r="I660" i="12"/>
  <c r="I73" i="12"/>
  <c r="I395" i="12"/>
  <c r="I976" i="12"/>
  <c r="I164" i="12"/>
  <c r="I630" i="12"/>
  <c r="I857" i="12"/>
  <c r="I650" i="12"/>
  <c r="I787" i="12"/>
  <c r="AR132" i="20" l="1" a="1"/>
  <c r="AR132" i="20" s="1"/>
  <c r="AR79" i="20" a="1"/>
  <c r="AR79" i="20" s="1"/>
  <c r="AR130" i="20" a="1"/>
  <c r="AR130" i="20" s="1"/>
  <c r="AR80" i="20" a="1"/>
  <c r="AR80" i="20" s="1"/>
  <c r="AR29" i="20" a="1"/>
  <c r="AR29" i="20" s="1"/>
  <c r="AR28" i="20" a="1"/>
  <c r="AR28" i="20" s="1"/>
  <c r="AP344" i="20" a="1"/>
  <c r="AP344" i="20" s="1"/>
  <c r="AR128" i="20" a="1"/>
  <c r="AR128" i="20" s="1"/>
  <c r="AR77" i="20" a="1"/>
  <c r="AR77" i="20" s="1"/>
  <c r="AR26" i="20" a="1"/>
  <c r="AR26" i="20" s="1"/>
  <c r="AR127" i="20" a="1"/>
  <c r="AR127" i="20" s="1"/>
  <c r="AR76" i="20" a="1"/>
  <c r="AR76" i="20" s="1"/>
  <c r="AR24" i="20" a="1"/>
  <c r="AR24" i="20" s="1"/>
  <c r="AP342" i="20" a="1"/>
  <c r="AP342" i="20" s="1"/>
  <c r="AR106" i="20" a="1"/>
  <c r="AR106" i="20" s="1"/>
  <c r="AR55" i="20" a="1"/>
  <c r="AR55" i="20" s="1"/>
  <c r="AR4" i="20" a="1"/>
  <c r="AR4" i="20" s="1"/>
  <c r="AP339" i="20" a="1"/>
  <c r="AP339" i="20" s="1"/>
  <c r="AR104" i="20" a="1"/>
  <c r="AR104" i="20" s="1"/>
  <c r="AR53" i="20" a="1"/>
  <c r="AR53" i="20" s="1"/>
  <c r="AP318" i="20" a="1"/>
  <c r="AP318" i="20" s="1"/>
  <c r="AR103" i="20" a="1"/>
  <c r="AR103" i="20" s="1"/>
  <c r="AR52" i="20" a="1"/>
  <c r="AR52" i="20" s="1"/>
  <c r="AP366" i="20" a="1"/>
  <c r="AP366" i="20" s="1"/>
  <c r="AP315" i="20" a="1"/>
  <c r="AP315" i="20" s="1"/>
  <c r="AR101" i="20" a="1"/>
  <c r="AR101" i="20" s="1"/>
  <c r="AR50" i="20" a="1"/>
  <c r="AR50" i="20" s="1"/>
  <c r="AP314" i="20" a="1"/>
  <c r="AP314" i="20" s="1"/>
  <c r="AR119" i="20" a="1"/>
  <c r="AR119" i="20" s="1"/>
  <c r="AR93" i="20" a="1"/>
  <c r="AR93" i="20" s="1"/>
  <c r="AR68" i="20" a="1"/>
  <c r="AR68" i="20" s="1"/>
  <c r="AR42" i="20" a="1"/>
  <c r="AR42" i="20" s="1"/>
  <c r="AP331" i="20" a="1"/>
  <c r="AP331" i="20" s="1"/>
  <c r="AP306" i="20" a="1"/>
  <c r="AP306" i="20" s="1"/>
  <c r="AW6" i="20"/>
  <c r="AR117" i="20" a="1"/>
  <c r="AR117" i="20" s="1"/>
  <c r="AR92" i="20" a="1"/>
  <c r="AR92" i="20" s="1"/>
  <c r="AR66" i="20" a="1"/>
  <c r="AR66" i="20" s="1"/>
  <c r="AR40" i="20" a="1"/>
  <c r="AR40" i="20" s="1"/>
  <c r="AP355" i="20" a="1"/>
  <c r="AP355" i="20" s="1"/>
  <c r="AP330" i="20" a="1"/>
  <c r="AP330" i="20" s="1"/>
  <c r="AP304" i="20" a="1"/>
  <c r="AP304" i="20" s="1"/>
  <c r="AP365" i="20" a="1"/>
  <c r="AP365" i="20" s="1"/>
  <c r="AP357" i="20" a="1"/>
  <c r="AP357" i="20" s="1"/>
  <c r="AP341" i="20" a="1"/>
  <c r="AP341" i="20" s="1"/>
  <c r="AP317" i="20" a="1"/>
  <c r="AP317" i="20" s="1"/>
  <c r="AR116" i="20" a="1"/>
  <c r="AR116" i="20" s="1"/>
  <c r="AR90" i="20" a="1"/>
  <c r="AR90" i="20" s="1"/>
  <c r="AR64" i="20" a="1"/>
  <c r="AR64" i="20" s="1"/>
  <c r="AR39" i="20" a="1"/>
  <c r="AR39" i="20" s="1"/>
  <c r="AR13" i="20" a="1"/>
  <c r="AR13" i="20" s="1"/>
  <c r="AP354" i="20" a="1"/>
  <c r="AP354" i="20" s="1"/>
  <c r="AP328" i="20" a="1"/>
  <c r="AP328" i="20" s="1"/>
  <c r="AP302" i="20" a="1"/>
  <c r="AP302" i="20" s="1"/>
  <c r="AR114" i="20" a="1"/>
  <c r="AR114" i="20" s="1"/>
  <c r="AR88" i="20" a="1"/>
  <c r="AR88" i="20" s="1"/>
  <c r="AR63" i="20" a="1"/>
  <c r="AR63" i="20" s="1"/>
  <c r="AR37" i="20" a="1"/>
  <c r="AR37" i="20" s="1"/>
  <c r="AR12" i="20" a="1"/>
  <c r="AR12" i="20" s="1"/>
  <c r="AP352" i="20" a="1"/>
  <c r="AP352" i="20" s="1"/>
  <c r="AP326" i="20" a="1"/>
  <c r="AP326" i="20" s="1"/>
  <c r="AP301" i="20" a="1"/>
  <c r="AP301" i="20" s="1"/>
  <c r="AR125" i="20" a="1"/>
  <c r="AR125" i="20" s="1"/>
  <c r="AR112" i="20" a="1"/>
  <c r="AR112" i="20" s="1"/>
  <c r="AR100" i="20" a="1"/>
  <c r="AR100" i="20" s="1"/>
  <c r="AR87" i="20" a="1"/>
  <c r="AR87" i="20" s="1"/>
  <c r="AR74" i="20" a="1"/>
  <c r="AR74" i="20" s="1"/>
  <c r="AR61" i="20" a="1"/>
  <c r="AR61" i="20" s="1"/>
  <c r="AR48" i="20" a="1"/>
  <c r="AR48" i="20" s="1"/>
  <c r="AR36" i="20" a="1"/>
  <c r="AR36" i="20" s="1"/>
  <c r="AR23" i="20" a="1"/>
  <c r="AR23" i="20" s="1"/>
  <c r="AR10" i="20" a="1"/>
  <c r="AR10" i="20" s="1"/>
  <c r="AP363" i="20" a="1"/>
  <c r="AP363" i="20" s="1"/>
  <c r="AP350" i="20" a="1"/>
  <c r="AP350" i="20" s="1"/>
  <c r="AP338" i="20" a="1"/>
  <c r="AP338" i="20" s="1"/>
  <c r="AP325" i="20" a="1"/>
  <c r="AP325" i="20" s="1"/>
  <c r="AP312" i="20" a="1"/>
  <c r="AP312" i="20" s="1"/>
  <c r="AP299" i="20" a="1"/>
  <c r="AP299" i="20" s="1"/>
  <c r="AR124" i="20" a="1"/>
  <c r="AR124" i="20" s="1"/>
  <c r="AR111" i="20" a="1"/>
  <c r="AR111" i="20" s="1"/>
  <c r="AR98" i="20" a="1"/>
  <c r="AR98" i="20" s="1"/>
  <c r="AR85" i="20" a="1"/>
  <c r="AR85" i="20" s="1"/>
  <c r="AR72" i="20" a="1"/>
  <c r="AR72" i="20" s="1"/>
  <c r="AR60" i="20" a="1"/>
  <c r="AR60" i="20" s="1"/>
  <c r="AR47" i="20" a="1"/>
  <c r="AR47" i="20" s="1"/>
  <c r="AR34" i="20" a="1"/>
  <c r="AR34" i="20" s="1"/>
  <c r="AR21" i="20" a="1"/>
  <c r="AR21" i="20" s="1"/>
  <c r="AR8" i="20" a="1"/>
  <c r="AR8" i="20" s="1"/>
  <c r="AP362" i="20" a="1"/>
  <c r="AP362" i="20" s="1"/>
  <c r="AP349" i="20" a="1"/>
  <c r="AP349" i="20" s="1"/>
  <c r="AP336" i="20" a="1"/>
  <c r="AP336" i="20" s="1"/>
  <c r="AP323" i="20" a="1"/>
  <c r="AP323" i="20" s="1"/>
  <c r="AP310" i="20" a="1"/>
  <c r="AP310" i="20" s="1"/>
  <c r="AP298" i="20" a="1"/>
  <c r="AP298" i="20" s="1"/>
  <c r="AR122" i="20" a="1"/>
  <c r="AR122" i="20" s="1"/>
  <c r="AR109" i="20" a="1"/>
  <c r="AR109" i="20" s="1"/>
  <c r="AR96" i="20" a="1"/>
  <c r="AR96" i="20" s="1"/>
  <c r="AR84" i="20" a="1"/>
  <c r="AR84" i="20" s="1"/>
  <c r="AR71" i="20" a="1"/>
  <c r="AR71" i="20" s="1"/>
  <c r="AR58" i="20" a="1"/>
  <c r="AR58" i="20" s="1"/>
  <c r="AR45" i="20" a="1"/>
  <c r="AR45" i="20" s="1"/>
  <c r="AR32" i="20" a="1"/>
  <c r="AR32" i="20" s="1"/>
  <c r="AR7" i="20" a="1"/>
  <c r="AR7" i="20" s="1"/>
  <c r="AP360" i="20" a="1"/>
  <c r="AP360" i="20" s="1"/>
  <c r="AP347" i="20" a="1"/>
  <c r="AP347" i="20" s="1"/>
  <c r="AP334" i="20" a="1"/>
  <c r="AP334" i="20" s="1"/>
  <c r="AP322" i="20" a="1"/>
  <c r="AP322" i="20" s="1"/>
  <c r="AP309" i="20" a="1"/>
  <c r="AP309" i="20" s="1"/>
  <c r="AP296" i="20" a="1"/>
  <c r="AP296" i="20" s="1"/>
  <c r="AR133" i="20" a="1"/>
  <c r="AR133" i="20" s="1"/>
  <c r="AR120" i="20" a="1"/>
  <c r="AR120" i="20" s="1"/>
  <c r="AR108" i="20" a="1"/>
  <c r="AR108" i="20" s="1"/>
  <c r="AR95" i="20" a="1"/>
  <c r="AR95" i="20" s="1"/>
  <c r="AR82" i="20" a="1"/>
  <c r="AR82" i="20" s="1"/>
  <c r="AR69" i="20" a="1"/>
  <c r="AR69" i="20" s="1"/>
  <c r="AR56" i="20" a="1"/>
  <c r="AR56" i="20" s="1"/>
  <c r="AR44" i="20" a="1"/>
  <c r="AR44" i="20" s="1"/>
  <c r="AR31" i="20" a="1"/>
  <c r="AR31" i="20" s="1"/>
  <c r="AR5" i="20" a="1"/>
  <c r="AR5" i="20" s="1"/>
  <c r="AP358" i="20" a="1"/>
  <c r="AP358" i="20" s="1"/>
  <c r="AP346" i="20" a="1"/>
  <c r="AP346" i="20" s="1"/>
  <c r="AP333" i="20" a="1"/>
  <c r="AP333" i="20" s="1"/>
  <c r="AP320" i="20" a="1"/>
  <c r="AP320" i="20" s="1"/>
  <c r="AP307" i="20" a="1"/>
  <c r="AP307" i="20" s="1"/>
  <c r="AP294" i="20" a="1"/>
  <c r="AP294" i="20" s="1"/>
  <c r="AP293" i="20" a="1"/>
  <c r="AP293" i="20" s="1"/>
  <c r="AR135" i="20" a="1"/>
  <c r="AR135" i="20" s="1"/>
  <c r="AR136" i="20" a="1"/>
  <c r="AR136" i="20" s="1"/>
  <c r="AR138" i="20" a="1"/>
  <c r="AR138" i="20" s="1"/>
  <c r="AR140" i="20" a="1"/>
  <c r="AR140" i="20" s="1"/>
  <c r="AR141" i="20" a="1"/>
  <c r="AR141" i="20" s="1"/>
  <c r="AR142" i="20" a="1"/>
  <c r="AR142" i="20" s="1"/>
  <c r="AR143" i="20" a="1"/>
  <c r="AR143" i="20" s="1"/>
  <c r="AR144" i="20" a="1"/>
  <c r="AR144" i="20" s="1"/>
  <c r="AR146" i="20" a="1"/>
  <c r="AR146" i="20" s="1"/>
  <c r="AR148" i="20" a="1"/>
  <c r="AR148" i="20" s="1"/>
  <c r="AR149" i="20" a="1"/>
  <c r="AR149" i="20" s="1"/>
  <c r="AR150" i="20" a="1"/>
  <c r="AR150" i="20" s="1"/>
  <c r="AR151" i="20" a="1"/>
  <c r="AR151" i="20" s="1"/>
  <c r="AR152" i="20" a="1"/>
  <c r="AR152" i="20" s="1"/>
  <c r="AR154" i="20" a="1"/>
  <c r="AR154" i="20" s="1"/>
  <c r="AR156" i="20" a="1"/>
  <c r="AR156" i="20" s="1"/>
  <c r="AR157" i="20" a="1"/>
  <c r="AR157" i="20" s="1"/>
  <c r="AR158" i="20" a="1"/>
  <c r="AR158" i="20" s="1"/>
  <c r="AR159" i="20" a="1"/>
  <c r="AR159" i="20" s="1"/>
  <c r="AR160" i="20" a="1"/>
  <c r="AR160" i="20" s="1"/>
  <c r="AR162" i="20" a="1"/>
  <c r="AR162" i="20" s="1"/>
  <c r="AR164" i="20" a="1"/>
  <c r="AR164" i="20" s="1"/>
  <c r="AR165" i="20" a="1"/>
  <c r="AR165" i="20" s="1"/>
  <c r="AR166" i="20" a="1"/>
  <c r="AR166" i="20" s="1"/>
  <c r="AR167" i="20" a="1"/>
  <c r="AR167" i="20" s="1"/>
  <c r="AR168" i="20" a="1"/>
  <c r="AR168" i="20" s="1"/>
  <c r="AR170" i="20" a="1"/>
  <c r="AR170" i="20" s="1"/>
  <c r="AR172" i="20" a="1"/>
  <c r="AR172" i="20" s="1"/>
  <c r="AR173" i="20" a="1"/>
  <c r="AR173" i="20" s="1"/>
  <c r="AR174" i="20" a="1"/>
  <c r="AR174" i="20" s="1"/>
  <c r="AR175" i="20" a="1"/>
  <c r="AR175" i="20" s="1"/>
  <c r="AR176" i="20" a="1"/>
  <c r="AR176" i="20" s="1"/>
  <c r="AR178" i="20" a="1"/>
  <c r="AR178" i="20" s="1"/>
  <c r="AR180" i="20" a="1"/>
  <c r="AR180" i="20" s="1"/>
  <c r="AR181" i="20" a="1"/>
  <c r="AR181" i="20" s="1"/>
  <c r="AR182" i="20" a="1"/>
  <c r="AR182" i="20" s="1"/>
  <c r="AR183" i="20" a="1"/>
  <c r="AR183" i="20" s="1"/>
  <c r="AR184" i="20" a="1"/>
  <c r="AR184" i="20" s="1"/>
  <c r="AR186" i="20" a="1"/>
  <c r="AR186" i="20" s="1"/>
  <c r="AR188" i="20" a="1"/>
  <c r="AR188" i="20" s="1"/>
  <c r="AR189" i="20" a="1"/>
  <c r="AR189" i="20" s="1"/>
  <c r="AR190" i="20" a="1"/>
  <c r="AR190" i="20" s="1"/>
  <c r="AR191" i="20" a="1"/>
  <c r="AR191" i="20" s="1"/>
  <c r="AR192" i="20" a="1"/>
  <c r="AR192" i="20" s="1"/>
  <c r="AR194" i="20" a="1"/>
  <c r="AR194" i="20" s="1"/>
  <c r="AR196" i="20" a="1"/>
  <c r="AR196" i="20" s="1"/>
  <c r="AR197" i="20" a="1"/>
  <c r="AR197" i="20" s="1"/>
  <c r="AR198" i="20" a="1"/>
  <c r="AR198" i="20" s="1"/>
  <c r="AR199" i="20" a="1"/>
  <c r="AR199" i="20" s="1"/>
  <c r="AR200" i="20" a="1"/>
  <c r="AR200" i="20" s="1"/>
  <c r="AR202" i="20" a="1"/>
  <c r="AR202" i="20" s="1"/>
  <c r="AR204" i="20" a="1"/>
  <c r="AR204" i="20" s="1"/>
  <c r="AR205" i="20" a="1"/>
  <c r="AR205" i="20" s="1"/>
  <c r="AR206" i="20" a="1"/>
  <c r="AR206" i="20" s="1"/>
  <c r="AR207" i="20" a="1"/>
  <c r="AR207" i="20" s="1"/>
  <c r="AR208" i="20" a="1"/>
  <c r="AR208" i="20" s="1"/>
  <c r="AR210" i="20" a="1"/>
  <c r="AR210" i="20" s="1"/>
  <c r="AR212" i="20" a="1"/>
  <c r="AR212" i="20" s="1"/>
  <c r="AR213" i="20" a="1"/>
  <c r="AR213" i="20" s="1"/>
  <c r="AR214" i="20" a="1"/>
  <c r="AR214" i="20" s="1"/>
  <c r="AR215" i="20" a="1"/>
  <c r="AR215" i="20" s="1"/>
  <c r="AR216" i="20" a="1"/>
  <c r="AR216" i="20" s="1"/>
  <c r="AR218" i="20" a="1"/>
  <c r="AR218" i="20" s="1"/>
  <c r="AR220" i="20" a="1"/>
  <c r="AR220" i="20" s="1"/>
  <c r="AR221" i="20" a="1"/>
  <c r="AR221" i="20" s="1"/>
  <c r="AR222" i="20" a="1"/>
  <c r="AR222" i="20" s="1"/>
  <c r="AR223" i="20" a="1"/>
  <c r="AR223" i="20" s="1"/>
  <c r="AR224" i="20" a="1"/>
  <c r="AR224" i="20" s="1"/>
  <c r="AR226" i="20" a="1"/>
  <c r="AR226" i="20" s="1"/>
  <c r="AR134" i="20" a="1"/>
  <c r="AR134" i="20" s="1"/>
  <c r="AR126" i="20" a="1"/>
  <c r="AR126" i="20" s="1"/>
  <c r="AR118" i="20" a="1"/>
  <c r="AR118" i="20" s="1"/>
  <c r="AR110" i="20" a="1"/>
  <c r="AR110" i="20" s="1"/>
  <c r="AR102" i="20" a="1"/>
  <c r="AR102" i="20" s="1"/>
  <c r="AR94" i="20" a="1"/>
  <c r="AR94" i="20" s="1"/>
  <c r="AR86" i="20" a="1"/>
  <c r="AR86" i="20" s="1"/>
  <c r="AR78" i="20" a="1"/>
  <c r="AR78" i="20" s="1"/>
  <c r="AR70" i="20" a="1"/>
  <c r="AR70" i="20" s="1"/>
  <c r="AR62" i="20" a="1"/>
  <c r="AR62" i="20" s="1"/>
  <c r="AR54" i="20" a="1"/>
  <c r="AR54" i="20" s="1"/>
  <c r="AR46" i="20" a="1"/>
  <c r="AR46" i="20" s="1"/>
  <c r="AR38" i="20" a="1"/>
  <c r="AR38" i="20" s="1"/>
  <c r="AR30" i="20" a="1"/>
  <c r="AR30" i="20" s="1"/>
  <c r="AR22" i="20" a="1"/>
  <c r="AR22" i="20" s="1"/>
  <c r="AR14" i="20" a="1"/>
  <c r="AR14" i="20" s="1"/>
  <c r="AR6" i="20" a="1"/>
  <c r="AR6" i="20" s="1"/>
  <c r="AP364" i="20" a="1"/>
  <c r="AP364" i="20" s="1"/>
  <c r="AP356" i="20" a="1"/>
  <c r="AP356" i="20" s="1"/>
  <c r="AP348" i="20" a="1"/>
  <c r="AP348" i="20" s="1"/>
  <c r="AP340" i="20" a="1"/>
  <c r="AP340" i="20" s="1"/>
  <c r="AP332" i="20" a="1"/>
  <c r="AP332" i="20" s="1"/>
  <c r="AP324" i="20" a="1"/>
  <c r="AP324" i="20" s="1"/>
  <c r="AP316" i="20" a="1"/>
  <c r="AP316" i="20" s="1"/>
  <c r="AP308" i="20" a="1"/>
  <c r="AP308" i="20" s="1"/>
  <c r="AP300" i="20" a="1"/>
  <c r="AP300" i="20" s="1"/>
  <c r="AP292" i="20" a="1"/>
  <c r="AP292" i="20" s="1"/>
  <c r="AP291" i="20" a="1"/>
  <c r="AP291" i="20" s="1"/>
  <c r="AP290" i="20" a="1"/>
  <c r="AP290" i="20" s="1"/>
  <c r="AR219" i="20" a="1"/>
  <c r="AR219" i="20" s="1"/>
  <c r="AR211" i="20" a="1"/>
  <c r="AR211" i="20" s="1"/>
  <c r="AR203" i="20" a="1"/>
  <c r="AR203" i="20" s="1"/>
  <c r="AR195" i="20" a="1"/>
  <c r="AR195" i="20" s="1"/>
  <c r="AR187" i="20" a="1"/>
  <c r="AR187" i="20" s="1"/>
  <c r="AR179" i="20" a="1"/>
  <c r="AR179" i="20" s="1"/>
  <c r="AR171" i="20" a="1"/>
  <c r="AR171" i="20" s="1"/>
  <c r="AR163" i="20" a="1"/>
  <c r="AR163" i="20" s="1"/>
  <c r="AR155" i="20" a="1"/>
  <c r="AR155" i="20" s="1"/>
  <c r="AR147" i="20" a="1"/>
  <c r="AR147" i="20" s="1"/>
  <c r="AR139" i="20" a="1"/>
  <c r="AR139" i="20" s="1"/>
  <c r="AR131" i="20" a="1"/>
  <c r="AR131" i="20" s="1"/>
  <c r="AR123" i="20" a="1"/>
  <c r="AR123" i="20" s="1"/>
  <c r="AR115" i="20" a="1"/>
  <c r="AR115" i="20" s="1"/>
  <c r="AR107" i="20" a="1"/>
  <c r="AR107" i="20" s="1"/>
  <c r="AR99" i="20" a="1"/>
  <c r="AR99" i="20" s="1"/>
  <c r="AR91" i="20" a="1"/>
  <c r="AR91" i="20" s="1"/>
  <c r="AR83" i="20" a="1"/>
  <c r="AR83" i="20" s="1"/>
  <c r="AR75" i="20" a="1"/>
  <c r="AR75" i="20" s="1"/>
  <c r="AR67" i="20" a="1"/>
  <c r="AR67" i="20" s="1"/>
  <c r="AR59" i="20" a="1"/>
  <c r="AR59" i="20" s="1"/>
  <c r="AR51" i="20" a="1"/>
  <c r="AR51" i="20" s="1"/>
  <c r="AR43" i="20" a="1"/>
  <c r="AR43" i="20" s="1"/>
  <c r="AR35" i="20" a="1"/>
  <c r="AR35" i="20" s="1"/>
  <c r="AR27" i="20" a="1"/>
  <c r="AR27" i="20" s="1"/>
  <c r="AR11" i="20" a="1"/>
  <c r="AR11" i="20" s="1"/>
  <c r="AR3" i="20" a="1"/>
  <c r="AR3" i="20" s="1"/>
  <c r="AP361" i="20" a="1"/>
  <c r="AP361" i="20" s="1"/>
  <c r="AP353" i="20" a="1"/>
  <c r="AP353" i="20" s="1"/>
  <c r="AP345" i="20" a="1"/>
  <c r="AP345" i="20" s="1"/>
  <c r="AP337" i="20" a="1"/>
  <c r="AP337" i="20" s="1"/>
  <c r="AP329" i="20" a="1"/>
  <c r="AP329" i="20" s="1"/>
  <c r="AP321" i="20" a="1"/>
  <c r="AP321" i="20" s="1"/>
  <c r="AP313" i="20" a="1"/>
  <c r="AP313" i="20" s="1"/>
  <c r="AP305" i="20" a="1"/>
  <c r="AP305" i="20" s="1"/>
  <c r="AP297" i="20" a="1"/>
  <c r="AP297" i="20" s="1"/>
  <c r="AU10" i="20"/>
  <c r="AR225" i="20" a="1"/>
  <c r="AR225" i="20" s="1"/>
  <c r="AR217" i="20" a="1"/>
  <c r="AR217" i="20" s="1"/>
  <c r="AR209" i="20" a="1"/>
  <c r="AR209" i="20" s="1"/>
  <c r="AR201" i="20" a="1"/>
  <c r="AR201" i="20" s="1"/>
  <c r="AR193" i="20" a="1"/>
  <c r="AR193" i="20" s="1"/>
  <c r="AR185" i="20" a="1"/>
  <c r="AR185" i="20" s="1"/>
  <c r="AR177" i="20" a="1"/>
  <c r="AR177" i="20" s="1"/>
  <c r="AR169" i="20" a="1"/>
  <c r="AR169" i="20" s="1"/>
  <c r="AR161" i="20" a="1"/>
  <c r="AR161" i="20" s="1"/>
  <c r="AR153" i="20" a="1"/>
  <c r="AR153" i="20" s="1"/>
  <c r="AR145" i="20" a="1"/>
  <c r="AR145" i="20" s="1"/>
  <c r="AR137" i="20" a="1"/>
  <c r="AR137" i="20" s="1"/>
  <c r="AR129" i="20" a="1"/>
  <c r="AR129" i="20" s="1"/>
  <c r="AR121" i="20" a="1"/>
  <c r="AR121" i="20" s="1"/>
  <c r="AR113" i="20" a="1"/>
  <c r="AR113" i="20" s="1"/>
  <c r="AR105" i="20" a="1"/>
  <c r="AR105" i="20" s="1"/>
  <c r="AR97" i="20" a="1"/>
  <c r="AR97" i="20" s="1"/>
  <c r="AR89" i="20" a="1"/>
  <c r="AR89" i="20" s="1"/>
  <c r="AR81" i="20" a="1"/>
  <c r="AR81" i="20" s="1"/>
  <c r="AR73" i="20" a="1"/>
  <c r="AR73" i="20" s="1"/>
  <c r="AR65" i="20" a="1"/>
  <c r="AR65" i="20" s="1"/>
  <c r="AR57" i="20" a="1"/>
  <c r="AR57" i="20" s="1"/>
  <c r="AR49" i="20" a="1"/>
  <c r="AR49" i="20" s="1"/>
  <c r="AR41" i="20" a="1"/>
  <c r="AR41" i="20" s="1"/>
  <c r="AR33" i="20" a="1"/>
  <c r="AR33" i="20" s="1"/>
  <c r="AR25" i="20" a="1"/>
  <c r="AR25" i="20" s="1"/>
  <c r="AR9" i="20" a="1"/>
  <c r="AR9" i="20" s="1"/>
  <c r="AP367" i="20" a="1"/>
  <c r="AP367" i="20" s="1"/>
  <c r="AP359" i="20" a="1"/>
  <c r="AP359" i="20" s="1"/>
  <c r="AP351" i="20" a="1"/>
  <c r="AP351" i="20" s="1"/>
  <c r="AP343" i="20" a="1"/>
  <c r="AP343" i="20" s="1"/>
  <c r="AP335" i="20" a="1"/>
  <c r="AP335" i="20" s="1"/>
  <c r="AP327" i="20" a="1"/>
  <c r="AP327" i="20" s="1"/>
  <c r="AP319" i="20" a="1"/>
  <c r="AP319" i="20" s="1"/>
  <c r="AP311" i="20" a="1"/>
  <c r="AP311" i="20" s="1"/>
  <c r="AP303" i="20" a="1"/>
  <c r="AP303" i="20" s="1"/>
  <c r="AP295" i="20" a="1"/>
  <c r="AP295" i="20" s="1"/>
  <c r="AR20" i="20" l="1" a="1"/>
  <c r="AR20" i="20" s="1"/>
  <c r="AR15" i="20" a="1"/>
  <c r="AR15" i="20" s="1"/>
  <c r="AR16" i="20" a="1"/>
  <c r="AR16" i="20" s="1"/>
  <c r="AR18" i="20" a="1"/>
  <c r="AR18" i="20" s="1"/>
  <c r="AR17" i="20" a="1"/>
  <c r="AR17" i="20" s="1"/>
  <c r="AR19" i="20" a="1"/>
  <c r="AR19" i="20" s="1"/>
  <c r="AR2" i="20" a="1"/>
  <c r="AR2" i="20" s="1"/>
  <c r="AS2" i="20" s="1"/>
  <c r="F83" i="12"/>
  <c r="AV255" i="20" a="1"/>
  <c r="AV255" i="20" s="1"/>
  <c r="J1066" i="12"/>
  <c r="D2" i="12"/>
  <c r="D3" i="12" s="1"/>
  <c r="C3" i="12" s="1"/>
  <c r="AP287" i="20" a="1"/>
  <c r="AP287" i="20" s="1"/>
  <c r="AQ287" i="20" s="1"/>
  <c r="AP289" i="20" a="1"/>
  <c r="AP289" i="20" s="1"/>
  <c r="AP288" i="20" a="1"/>
  <c r="AP288" i="20" s="1"/>
  <c r="AU11" i="20"/>
  <c r="AU12" i="20" s="1"/>
  <c r="AW7" i="20"/>
  <c r="AW8" i="20" s="1"/>
  <c r="AW9" i="20" s="1"/>
  <c r="AW10" i="20" s="1"/>
  <c r="AW11" i="20" s="1"/>
  <c r="AW12" i="20" s="1"/>
  <c r="AW13" i="20" s="1"/>
  <c r="AW14" i="20" s="1"/>
  <c r="AW15" i="20" s="1"/>
  <c r="AW16" i="20" s="1"/>
  <c r="AW17" i="20" s="1"/>
  <c r="AW18" i="20" s="1"/>
  <c r="AW19" i="20" s="1"/>
  <c r="F84" i="12" l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144" i="12" s="1"/>
  <c r="F145" i="12" s="1"/>
  <c r="F146" i="12" s="1"/>
  <c r="F147" i="12" s="1"/>
  <c r="F148" i="12" s="1"/>
  <c r="F149" i="12" s="1"/>
  <c r="F150" i="12" s="1"/>
  <c r="F151" i="12" s="1"/>
  <c r="F152" i="12" s="1"/>
  <c r="F153" i="12" s="1"/>
  <c r="F154" i="12" s="1"/>
  <c r="F155" i="12" s="1"/>
  <c r="F156" i="12" s="1"/>
  <c r="F157" i="12" s="1"/>
  <c r="F158" i="12" s="1"/>
  <c r="F159" i="12" s="1"/>
  <c r="F160" i="12" s="1"/>
  <c r="F161" i="12" s="1"/>
  <c r="F162" i="12" s="1"/>
  <c r="F163" i="12" s="1"/>
  <c r="F164" i="12" s="1"/>
  <c r="F165" i="12" s="1"/>
  <c r="F166" i="12" s="1"/>
  <c r="F167" i="12" s="1"/>
  <c r="F168" i="12" s="1"/>
  <c r="F169" i="12" s="1"/>
  <c r="F170" i="12" s="1"/>
  <c r="F171" i="12" s="1"/>
  <c r="F172" i="12" s="1"/>
  <c r="F173" i="12" s="1"/>
  <c r="F174" i="12" s="1"/>
  <c r="F175" i="12" s="1"/>
  <c r="F176" i="12" s="1"/>
  <c r="F177" i="12" s="1"/>
  <c r="F178" i="12" s="1"/>
  <c r="F179" i="12" s="1"/>
  <c r="F180" i="12" s="1"/>
  <c r="F181" i="12" s="1"/>
  <c r="F182" i="12" s="1"/>
  <c r="F183" i="12" s="1"/>
  <c r="F184" i="12" s="1"/>
  <c r="F185" i="12" s="1"/>
  <c r="F186" i="12" s="1"/>
  <c r="F187" i="12" s="1"/>
  <c r="F188" i="12" s="1"/>
  <c r="F189" i="12" s="1"/>
  <c r="F190" i="12" s="1"/>
  <c r="F191" i="12" s="1"/>
  <c r="F192" i="12" s="1"/>
  <c r="F193" i="12" s="1"/>
  <c r="F194" i="12" s="1"/>
  <c r="F195" i="12" s="1"/>
  <c r="F196" i="12" s="1"/>
  <c r="F197" i="12" s="1"/>
  <c r="F198" i="12" s="1"/>
  <c r="F199" i="12" s="1"/>
  <c r="F200" i="12" s="1"/>
  <c r="F201" i="12" s="1"/>
  <c r="F202" i="12" s="1"/>
  <c r="F203" i="12" s="1"/>
  <c r="F204" i="12" s="1"/>
  <c r="F205" i="12" s="1"/>
  <c r="F206" i="12" s="1"/>
  <c r="F207" i="12" s="1"/>
  <c r="F208" i="12" s="1"/>
  <c r="F209" i="12" s="1"/>
  <c r="F210" i="12" s="1"/>
  <c r="F211" i="12" s="1"/>
  <c r="F212" i="12" s="1"/>
  <c r="F213" i="12" s="1"/>
  <c r="F214" i="12" s="1"/>
  <c r="F215" i="12" s="1"/>
  <c r="F216" i="12" s="1"/>
  <c r="F217" i="12" s="1"/>
  <c r="F218" i="12" s="1"/>
  <c r="F219" i="12" s="1"/>
  <c r="F220" i="12" s="1"/>
  <c r="F221" i="12" s="1"/>
  <c r="F222" i="12" s="1"/>
  <c r="F223" i="12" s="1"/>
  <c r="F224" i="12" s="1"/>
  <c r="F225" i="12" s="1"/>
  <c r="F226" i="12" s="1"/>
  <c r="F227" i="12" s="1"/>
  <c r="F228" i="12" s="1"/>
  <c r="F229" i="12" s="1"/>
  <c r="F230" i="12" s="1"/>
  <c r="F231" i="12" s="1"/>
  <c r="F232" i="12" s="1"/>
  <c r="F233" i="12" s="1"/>
  <c r="F234" i="12" s="1"/>
  <c r="F235" i="12" s="1"/>
  <c r="F236" i="12" s="1"/>
  <c r="F237" i="12" s="1"/>
  <c r="F238" i="12" s="1"/>
  <c r="F239" i="12" s="1"/>
  <c r="F240" i="12" s="1"/>
  <c r="F241" i="12" s="1"/>
  <c r="F242" i="12" s="1"/>
  <c r="F243" i="12" s="1"/>
  <c r="F244" i="12" s="1"/>
  <c r="F245" i="12" s="1"/>
  <c r="F246" i="12" s="1"/>
  <c r="F247" i="12" s="1"/>
  <c r="F248" i="12" s="1"/>
  <c r="F249" i="12" s="1"/>
  <c r="F250" i="12" s="1"/>
  <c r="F251" i="12" s="1"/>
  <c r="F252" i="12" s="1"/>
  <c r="F253" i="12" s="1"/>
  <c r="F254" i="12" s="1"/>
  <c r="F255" i="12" s="1"/>
  <c r="F256" i="12" s="1"/>
  <c r="F257" i="12" s="1"/>
  <c r="F258" i="12" s="1"/>
  <c r="F259" i="12" s="1"/>
  <c r="F260" i="12" s="1"/>
  <c r="F261" i="12" s="1"/>
  <c r="F262" i="12" s="1"/>
  <c r="F263" i="12" s="1"/>
  <c r="F264" i="12" s="1"/>
  <c r="F265" i="12" s="1"/>
  <c r="F266" i="12" s="1"/>
  <c r="F267" i="12" s="1"/>
  <c r="F268" i="12" s="1"/>
  <c r="F269" i="12" s="1"/>
  <c r="F270" i="12" s="1"/>
  <c r="F271" i="12" s="1"/>
  <c r="F272" i="12" s="1"/>
  <c r="F273" i="12" s="1"/>
  <c r="F274" i="12" s="1"/>
  <c r="F275" i="12" s="1"/>
  <c r="AQ288" i="20"/>
  <c r="AQ289" i="20" s="1"/>
  <c r="AQ290" i="20" s="1"/>
  <c r="AQ291" i="20" s="1"/>
  <c r="AQ292" i="20" s="1"/>
  <c r="AQ293" i="20" s="1"/>
  <c r="AQ294" i="20" s="1"/>
  <c r="AQ295" i="20" s="1"/>
  <c r="AQ296" i="20" s="1"/>
  <c r="AQ297" i="20" s="1"/>
  <c r="AQ298" i="20" s="1"/>
  <c r="AQ299" i="20" s="1"/>
  <c r="AQ300" i="20" s="1"/>
  <c r="AQ301" i="20" s="1"/>
  <c r="AQ302" i="20" s="1"/>
  <c r="AQ303" i="20" s="1"/>
  <c r="AQ304" i="20" s="1"/>
  <c r="AQ305" i="20" s="1"/>
  <c r="AQ306" i="20" s="1"/>
  <c r="AQ307" i="20" s="1"/>
  <c r="AQ308" i="20" s="1"/>
  <c r="AQ309" i="20" s="1"/>
  <c r="AQ310" i="20" s="1"/>
  <c r="AQ311" i="20" s="1"/>
  <c r="AQ312" i="20" s="1"/>
  <c r="AQ313" i="20" s="1"/>
  <c r="AQ314" i="20" s="1"/>
  <c r="AQ315" i="20" s="1"/>
  <c r="AQ316" i="20" s="1"/>
  <c r="AQ317" i="20" s="1"/>
  <c r="AQ318" i="20" s="1"/>
  <c r="AQ319" i="20" s="1"/>
  <c r="AQ320" i="20" s="1"/>
  <c r="AQ321" i="20" s="1"/>
  <c r="AQ322" i="20" s="1"/>
  <c r="AQ323" i="20" s="1"/>
  <c r="AQ324" i="20" s="1"/>
  <c r="AQ325" i="20" s="1"/>
  <c r="AQ326" i="20" s="1"/>
  <c r="AQ327" i="20" s="1"/>
  <c r="AQ328" i="20" s="1"/>
  <c r="AQ329" i="20" s="1"/>
  <c r="AQ330" i="20" s="1"/>
  <c r="AQ331" i="20" s="1"/>
  <c r="AQ332" i="20" s="1"/>
  <c r="AQ333" i="20" s="1"/>
  <c r="AQ334" i="20" s="1"/>
  <c r="AQ335" i="20" s="1"/>
  <c r="AQ336" i="20" s="1"/>
  <c r="AQ337" i="20" s="1"/>
  <c r="AQ338" i="20" s="1"/>
  <c r="AQ339" i="20" s="1"/>
  <c r="AQ340" i="20" s="1"/>
  <c r="AQ341" i="20" s="1"/>
  <c r="AQ342" i="20" s="1"/>
  <c r="AQ343" i="20" s="1"/>
  <c r="AQ344" i="20" s="1"/>
  <c r="AQ345" i="20" s="1"/>
  <c r="AQ346" i="20" s="1"/>
  <c r="AQ347" i="20" s="1"/>
  <c r="AQ348" i="20" s="1"/>
  <c r="AQ349" i="20" s="1"/>
  <c r="AQ350" i="20" s="1"/>
  <c r="AQ351" i="20" s="1"/>
  <c r="AQ352" i="20" s="1"/>
  <c r="AQ353" i="20" s="1"/>
  <c r="AQ354" i="20" s="1"/>
  <c r="AQ355" i="20" s="1"/>
  <c r="AQ356" i="20" s="1"/>
  <c r="AQ357" i="20" s="1"/>
  <c r="AQ358" i="20" s="1"/>
  <c r="AQ359" i="20" s="1"/>
  <c r="AQ360" i="20" s="1"/>
  <c r="AQ361" i="20" s="1"/>
  <c r="AQ362" i="20" s="1"/>
  <c r="AQ363" i="20" s="1"/>
  <c r="AQ364" i="20" s="1"/>
  <c r="AQ365" i="20" s="1"/>
  <c r="AQ366" i="20" s="1"/>
  <c r="AQ367" i="20" s="1"/>
  <c r="J1067" i="12"/>
  <c r="J1068" i="12" s="1"/>
  <c r="J1069" i="12" s="1"/>
  <c r="J1070" i="12" s="1"/>
  <c r="J1071" i="12" s="1"/>
  <c r="J1072" i="12" s="1"/>
  <c r="J1073" i="12" s="1"/>
  <c r="J1074" i="12" s="1"/>
  <c r="J1075" i="12" s="1"/>
  <c r="J1076" i="12" s="1"/>
  <c r="J1077" i="12" s="1"/>
  <c r="J1078" i="12" s="1"/>
  <c r="J1079" i="12" s="1"/>
  <c r="J1080" i="12" s="1"/>
  <c r="J1081" i="12" s="1"/>
  <c r="J1082" i="12" s="1"/>
  <c r="J1083" i="12" s="1"/>
  <c r="J1084" i="12" s="1"/>
  <c r="J1085" i="12" s="1"/>
  <c r="J1086" i="12" s="1"/>
  <c r="J1087" i="12" s="1"/>
  <c r="J1088" i="12" s="1"/>
  <c r="J1089" i="12" s="1"/>
  <c r="J1090" i="12" s="1"/>
  <c r="J1091" i="12" s="1"/>
  <c r="J1092" i="12" s="1"/>
  <c r="J1093" i="12" s="1"/>
  <c r="J1094" i="12" s="1"/>
  <c r="J1095" i="12" s="1"/>
  <c r="J1096" i="12" s="1"/>
  <c r="J1097" i="12" s="1"/>
  <c r="J1098" i="12" s="1"/>
  <c r="J1099" i="12" s="1"/>
  <c r="J1100" i="12" s="1"/>
  <c r="J1101" i="12" s="1"/>
  <c r="J1102" i="12" s="1"/>
  <c r="J1103" i="12" s="1"/>
  <c r="J1104" i="12" s="1"/>
  <c r="J1105" i="12" s="1"/>
  <c r="J1106" i="12" s="1"/>
  <c r="J1107" i="12" s="1"/>
  <c r="J1108" i="12" s="1"/>
  <c r="J1109" i="12" s="1"/>
  <c r="J1110" i="12" s="1"/>
  <c r="J1111" i="12" s="1"/>
  <c r="J1112" i="12" s="1"/>
  <c r="J1113" i="12" s="1"/>
  <c r="J1114" i="12" s="1"/>
  <c r="J1115" i="12" s="1"/>
  <c r="J1116" i="12" s="1"/>
  <c r="J1117" i="12" s="1"/>
  <c r="J1118" i="12" s="1"/>
  <c r="J1119" i="12" s="1"/>
  <c r="J1120" i="12" s="1"/>
  <c r="J1121" i="12" s="1"/>
  <c r="J1122" i="12" s="1"/>
  <c r="J1123" i="12" s="1"/>
  <c r="J1124" i="12" s="1"/>
  <c r="J1125" i="12" s="1"/>
  <c r="J1126" i="12" s="1"/>
  <c r="J1127" i="12" s="1"/>
  <c r="J1128" i="12" s="1"/>
  <c r="J1129" i="12" s="1"/>
  <c r="J1130" i="12" s="1"/>
  <c r="J1131" i="12" s="1"/>
  <c r="J1132" i="12" s="1"/>
  <c r="J1133" i="12" s="1"/>
  <c r="J1134" i="12" s="1"/>
  <c r="J1135" i="12" s="1"/>
  <c r="J1136" i="12" s="1"/>
  <c r="J1137" i="12" s="1"/>
  <c r="J1138" i="12" s="1"/>
  <c r="J1139" i="12" s="1"/>
  <c r="J1140" i="12" s="1"/>
  <c r="J1141" i="12" s="1"/>
  <c r="J1142" i="12" s="1"/>
  <c r="D4" i="12"/>
  <c r="C2" i="12"/>
  <c r="AS3" i="20"/>
  <c r="AS4" i="20" s="1"/>
  <c r="AS5" i="20" s="1"/>
  <c r="AS6" i="20" s="1"/>
  <c r="AS7" i="20" s="1"/>
  <c r="AS8" i="20" s="1"/>
  <c r="AS9" i="20" s="1"/>
  <c r="AS10" i="20" s="1"/>
  <c r="AS11" i="20" s="1"/>
  <c r="AS12" i="20" s="1"/>
  <c r="AS13" i="20" s="1"/>
  <c r="AS14" i="20" s="1"/>
  <c r="AS15" i="20" s="1"/>
  <c r="AS16" i="20" s="1"/>
  <c r="AS17" i="20" s="1"/>
  <c r="AS18" i="20" s="1"/>
  <c r="AS19" i="20" s="1"/>
  <c r="AS20" i="20" s="1"/>
  <c r="AS21" i="20" s="1"/>
  <c r="AS22" i="20" s="1"/>
  <c r="AS23" i="20" s="1"/>
  <c r="AS24" i="20" s="1"/>
  <c r="AS25" i="20" s="1"/>
  <c r="AS26" i="20" s="1"/>
  <c r="AS27" i="20" s="1"/>
  <c r="AS28" i="20" s="1"/>
  <c r="AS29" i="20" s="1"/>
  <c r="AS30" i="20" s="1"/>
  <c r="AS31" i="20" s="1"/>
  <c r="AS32" i="20" s="1"/>
  <c r="AS33" i="20" s="1"/>
  <c r="AS34" i="20" s="1"/>
  <c r="AS35" i="20" s="1"/>
  <c r="AS36" i="20" s="1"/>
  <c r="AS37" i="20" s="1"/>
  <c r="AS38" i="20" s="1"/>
  <c r="AS39" i="20" s="1"/>
  <c r="AS40" i="20" s="1"/>
  <c r="AS41" i="20" s="1"/>
  <c r="AS42" i="20" s="1"/>
  <c r="AS43" i="20" s="1"/>
  <c r="AS44" i="20" s="1"/>
  <c r="AS45" i="20" s="1"/>
  <c r="AS46" i="20" s="1"/>
  <c r="AS47" i="20" s="1"/>
  <c r="AS48" i="20" s="1"/>
  <c r="AS49" i="20" s="1"/>
  <c r="AS50" i="20" s="1"/>
  <c r="AS51" i="20" s="1"/>
  <c r="AS52" i="20" s="1"/>
  <c r="AS53" i="20" s="1"/>
  <c r="AS54" i="20" s="1"/>
  <c r="AS55" i="20" s="1"/>
  <c r="AS56" i="20" s="1"/>
  <c r="AS57" i="20" s="1"/>
  <c r="AS58" i="20" s="1"/>
  <c r="AS59" i="20" s="1"/>
  <c r="AS60" i="20" s="1"/>
  <c r="AS61" i="20" s="1"/>
  <c r="AS62" i="20" s="1"/>
  <c r="AS63" i="20" s="1"/>
  <c r="AS64" i="20" s="1"/>
  <c r="AS65" i="20" s="1"/>
  <c r="AS66" i="20" s="1"/>
  <c r="AS67" i="20" s="1"/>
  <c r="AS68" i="20" s="1"/>
  <c r="AS69" i="20" s="1"/>
  <c r="AS70" i="20" s="1"/>
  <c r="AS71" i="20" s="1"/>
  <c r="AS72" i="20" s="1"/>
  <c r="AS73" i="20" s="1"/>
  <c r="AS74" i="20" s="1"/>
  <c r="AS75" i="20" s="1"/>
  <c r="AS76" i="20" s="1"/>
  <c r="AS77" i="20" s="1"/>
  <c r="AS78" i="20" s="1"/>
  <c r="AS79" i="20" s="1"/>
  <c r="AS80" i="20" s="1"/>
  <c r="AS81" i="20" s="1"/>
  <c r="AS82" i="20" s="1"/>
  <c r="AS83" i="20" s="1"/>
  <c r="AS84" i="20" s="1"/>
  <c r="AS85" i="20" s="1"/>
  <c r="AS86" i="20" s="1"/>
  <c r="AS87" i="20" s="1"/>
  <c r="AS88" i="20" s="1"/>
  <c r="AS89" i="20" s="1"/>
  <c r="AS90" i="20" s="1"/>
  <c r="AS91" i="20" s="1"/>
  <c r="AS92" i="20" s="1"/>
  <c r="AS93" i="20" s="1"/>
  <c r="AS94" i="20" s="1"/>
  <c r="AS95" i="20" s="1"/>
  <c r="AS96" i="20" s="1"/>
  <c r="AS97" i="20" s="1"/>
  <c r="AS98" i="20" s="1"/>
  <c r="AS99" i="20" s="1"/>
  <c r="AS100" i="20" s="1"/>
  <c r="AS101" i="20" s="1"/>
  <c r="AS102" i="20" s="1"/>
  <c r="AS103" i="20" s="1"/>
  <c r="AS104" i="20" s="1"/>
  <c r="AS105" i="20" s="1"/>
  <c r="AS106" i="20" s="1"/>
  <c r="AS107" i="20" s="1"/>
  <c r="AS108" i="20" s="1"/>
  <c r="AS109" i="20" s="1"/>
  <c r="AS110" i="20" s="1"/>
  <c r="AS111" i="20" s="1"/>
  <c r="AS112" i="20" s="1"/>
  <c r="AS113" i="20" s="1"/>
  <c r="AS114" i="20" s="1"/>
  <c r="AS115" i="20" s="1"/>
  <c r="AS116" i="20" s="1"/>
  <c r="AS117" i="20" s="1"/>
  <c r="AS118" i="20" s="1"/>
  <c r="AS119" i="20" s="1"/>
  <c r="AS120" i="20" s="1"/>
  <c r="AS121" i="20" s="1"/>
  <c r="AS122" i="20" s="1"/>
  <c r="AS123" i="20" s="1"/>
  <c r="AS124" i="20" s="1"/>
  <c r="AS125" i="20" s="1"/>
  <c r="AS126" i="20" s="1"/>
  <c r="AS127" i="20" s="1"/>
  <c r="AS128" i="20" s="1"/>
  <c r="AS129" i="20" s="1"/>
  <c r="AS130" i="20" s="1"/>
  <c r="AS131" i="20" s="1"/>
  <c r="AS132" i="20" s="1"/>
  <c r="AS133" i="20" s="1"/>
  <c r="AS134" i="20" s="1"/>
  <c r="AS135" i="20" s="1"/>
  <c r="AS136" i="20" s="1"/>
  <c r="AS137" i="20" s="1"/>
  <c r="AS138" i="20" s="1"/>
  <c r="AS139" i="20" s="1"/>
  <c r="AS140" i="20" s="1"/>
  <c r="AS141" i="20" s="1"/>
  <c r="AS142" i="20" s="1"/>
  <c r="AS143" i="20" s="1"/>
  <c r="AS144" i="20" s="1"/>
  <c r="AS145" i="20" s="1"/>
  <c r="AS146" i="20" s="1"/>
  <c r="AS147" i="20" s="1"/>
  <c r="AS148" i="20" s="1"/>
  <c r="AS149" i="20" s="1"/>
  <c r="AS150" i="20" s="1"/>
  <c r="AS151" i="20" s="1"/>
  <c r="AS152" i="20" s="1"/>
  <c r="AS153" i="20" s="1"/>
  <c r="AS154" i="20" s="1"/>
  <c r="AS155" i="20" s="1"/>
  <c r="AS156" i="20" s="1"/>
  <c r="AS157" i="20" s="1"/>
  <c r="AS158" i="20" s="1"/>
  <c r="AS159" i="20" s="1"/>
  <c r="AS160" i="20" s="1"/>
  <c r="AS161" i="20" s="1"/>
  <c r="AS162" i="20" s="1"/>
  <c r="AS163" i="20" s="1"/>
  <c r="AS164" i="20" s="1"/>
  <c r="AS165" i="20" s="1"/>
  <c r="AS166" i="20" s="1"/>
  <c r="AS167" i="20" s="1"/>
  <c r="AS168" i="20" s="1"/>
  <c r="AS169" i="20" s="1"/>
  <c r="AS170" i="20" s="1"/>
  <c r="AS171" i="20" s="1"/>
  <c r="AS172" i="20" s="1"/>
  <c r="AS173" i="20" s="1"/>
  <c r="AS174" i="20" s="1"/>
  <c r="AS175" i="20" s="1"/>
  <c r="AS176" i="20" s="1"/>
  <c r="AS177" i="20" s="1"/>
  <c r="AS178" i="20" s="1"/>
  <c r="AS179" i="20" s="1"/>
  <c r="AS180" i="20" s="1"/>
  <c r="AS181" i="20" s="1"/>
  <c r="AS182" i="20" s="1"/>
  <c r="AS183" i="20" s="1"/>
  <c r="AS184" i="20" s="1"/>
  <c r="AS185" i="20" s="1"/>
  <c r="AS186" i="20" s="1"/>
  <c r="AS187" i="20" s="1"/>
  <c r="AS188" i="20" s="1"/>
  <c r="AS189" i="20" s="1"/>
  <c r="AS190" i="20" s="1"/>
  <c r="AS191" i="20" s="1"/>
  <c r="AS192" i="20" s="1"/>
  <c r="AS193" i="20" s="1"/>
  <c r="AS194" i="20" s="1"/>
  <c r="AS195" i="20" s="1"/>
  <c r="AS196" i="20" s="1"/>
  <c r="AS197" i="20" s="1"/>
  <c r="AS198" i="20" s="1"/>
  <c r="AS199" i="20" s="1"/>
  <c r="AS200" i="20" s="1"/>
  <c r="AS201" i="20" s="1"/>
  <c r="AS202" i="20" s="1"/>
  <c r="AS203" i="20" s="1"/>
  <c r="AS204" i="20" s="1"/>
  <c r="AS205" i="20" s="1"/>
  <c r="AS206" i="20" s="1"/>
  <c r="AS207" i="20" s="1"/>
  <c r="AS208" i="20" s="1"/>
  <c r="AS209" i="20" s="1"/>
  <c r="AS210" i="20" s="1"/>
  <c r="AS211" i="20" s="1"/>
  <c r="AS212" i="20" s="1"/>
  <c r="AS213" i="20" s="1"/>
  <c r="AS214" i="20" s="1"/>
  <c r="AS215" i="20" s="1"/>
  <c r="AS216" i="20" s="1"/>
  <c r="AS217" i="20" s="1"/>
  <c r="AS218" i="20" s="1"/>
  <c r="AS219" i="20" s="1"/>
  <c r="AS220" i="20" s="1"/>
  <c r="AS221" i="20" s="1"/>
  <c r="AS222" i="20" s="1"/>
  <c r="AS223" i="20" s="1"/>
  <c r="AS224" i="20" s="1"/>
  <c r="AS225" i="20" s="1"/>
  <c r="AS226" i="20" s="1"/>
  <c r="AS227" i="20" s="1"/>
  <c r="AS228" i="20" s="1"/>
  <c r="AS229" i="20" s="1"/>
  <c r="AS230" i="20" s="1"/>
  <c r="AS231" i="20" s="1"/>
  <c r="AS232" i="20" s="1"/>
  <c r="AS233" i="20" s="1"/>
  <c r="AS234" i="20" s="1"/>
  <c r="AS235" i="20" s="1"/>
  <c r="AS236" i="20" s="1"/>
  <c r="AS237" i="20" s="1"/>
  <c r="AS238" i="20" s="1"/>
  <c r="AS239" i="20" s="1"/>
  <c r="AS240" i="20" s="1"/>
  <c r="AS241" i="20" s="1"/>
  <c r="AS242" i="20" s="1"/>
  <c r="AS243" i="20" s="1"/>
  <c r="AS244" i="20" s="1"/>
  <c r="AS245" i="20" s="1"/>
  <c r="AS246" i="20" s="1"/>
  <c r="AS247" i="20" s="1"/>
  <c r="AS248" i="20" s="1"/>
  <c r="AS249" i="20" s="1"/>
  <c r="AS250" i="20" s="1"/>
  <c r="AS251" i="20" s="1"/>
  <c r="AS252" i="20" s="1"/>
  <c r="AS253" i="20" s="1"/>
  <c r="AS254" i="20" s="1"/>
  <c r="AS255" i="20" s="1"/>
  <c r="AS256" i="20" s="1"/>
  <c r="AS257" i="20" s="1"/>
  <c r="AS258" i="20" s="1"/>
  <c r="AS259" i="20" s="1"/>
  <c r="AS260" i="20" s="1"/>
  <c r="AS261" i="20" s="1"/>
  <c r="AS262" i="20" s="1"/>
  <c r="AS263" i="20" s="1"/>
  <c r="AS264" i="20" s="1"/>
  <c r="AS265" i="20" s="1"/>
  <c r="AS266" i="20" s="1"/>
  <c r="AS267" i="20" s="1"/>
  <c r="AS268" i="20" s="1"/>
  <c r="AS269" i="20" s="1"/>
  <c r="AS270" i="20" s="1"/>
  <c r="AS271" i="20" s="1"/>
  <c r="AS272" i="20" s="1"/>
  <c r="AS273" i="20" s="1"/>
  <c r="AS274" i="20" s="1"/>
  <c r="AS275" i="20" s="1"/>
  <c r="AS276" i="20" s="1"/>
  <c r="AS277" i="20" s="1"/>
  <c r="AS278" i="20" s="1"/>
  <c r="AS279" i="20" s="1"/>
  <c r="AS280" i="20" s="1"/>
  <c r="AS281" i="20" s="1"/>
  <c r="AS282" i="20" s="1"/>
  <c r="AS283" i="20" s="1"/>
  <c r="AS284" i="20" s="1"/>
  <c r="AS285" i="20" s="1"/>
  <c r="AS286" i="20" s="1"/>
  <c r="AS287" i="20" s="1"/>
  <c r="AS288" i="20" s="1"/>
  <c r="AS289" i="20" s="1"/>
  <c r="AS290" i="20" s="1"/>
  <c r="AS291" i="20" s="1"/>
  <c r="AS292" i="20" s="1"/>
  <c r="AS293" i="20" s="1"/>
  <c r="AS294" i="20" s="1"/>
  <c r="AS295" i="20" s="1"/>
  <c r="AS296" i="20" s="1"/>
  <c r="AS297" i="20" s="1"/>
  <c r="AS298" i="20" s="1"/>
  <c r="AS299" i="20" s="1"/>
  <c r="AS300" i="20" s="1"/>
  <c r="AS301" i="20" s="1"/>
  <c r="AS302" i="20" s="1"/>
  <c r="AS303" i="20" s="1"/>
  <c r="AS304" i="20" s="1"/>
  <c r="AS305" i="20" s="1"/>
  <c r="AS306" i="20" s="1"/>
  <c r="AS307" i="20" s="1"/>
  <c r="AS308" i="20" s="1"/>
  <c r="AS309" i="20" s="1"/>
  <c r="AS310" i="20" s="1"/>
  <c r="AS311" i="20" s="1"/>
  <c r="AS312" i="20" s="1"/>
  <c r="AS313" i="20" s="1"/>
  <c r="AS314" i="20" s="1"/>
  <c r="AS315" i="20" s="1"/>
  <c r="AS316" i="20" s="1"/>
  <c r="AS317" i="20" s="1"/>
  <c r="AS318" i="20" s="1"/>
  <c r="AS319" i="20" s="1"/>
  <c r="AS320" i="20" s="1"/>
  <c r="AS321" i="20" s="1"/>
  <c r="AS322" i="20" s="1"/>
  <c r="AS323" i="20" s="1"/>
  <c r="AS324" i="20" s="1"/>
  <c r="AS325" i="20" s="1"/>
  <c r="AS326" i="20" s="1"/>
  <c r="AS327" i="20" s="1"/>
  <c r="AS328" i="20" s="1"/>
  <c r="AS329" i="20" s="1"/>
  <c r="AS330" i="20" s="1"/>
  <c r="AS331" i="20" s="1"/>
  <c r="AS332" i="20" s="1"/>
  <c r="AS333" i="20" s="1"/>
  <c r="AS334" i="20" s="1"/>
  <c r="AS335" i="20" s="1"/>
  <c r="AS336" i="20" s="1"/>
  <c r="AS337" i="20" s="1"/>
  <c r="AS338" i="20" s="1"/>
  <c r="AS339" i="20" s="1"/>
  <c r="AS340" i="20" s="1"/>
  <c r="AS341" i="20" s="1"/>
  <c r="AS342" i="20" s="1"/>
  <c r="AS343" i="20" s="1"/>
  <c r="AS344" i="20" s="1"/>
  <c r="AS345" i="20" s="1"/>
  <c r="AS346" i="20" s="1"/>
  <c r="AS347" i="20" s="1"/>
  <c r="AS348" i="20" s="1"/>
  <c r="AS349" i="20" s="1"/>
  <c r="AS350" i="20" s="1"/>
  <c r="AS351" i="20" s="1"/>
  <c r="AS352" i="20" s="1"/>
  <c r="AS353" i="20" s="1"/>
  <c r="AS354" i="20" s="1"/>
  <c r="AS355" i="20" s="1"/>
  <c r="AS356" i="20" s="1"/>
  <c r="AS357" i="20" s="1"/>
  <c r="AS358" i="20" s="1"/>
  <c r="AS359" i="20" s="1"/>
  <c r="AS360" i="20" s="1"/>
  <c r="AS361" i="20" s="1"/>
  <c r="AS362" i="20" s="1"/>
  <c r="AS363" i="20" s="1"/>
  <c r="AS364" i="20" s="1"/>
  <c r="AS365" i="20" s="1"/>
  <c r="AS366" i="20" s="1"/>
  <c r="AS367" i="20" s="1"/>
  <c r="AW20" i="20"/>
  <c r="AW21" i="20" s="1"/>
  <c r="AW22" i="20" s="1"/>
  <c r="AW23" i="20" s="1"/>
  <c r="AW24" i="20" s="1"/>
  <c r="AW25" i="20" s="1"/>
  <c r="AW26" i="20" s="1"/>
  <c r="AW27" i="20" s="1"/>
  <c r="AW28" i="20" s="1"/>
  <c r="AW29" i="20" s="1"/>
  <c r="AW30" i="20" s="1"/>
  <c r="AW31" i="20" s="1"/>
  <c r="AW32" i="20" s="1"/>
  <c r="AW33" i="20" s="1"/>
  <c r="AW34" i="20" s="1"/>
  <c r="AW35" i="20" s="1"/>
  <c r="AW36" i="20" s="1"/>
  <c r="AW37" i="20" s="1"/>
  <c r="AW38" i="20" s="1"/>
  <c r="AW39" i="20" s="1"/>
  <c r="AW40" i="20" s="1"/>
  <c r="AW41" i="20" s="1"/>
  <c r="AW42" i="20" s="1"/>
  <c r="AW43" i="20" s="1"/>
  <c r="AW44" i="20" s="1"/>
  <c r="AW45" i="20" s="1"/>
  <c r="AW46" i="20" s="1"/>
  <c r="AW47" i="20" s="1"/>
  <c r="AW48" i="20" s="1"/>
  <c r="AW49" i="20" s="1"/>
  <c r="AW50" i="20" s="1"/>
  <c r="AW51" i="20" s="1"/>
  <c r="AW52" i="20" s="1"/>
  <c r="AW53" i="20" s="1"/>
  <c r="AW54" i="20" s="1"/>
  <c r="AW55" i="20" s="1"/>
  <c r="AW56" i="20" s="1"/>
  <c r="AW57" i="20" s="1"/>
  <c r="AW58" i="20" s="1"/>
  <c r="AW59" i="20" s="1"/>
  <c r="AW60" i="20" s="1"/>
  <c r="AW61" i="20" s="1"/>
  <c r="AW62" i="20" s="1"/>
  <c r="AW63" i="20" s="1"/>
  <c r="AW64" i="20" s="1"/>
  <c r="AW65" i="20" s="1"/>
  <c r="AW66" i="20" s="1"/>
  <c r="AW67" i="20" s="1"/>
  <c r="AW68" i="20" s="1"/>
  <c r="AW69" i="20" s="1"/>
  <c r="AW70" i="20" s="1"/>
  <c r="AW71" i="20" s="1"/>
  <c r="AW72" i="20" s="1"/>
  <c r="AW73" i="20" s="1"/>
  <c r="AW74" i="20" s="1"/>
  <c r="AW75" i="20" s="1"/>
  <c r="AW76" i="20" s="1"/>
  <c r="AW77" i="20" s="1"/>
  <c r="AW78" i="20" s="1"/>
  <c r="AW79" i="20" s="1"/>
  <c r="AW80" i="20" s="1"/>
  <c r="AW81" i="20" s="1"/>
  <c r="AW82" i="20" s="1"/>
  <c r="AW83" i="20" s="1"/>
  <c r="AW84" i="20" s="1"/>
  <c r="AW85" i="20" s="1"/>
  <c r="AW86" i="20" s="1"/>
  <c r="AW87" i="20" s="1"/>
  <c r="AW88" i="20" s="1"/>
  <c r="AW89" i="20" s="1"/>
  <c r="AW90" i="20" s="1"/>
  <c r="AW91" i="20" s="1"/>
  <c r="AW92" i="20" s="1"/>
  <c r="AW93" i="20" s="1"/>
  <c r="AW94" i="20" s="1"/>
  <c r="AW95" i="20" s="1"/>
  <c r="AW96" i="20" s="1"/>
  <c r="AW97" i="20" s="1"/>
  <c r="AW98" i="20" s="1"/>
  <c r="AW99" i="20" s="1"/>
  <c r="AW100" i="20" s="1"/>
  <c r="AW101" i="20" s="1"/>
  <c r="AW102" i="20" s="1"/>
  <c r="AW103" i="20" s="1"/>
  <c r="AW104" i="20" s="1"/>
  <c r="AW105" i="20" s="1"/>
  <c r="AW106" i="20" s="1"/>
  <c r="AW107" i="20" s="1"/>
  <c r="AW108" i="20" s="1"/>
  <c r="AW109" i="20" s="1"/>
  <c r="AW110" i="20" s="1"/>
  <c r="AW111" i="20" s="1"/>
  <c r="AW112" i="20" s="1"/>
  <c r="AW113" i="20" s="1"/>
  <c r="AW114" i="20" s="1"/>
  <c r="AW115" i="20" s="1"/>
  <c r="AW116" i="20" s="1"/>
  <c r="AW117" i="20" s="1"/>
  <c r="AW118" i="20" s="1"/>
  <c r="AW119" i="20" s="1"/>
  <c r="AW120" i="20" s="1"/>
  <c r="AW121" i="20" s="1"/>
  <c r="AU13" i="20"/>
  <c r="AU14" i="20" s="1"/>
  <c r="AU15" i="20" s="1"/>
  <c r="AU16" i="20" s="1"/>
  <c r="AU17" i="20" s="1"/>
  <c r="AU18" i="20" s="1"/>
  <c r="AU19" i="20" s="1"/>
  <c r="AU20" i="20" s="1"/>
  <c r="AU21" i="20" s="1"/>
  <c r="AU22" i="20" s="1"/>
  <c r="AU23" i="20" s="1"/>
  <c r="AU24" i="20" s="1"/>
  <c r="AU25" i="20" s="1"/>
  <c r="AU26" i="20" s="1"/>
  <c r="AU27" i="20" s="1"/>
  <c r="AU28" i="20" s="1"/>
  <c r="AU29" i="20" s="1"/>
  <c r="AU30" i="20" s="1"/>
  <c r="AU31" i="20" s="1"/>
  <c r="AU32" i="20" s="1"/>
  <c r="AU33" i="20" s="1"/>
  <c r="AU34" i="20" s="1"/>
  <c r="AU35" i="20" s="1"/>
  <c r="AU36" i="20" s="1"/>
  <c r="AU37" i="20" s="1"/>
  <c r="AU38" i="20" s="1"/>
  <c r="AU39" i="20" s="1"/>
  <c r="AU40" i="20" s="1"/>
  <c r="AU41" i="20" s="1"/>
  <c r="AU42" i="20" s="1"/>
  <c r="AU43" i="20" s="1"/>
  <c r="AU44" i="20" s="1"/>
  <c r="AU45" i="20" s="1"/>
  <c r="AU46" i="20" s="1"/>
  <c r="AU47" i="20" s="1"/>
  <c r="AU48" i="20" s="1"/>
  <c r="AU49" i="20" s="1"/>
  <c r="AU50" i="20" s="1"/>
  <c r="AU51" i="20" s="1"/>
  <c r="AU52" i="20" s="1"/>
  <c r="AU53" i="20" s="1"/>
  <c r="AU54" i="20" s="1"/>
  <c r="AU55" i="20" s="1"/>
  <c r="AU56" i="20" s="1"/>
  <c r="AU57" i="20" s="1"/>
  <c r="AU58" i="20" s="1"/>
  <c r="AU59" i="20" s="1"/>
  <c r="AU60" i="20" s="1"/>
  <c r="AU61" i="20" s="1"/>
  <c r="AU62" i="20" s="1"/>
  <c r="AU63" i="20" s="1"/>
  <c r="AU64" i="20" s="1"/>
  <c r="AU65" i="20" s="1"/>
  <c r="AU66" i="20" s="1"/>
  <c r="AU67" i="20" s="1"/>
  <c r="AU68" i="20" s="1"/>
  <c r="AU69" i="20" s="1"/>
  <c r="AU70" i="20" s="1"/>
  <c r="AU71" i="20" s="1"/>
  <c r="AU72" i="20" s="1"/>
  <c r="AU73" i="20" s="1"/>
  <c r="AU74" i="20" s="1"/>
  <c r="AU75" i="20" s="1"/>
  <c r="AU76" i="20" s="1"/>
  <c r="AU77" i="20" s="1"/>
  <c r="AU78" i="20" s="1"/>
  <c r="AU79" i="20" s="1"/>
  <c r="AU80" i="20" s="1"/>
  <c r="AU81" i="20" s="1"/>
  <c r="AU82" i="20" s="1"/>
  <c r="AU83" i="20" s="1"/>
  <c r="AU84" i="20" s="1"/>
  <c r="AU85" i="20" s="1"/>
  <c r="AU86" i="20" s="1"/>
  <c r="AU87" i="20" s="1"/>
  <c r="AU88" i="20" s="1"/>
  <c r="AU89" i="20" s="1"/>
  <c r="AU90" i="20" s="1"/>
  <c r="AU91" i="20" s="1"/>
  <c r="AU92" i="20" s="1"/>
  <c r="AU93" i="20" s="1"/>
  <c r="AU94" i="20" s="1"/>
  <c r="AU95" i="20" s="1"/>
  <c r="AU96" i="20" s="1"/>
  <c r="AU97" i="20" s="1"/>
  <c r="AU98" i="20" s="1"/>
  <c r="AU99" i="20" s="1"/>
  <c r="AU100" i="20" s="1"/>
  <c r="AU101" i="20" s="1"/>
  <c r="AU102" i="20" s="1"/>
  <c r="AU103" i="20" s="1"/>
  <c r="AU104" i="20" s="1"/>
  <c r="AU105" i="20" s="1"/>
  <c r="AU106" i="20" s="1"/>
  <c r="AU107" i="20" s="1"/>
  <c r="AU108" i="20" s="1"/>
  <c r="AU109" i="20" s="1"/>
  <c r="AU110" i="20" s="1"/>
  <c r="AU111" i="20" s="1"/>
  <c r="AU112" i="20" s="1"/>
  <c r="AU113" i="20" s="1"/>
  <c r="AU114" i="20" s="1"/>
  <c r="AU115" i="20" s="1"/>
  <c r="AU116" i="20" s="1"/>
  <c r="AU117" i="20" s="1"/>
  <c r="AU118" i="20" s="1"/>
  <c r="AU119" i="20" s="1"/>
  <c r="AU120" i="20" s="1"/>
  <c r="AU121" i="20" s="1"/>
  <c r="AU122" i="20" s="1"/>
  <c r="AU123" i="20" s="1"/>
  <c r="AU124" i="20" s="1"/>
  <c r="AU125" i="20" s="1"/>
  <c r="AU126" i="20" s="1"/>
  <c r="AU127" i="20" s="1"/>
  <c r="AU128" i="20" s="1"/>
  <c r="AU129" i="20" s="1"/>
  <c r="AU130" i="20" s="1"/>
  <c r="AU131" i="20" s="1"/>
  <c r="AU132" i="20" s="1"/>
  <c r="AU133" i="20" s="1"/>
  <c r="AU134" i="20" s="1"/>
  <c r="AU135" i="20" s="1"/>
  <c r="AU136" i="20" s="1"/>
  <c r="AU137" i="20" s="1"/>
  <c r="AU138" i="20" s="1"/>
  <c r="AU139" i="20" s="1"/>
  <c r="AU140" i="20" s="1"/>
  <c r="AU141" i="20" s="1"/>
  <c r="AU142" i="20" s="1"/>
  <c r="AU143" i="20" s="1"/>
  <c r="AU144" i="20" s="1"/>
  <c r="AU145" i="20" s="1"/>
  <c r="AU146" i="20" s="1"/>
  <c r="AU147" i="20" s="1"/>
  <c r="AU148" i="20" s="1"/>
  <c r="AU149" i="20" s="1"/>
  <c r="AU150" i="20" s="1"/>
  <c r="AU151" i="20" s="1"/>
  <c r="AU152" i="20" s="1"/>
  <c r="AU153" i="20" s="1"/>
  <c r="AU154" i="20" s="1"/>
  <c r="AU155" i="20" s="1"/>
  <c r="AU156" i="20" s="1"/>
  <c r="AU157" i="20" s="1"/>
  <c r="AU158" i="20" s="1"/>
  <c r="AU159" i="20" s="1"/>
  <c r="AU160" i="20" s="1"/>
  <c r="AU161" i="20" s="1"/>
  <c r="AU162" i="20" s="1"/>
  <c r="AU163" i="20" s="1"/>
  <c r="AU164" i="20" s="1"/>
  <c r="AU165" i="20" s="1"/>
  <c r="AU166" i="20" s="1"/>
  <c r="AU167" i="20" s="1"/>
  <c r="AU168" i="20" s="1"/>
  <c r="AU169" i="20" s="1"/>
  <c r="AU170" i="20" s="1"/>
  <c r="AU171" i="20" s="1"/>
  <c r="AU172" i="20" s="1"/>
  <c r="AU173" i="20" s="1"/>
  <c r="AU174" i="20" s="1"/>
  <c r="AU175" i="20" s="1"/>
  <c r="AU176" i="20" s="1"/>
  <c r="AU177" i="20" s="1"/>
  <c r="AU178" i="20" s="1"/>
  <c r="AU179" i="20" s="1"/>
  <c r="AU180" i="20" s="1"/>
  <c r="AU181" i="20" s="1"/>
  <c r="AU182" i="20" s="1"/>
  <c r="AU183" i="20" s="1"/>
  <c r="AU184" i="20" s="1"/>
  <c r="AU185" i="20" s="1"/>
  <c r="AU186" i="20" s="1"/>
  <c r="AU187" i="20" s="1"/>
  <c r="AU188" i="20" s="1"/>
  <c r="AU189" i="20" s="1"/>
  <c r="AU190" i="20" s="1"/>
  <c r="AU191" i="20" s="1"/>
  <c r="AU192" i="20" s="1"/>
  <c r="AU193" i="20" s="1"/>
  <c r="AU194" i="20" s="1"/>
  <c r="AU195" i="20" s="1"/>
  <c r="AU196" i="20" s="1"/>
  <c r="AU197" i="20" s="1"/>
  <c r="AU198" i="20" s="1"/>
  <c r="AU199" i="20" s="1"/>
  <c r="AU200" i="20" s="1"/>
  <c r="AU201" i="20" s="1"/>
  <c r="AU202" i="20" s="1"/>
  <c r="AU203" i="20" s="1"/>
  <c r="AU204" i="20" s="1"/>
  <c r="AU205" i="20" s="1"/>
  <c r="AU206" i="20" s="1"/>
  <c r="AU207" i="20" s="1"/>
  <c r="AU208" i="20" s="1"/>
  <c r="AU209" i="20" s="1"/>
  <c r="AU210" i="20" s="1"/>
  <c r="AU211" i="20" s="1"/>
  <c r="AU212" i="20" s="1"/>
  <c r="AU213" i="20" s="1"/>
  <c r="AU214" i="20" s="1"/>
  <c r="AU215" i="20" s="1"/>
  <c r="AU216" i="20" s="1"/>
  <c r="AU217" i="20" s="1"/>
  <c r="AU218" i="20" s="1"/>
  <c r="AU219" i="20" s="1"/>
  <c r="AU220" i="20" s="1"/>
  <c r="AU221" i="20" s="1"/>
  <c r="AU222" i="20" s="1"/>
  <c r="AU223" i="20" s="1"/>
  <c r="AU224" i="20" s="1"/>
  <c r="AU225" i="20" s="1"/>
  <c r="AU226" i="20" s="1"/>
  <c r="AU227" i="20" s="1"/>
  <c r="AU228" i="20" s="1"/>
  <c r="AU229" i="20" s="1"/>
  <c r="AU230" i="20" s="1"/>
  <c r="AU231" i="20" s="1"/>
  <c r="AU232" i="20" s="1"/>
  <c r="AU233" i="20" s="1"/>
  <c r="AU234" i="20" s="1"/>
  <c r="AU235" i="20" s="1"/>
  <c r="AU236" i="20" s="1"/>
  <c r="AU237" i="20" s="1"/>
  <c r="AU238" i="20" s="1"/>
  <c r="AU239" i="20" s="1"/>
  <c r="AU240" i="20" s="1"/>
  <c r="AU241" i="20" s="1"/>
  <c r="AU242" i="20" s="1"/>
  <c r="AU243" i="20" s="1"/>
  <c r="AU244" i="20" s="1"/>
  <c r="AU245" i="20" s="1"/>
  <c r="AU246" i="20" s="1"/>
  <c r="AU247" i="20" s="1"/>
  <c r="AU248" i="20" s="1"/>
  <c r="AU249" i="20" s="1"/>
  <c r="AU250" i="20" s="1"/>
  <c r="AU251" i="20" s="1"/>
  <c r="AU252" i="20" s="1"/>
  <c r="AU253" i="20" s="1"/>
  <c r="AU254" i="20" s="1"/>
  <c r="AU255" i="20" s="1"/>
  <c r="AU256" i="20" s="1"/>
  <c r="AU257" i="20" s="1"/>
  <c r="AU258" i="20" s="1"/>
  <c r="AU259" i="20" s="1"/>
  <c r="AU260" i="20" s="1"/>
  <c r="AU261" i="20" s="1"/>
  <c r="AU262" i="20" s="1"/>
  <c r="AU263" i="20" s="1"/>
  <c r="AU264" i="20" s="1"/>
  <c r="AU265" i="20" s="1"/>
  <c r="AU266" i="20" s="1"/>
  <c r="AU267" i="20" s="1"/>
  <c r="AU268" i="20" s="1"/>
  <c r="AU269" i="20" s="1"/>
  <c r="AU270" i="20" s="1"/>
  <c r="AU271" i="20" s="1"/>
  <c r="AU272" i="20" s="1"/>
  <c r="AU273" i="20" s="1"/>
  <c r="AU274" i="20" s="1"/>
  <c r="AU275" i="20" s="1"/>
  <c r="AU276" i="20" s="1"/>
  <c r="AU277" i="20" s="1"/>
  <c r="AU278" i="20" s="1"/>
  <c r="AU279" i="20" s="1"/>
  <c r="AU280" i="20" s="1"/>
  <c r="AU281" i="20" s="1"/>
  <c r="AU282" i="20" s="1"/>
  <c r="AU283" i="20" s="1"/>
  <c r="AU284" i="20" s="1"/>
  <c r="AU285" i="20" s="1"/>
  <c r="AU286" i="20" s="1"/>
  <c r="AU287" i="20" s="1"/>
  <c r="AU288" i="20" s="1"/>
  <c r="AU289" i="20" s="1"/>
  <c r="AU290" i="20" s="1"/>
  <c r="AU291" i="20" s="1"/>
  <c r="AU292" i="20" s="1"/>
  <c r="AU293" i="20" s="1"/>
  <c r="AU294" i="20" s="1"/>
  <c r="AU295" i="20" s="1"/>
  <c r="AU296" i="20" s="1"/>
  <c r="AU297" i="20" s="1"/>
  <c r="AU298" i="20" s="1"/>
  <c r="AU299" i="20" s="1"/>
  <c r="AU300" i="20" s="1"/>
  <c r="AU301" i="20" s="1"/>
  <c r="AU302" i="20" s="1"/>
  <c r="AU303" i="20" s="1"/>
  <c r="AU304" i="20" s="1"/>
  <c r="AU305" i="20" s="1"/>
  <c r="AU306" i="20" s="1"/>
  <c r="AU307" i="20" s="1"/>
  <c r="AU308" i="20" s="1"/>
  <c r="AU309" i="20" s="1"/>
  <c r="AU310" i="20" s="1"/>
  <c r="AU311" i="20" s="1"/>
  <c r="AU312" i="20" s="1"/>
  <c r="AU313" i="20" s="1"/>
  <c r="AU314" i="20" s="1"/>
  <c r="AU315" i="20" s="1"/>
  <c r="AU316" i="20" s="1"/>
  <c r="AU317" i="20" s="1"/>
  <c r="AU318" i="20" s="1"/>
  <c r="AU319" i="20" s="1"/>
  <c r="AU320" i="20" s="1"/>
  <c r="AU321" i="20" s="1"/>
  <c r="AU322" i="20" s="1"/>
  <c r="AU323" i="20" s="1"/>
  <c r="AU324" i="20" s="1"/>
  <c r="AU325" i="20" s="1"/>
  <c r="AU326" i="20" s="1"/>
  <c r="AU327" i="20" s="1"/>
  <c r="AU328" i="20" s="1"/>
  <c r="AU329" i="20" s="1"/>
  <c r="AU330" i="20" s="1"/>
  <c r="AU331" i="20" s="1"/>
  <c r="AU332" i="20" s="1"/>
  <c r="AU333" i="20" s="1"/>
  <c r="AU334" i="20" s="1"/>
  <c r="AU335" i="20" s="1"/>
  <c r="AU336" i="20" s="1"/>
  <c r="AU337" i="20" s="1"/>
  <c r="AU338" i="20" s="1"/>
  <c r="AU339" i="20" s="1"/>
  <c r="AU340" i="20" s="1"/>
  <c r="AU341" i="20" s="1"/>
  <c r="AU342" i="20" s="1"/>
  <c r="AU343" i="20" s="1"/>
  <c r="AU344" i="20" s="1"/>
  <c r="AU345" i="20" s="1"/>
  <c r="AU346" i="20" s="1"/>
  <c r="AU347" i="20" s="1"/>
  <c r="AU348" i="20" s="1"/>
  <c r="AU349" i="20" s="1"/>
  <c r="AU350" i="20" s="1"/>
  <c r="AU351" i="20" s="1"/>
  <c r="AU352" i="20" s="1"/>
  <c r="AU353" i="20" s="1"/>
  <c r="AU354" i="20" s="1"/>
  <c r="AU355" i="20" s="1"/>
  <c r="AU356" i="20" s="1"/>
  <c r="AU357" i="20" s="1"/>
  <c r="AU358" i="20" s="1"/>
  <c r="AU359" i="20" s="1"/>
  <c r="AU360" i="20" s="1"/>
  <c r="AU361" i="20" s="1"/>
  <c r="AU362" i="20" s="1"/>
  <c r="AU363" i="20" s="1"/>
  <c r="AU364" i="20" s="1"/>
  <c r="AU365" i="20" s="1"/>
  <c r="AU366" i="20" s="1"/>
  <c r="AU367" i="20" s="1"/>
  <c r="F276" i="12" l="1"/>
  <c r="D5" i="12"/>
  <c r="C4" i="12"/>
  <c r="AW122" i="20"/>
  <c r="AW123" i="20" s="1"/>
  <c r="AW124" i="20" s="1"/>
  <c r="AW125" i="20" s="1"/>
  <c r="AW126" i="20" s="1"/>
  <c r="AW127" i="20" s="1"/>
  <c r="AW128" i="20" s="1"/>
  <c r="AW129" i="20" s="1"/>
  <c r="AW130" i="20" s="1"/>
  <c r="AW131" i="20" s="1"/>
  <c r="AW132" i="20" s="1"/>
  <c r="AW133" i="20" s="1"/>
  <c r="AW134" i="20" s="1"/>
  <c r="AW135" i="20" s="1"/>
  <c r="AW136" i="20" s="1"/>
  <c r="AW137" i="20" s="1"/>
  <c r="AW138" i="20" s="1"/>
  <c r="AW139" i="20" s="1"/>
  <c r="AW140" i="20" s="1"/>
  <c r="AW141" i="20" s="1"/>
  <c r="AW142" i="20" s="1"/>
  <c r="AW143" i="20" s="1"/>
  <c r="AW144" i="20" s="1"/>
  <c r="AW145" i="20" s="1"/>
  <c r="AW146" i="20" s="1"/>
  <c r="AW147" i="20" s="1"/>
  <c r="AW148" i="20" s="1"/>
  <c r="AW149" i="20" s="1"/>
  <c r="AW150" i="20" s="1"/>
  <c r="AW151" i="20" s="1"/>
  <c r="AW152" i="20" s="1"/>
  <c r="AW153" i="20" s="1"/>
  <c r="AW154" i="20" s="1"/>
  <c r="AW155" i="20" s="1"/>
  <c r="AW156" i="20" s="1"/>
  <c r="AW157" i="20" s="1"/>
  <c r="AW158" i="20" s="1"/>
  <c r="AW159" i="20" s="1"/>
  <c r="AW160" i="20" s="1"/>
  <c r="AW161" i="20" s="1"/>
  <c r="AW162" i="20" s="1"/>
  <c r="AW163" i="20" s="1"/>
  <c r="AW164" i="20" s="1"/>
  <c r="AW165" i="20" s="1"/>
  <c r="AW166" i="20" s="1"/>
  <c r="AW167" i="20" s="1"/>
  <c r="AW168" i="20" s="1"/>
  <c r="AW169" i="20" s="1"/>
  <c r="AW170" i="20" s="1"/>
  <c r="AW171" i="20" s="1"/>
  <c r="AW172" i="20" s="1"/>
  <c r="AW173" i="20" s="1"/>
  <c r="AW174" i="20" s="1"/>
  <c r="AW175" i="20" s="1"/>
  <c r="AW176" i="20" s="1"/>
  <c r="AW177" i="20" s="1"/>
  <c r="AW178" i="20" s="1"/>
  <c r="AW179" i="20" s="1"/>
  <c r="AW180" i="20" s="1"/>
  <c r="AW181" i="20" s="1"/>
  <c r="AW182" i="20" s="1"/>
  <c r="AW183" i="20" s="1"/>
  <c r="AW184" i="20" s="1"/>
  <c r="AW185" i="20" s="1"/>
  <c r="AW186" i="20" s="1"/>
  <c r="AW187" i="20" s="1"/>
  <c r="AW188" i="20" s="1"/>
  <c r="AW189" i="20" s="1"/>
  <c r="AW190" i="20" s="1"/>
  <c r="AW191" i="20" s="1"/>
  <c r="AW192" i="20" s="1"/>
  <c r="AW193" i="20" s="1"/>
  <c r="AW194" i="20" s="1"/>
  <c r="AW195" i="20" s="1"/>
  <c r="AW196" i="20" s="1"/>
  <c r="AW197" i="20" s="1"/>
  <c r="AW198" i="20" s="1"/>
  <c r="AW199" i="20" s="1"/>
  <c r="AW200" i="20" s="1"/>
  <c r="AW201" i="20" s="1"/>
  <c r="AW202" i="20" s="1"/>
  <c r="AW203" i="20" s="1"/>
  <c r="AW204" i="20" s="1"/>
  <c r="AW205" i="20" s="1"/>
  <c r="AW206" i="20" s="1"/>
  <c r="AW207" i="20" s="1"/>
  <c r="AW208" i="20" s="1"/>
  <c r="AW209" i="20" s="1"/>
  <c r="AW210" i="20" s="1"/>
  <c r="AW211" i="20" s="1"/>
  <c r="AW212" i="20" s="1"/>
  <c r="AW213" i="20" s="1"/>
  <c r="AW214" i="20" s="1"/>
  <c r="AW215" i="20" s="1"/>
  <c r="AW216" i="20" s="1"/>
  <c r="AW217" i="20" s="1"/>
  <c r="AW218" i="20" s="1"/>
  <c r="AW219" i="20" s="1"/>
  <c r="AW220" i="20" s="1"/>
  <c r="AW221" i="20" s="1"/>
  <c r="AW222" i="20" s="1"/>
  <c r="AW223" i="20" s="1"/>
  <c r="AW224" i="20" s="1"/>
  <c r="AW225" i="20" s="1"/>
  <c r="AW226" i="20" s="1"/>
  <c r="AW227" i="20" s="1"/>
  <c r="AW228" i="20" s="1"/>
  <c r="AW229" i="20" s="1"/>
  <c r="AW230" i="20" s="1"/>
  <c r="AW231" i="20" s="1"/>
  <c r="AW232" i="20" s="1"/>
  <c r="AW233" i="20" s="1"/>
  <c r="AW234" i="20" s="1"/>
  <c r="AW235" i="20" s="1"/>
  <c r="AW236" i="20" s="1"/>
  <c r="AW237" i="20" s="1"/>
  <c r="AW238" i="20" s="1"/>
  <c r="AW239" i="20" s="1"/>
  <c r="AW240" i="20" s="1"/>
  <c r="AW241" i="20" s="1"/>
  <c r="AW242" i="20" s="1"/>
  <c r="AW243" i="20" s="1"/>
  <c r="AW244" i="20" s="1"/>
  <c r="AW245" i="20" s="1"/>
  <c r="AW246" i="20" s="1"/>
  <c r="AW247" i="20" s="1"/>
  <c r="AW248" i="20" s="1"/>
  <c r="AW249" i="20" s="1"/>
  <c r="AW250" i="20" s="1"/>
  <c r="AW251" i="20" s="1"/>
  <c r="AW252" i="20" s="1"/>
  <c r="AW253" i="20" s="1"/>
  <c r="AW254" i="20" s="1"/>
  <c r="AW255" i="20" s="1"/>
  <c r="AW256" i="20" s="1"/>
  <c r="AW257" i="20" s="1"/>
  <c r="AW258" i="20" s="1"/>
  <c r="AW259" i="20" s="1"/>
  <c r="AW260" i="20" s="1"/>
  <c r="AW261" i="20" s="1"/>
  <c r="AW262" i="20" s="1"/>
  <c r="AW263" i="20" s="1"/>
  <c r="AW264" i="20" s="1"/>
  <c r="AW265" i="20" s="1"/>
  <c r="AW266" i="20" s="1"/>
  <c r="AW267" i="20" s="1"/>
  <c r="AW268" i="20" s="1"/>
  <c r="AW269" i="20" s="1"/>
  <c r="AW270" i="20" s="1"/>
  <c r="AW271" i="20" s="1"/>
  <c r="AW272" i="20" s="1"/>
  <c r="AW273" i="20" s="1"/>
  <c r="AW274" i="20" s="1"/>
  <c r="AW275" i="20" s="1"/>
  <c r="AW276" i="20" s="1"/>
  <c r="AW277" i="20" s="1"/>
  <c r="AW278" i="20" s="1"/>
  <c r="AW279" i="20" s="1"/>
  <c r="AW280" i="20" s="1"/>
  <c r="AW281" i="20" s="1"/>
  <c r="AW282" i="20" s="1"/>
  <c r="AW283" i="20" s="1"/>
  <c r="AW284" i="20" s="1"/>
  <c r="AW285" i="20" s="1"/>
  <c r="AW286" i="20" s="1"/>
  <c r="AW287" i="20" s="1"/>
  <c r="AW288" i="20" s="1"/>
  <c r="AW289" i="20" s="1"/>
  <c r="AW290" i="20" s="1"/>
  <c r="AW291" i="20" s="1"/>
  <c r="AW292" i="20" s="1"/>
  <c r="AW293" i="20" s="1"/>
  <c r="AW294" i="20" s="1"/>
  <c r="AW295" i="20" s="1"/>
  <c r="AW296" i="20" s="1"/>
  <c r="AW297" i="20" s="1"/>
  <c r="AW298" i="20" s="1"/>
  <c r="AW299" i="20" s="1"/>
  <c r="AW300" i="20" s="1"/>
  <c r="AW301" i="20" s="1"/>
  <c r="AW302" i="20" s="1"/>
  <c r="AW303" i="20" s="1"/>
  <c r="AW304" i="20" s="1"/>
  <c r="AW305" i="20" s="1"/>
  <c r="AW306" i="20" s="1"/>
  <c r="AW307" i="20" s="1"/>
  <c r="AW308" i="20" s="1"/>
  <c r="AW309" i="20" s="1"/>
  <c r="AW310" i="20" s="1"/>
  <c r="AW311" i="20" s="1"/>
  <c r="AW312" i="20" s="1"/>
  <c r="AW313" i="20" s="1"/>
  <c r="AW314" i="20" s="1"/>
  <c r="AW315" i="20" s="1"/>
  <c r="AW316" i="20" s="1"/>
  <c r="AW317" i="20" s="1"/>
  <c r="AW318" i="20" s="1"/>
  <c r="AW319" i="20" s="1"/>
  <c r="AW320" i="20" s="1"/>
  <c r="AW321" i="20" s="1"/>
  <c r="AW322" i="20" s="1"/>
  <c r="AW323" i="20" s="1"/>
  <c r="AW324" i="20" s="1"/>
  <c r="AW325" i="20" s="1"/>
  <c r="AW326" i="20" s="1"/>
  <c r="AW327" i="20" s="1"/>
  <c r="AW328" i="20" s="1"/>
  <c r="AW329" i="20" s="1"/>
  <c r="AW330" i="20" s="1"/>
  <c r="AW331" i="20" s="1"/>
  <c r="F277" i="12" l="1"/>
  <c r="D6" i="12"/>
  <c r="C5" i="12"/>
  <c r="BQ1" i="12" a="1"/>
  <c r="BQ1" i="12" s="1"/>
  <c r="F278" i="12" l="1"/>
  <c r="D7" i="12"/>
  <c r="C6" i="12"/>
  <c r="F279" i="12" l="1"/>
  <c r="D8" i="12"/>
  <c r="C7" i="12"/>
  <c r="F280" i="12" l="1"/>
  <c r="D9" i="12"/>
  <c r="C8" i="12"/>
  <c r="F281" i="12" l="1"/>
  <c r="D10" i="12"/>
  <c r="C9" i="12"/>
  <c r="F282" i="12" l="1"/>
  <c r="D11" i="12"/>
  <c r="C10" i="12"/>
  <c r="F283" i="12" l="1"/>
  <c r="F284" i="12" s="1"/>
  <c r="F285" i="12" s="1"/>
  <c r="F286" i="12" s="1"/>
  <c r="F287" i="12" s="1"/>
  <c r="F288" i="12" s="1"/>
  <c r="F289" i="12" s="1"/>
  <c r="F290" i="12" s="1"/>
  <c r="F291" i="12" s="1"/>
  <c r="F292" i="12" s="1"/>
  <c r="F293" i="12" s="1"/>
  <c r="F294" i="12" s="1"/>
  <c r="F295" i="12" s="1"/>
  <c r="F296" i="12" s="1"/>
  <c r="F297" i="12" s="1"/>
  <c r="F298" i="12" s="1"/>
  <c r="F299" i="12" s="1"/>
  <c r="F300" i="12" s="1"/>
  <c r="F301" i="12" s="1"/>
  <c r="F302" i="12" s="1"/>
  <c r="F303" i="12" s="1"/>
  <c r="F304" i="12" s="1"/>
  <c r="F305" i="12" s="1"/>
  <c r="F306" i="12" s="1"/>
  <c r="F307" i="12" s="1"/>
  <c r="F308" i="12" s="1"/>
  <c r="F309" i="12" s="1"/>
  <c r="F310" i="12" s="1"/>
  <c r="F311" i="12" s="1"/>
  <c r="F312" i="12" s="1"/>
  <c r="F313" i="12" s="1"/>
  <c r="F314" i="12" s="1"/>
  <c r="F315" i="12" s="1"/>
  <c r="F316" i="12" s="1"/>
  <c r="F317" i="12" s="1"/>
  <c r="F318" i="12" s="1"/>
  <c r="F319" i="12" s="1"/>
  <c r="F320" i="12" s="1"/>
  <c r="F321" i="12" s="1"/>
  <c r="F322" i="12" s="1"/>
  <c r="F323" i="12" s="1"/>
  <c r="F324" i="12" s="1"/>
  <c r="F325" i="12" s="1"/>
  <c r="F326" i="12" s="1"/>
  <c r="F327" i="12" s="1"/>
  <c r="F328" i="12" s="1"/>
  <c r="F329" i="12" s="1"/>
  <c r="F330" i="12" s="1"/>
  <c r="F331" i="12" s="1"/>
  <c r="F332" i="12" s="1"/>
  <c r="F333" i="12" s="1"/>
  <c r="F334" i="12" s="1"/>
  <c r="F335" i="12" s="1"/>
  <c r="F336" i="12" s="1"/>
  <c r="F337" i="12" s="1"/>
  <c r="F338" i="12" s="1"/>
  <c r="F339" i="12" s="1"/>
  <c r="F340" i="12" s="1"/>
  <c r="F341" i="12" s="1"/>
  <c r="F342" i="12" s="1"/>
  <c r="F343" i="12" s="1"/>
  <c r="F344" i="12" s="1"/>
  <c r="F345" i="12" s="1"/>
  <c r="F346" i="12" s="1"/>
  <c r="F347" i="12" s="1"/>
  <c r="F348" i="12" s="1"/>
  <c r="F349" i="12" s="1"/>
  <c r="F350" i="12" s="1"/>
  <c r="F351" i="12" s="1"/>
  <c r="F352" i="12" s="1"/>
  <c r="F353" i="12" s="1"/>
  <c r="F354" i="12" s="1"/>
  <c r="F355" i="12" s="1"/>
  <c r="F356" i="12" s="1"/>
  <c r="F357" i="12" s="1"/>
  <c r="F358" i="12" s="1"/>
  <c r="F359" i="12" s="1"/>
  <c r="F360" i="12" s="1"/>
  <c r="F361" i="12" s="1"/>
  <c r="F362" i="12" s="1"/>
  <c r="F363" i="12" s="1"/>
  <c r="F364" i="12" s="1"/>
  <c r="F365" i="12" s="1"/>
  <c r="F366" i="12" s="1"/>
  <c r="F367" i="12" s="1"/>
  <c r="F368" i="12" s="1"/>
  <c r="F369" i="12" s="1"/>
  <c r="F370" i="12" s="1"/>
  <c r="F371" i="12" s="1"/>
  <c r="F372" i="12" s="1"/>
  <c r="F373" i="12" s="1"/>
  <c r="F374" i="12" s="1"/>
  <c r="F375" i="12" s="1"/>
  <c r="F376" i="12" s="1"/>
  <c r="F377" i="12" s="1"/>
  <c r="F378" i="12" s="1"/>
  <c r="F379" i="12" s="1"/>
  <c r="F380" i="12" s="1"/>
  <c r="F381" i="12" s="1"/>
  <c r="F382" i="12" s="1"/>
  <c r="F383" i="12" s="1"/>
  <c r="F384" i="12" s="1"/>
  <c r="F385" i="12" s="1"/>
  <c r="F386" i="12" s="1"/>
  <c r="F387" i="12" s="1"/>
  <c r="F388" i="12" s="1"/>
  <c r="F389" i="12" s="1"/>
  <c r="F390" i="12" s="1"/>
  <c r="F391" i="12" s="1"/>
  <c r="F392" i="12" s="1"/>
  <c r="F393" i="12" s="1"/>
  <c r="F394" i="12" s="1"/>
  <c r="F395" i="12" s="1"/>
  <c r="F396" i="12" s="1"/>
  <c r="F397" i="12" s="1"/>
  <c r="F398" i="12" s="1"/>
  <c r="F399" i="12" s="1"/>
  <c r="F400" i="12" s="1"/>
  <c r="F401" i="12" s="1"/>
  <c r="F402" i="12" s="1"/>
  <c r="F403" i="12" s="1"/>
  <c r="F404" i="12" s="1"/>
  <c r="F405" i="12" s="1"/>
  <c r="F406" i="12" s="1"/>
  <c r="F407" i="12" s="1"/>
  <c r="F408" i="12" s="1"/>
  <c r="F409" i="12" s="1"/>
  <c r="F410" i="12" s="1"/>
  <c r="F411" i="12" s="1"/>
  <c r="F412" i="12" s="1"/>
  <c r="F413" i="12" s="1"/>
  <c r="F414" i="12" s="1"/>
  <c r="F415" i="12" s="1"/>
  <c r="F416" i="12" s="1"/>
  <c r="F417" i="12" s="1"/>
  <c r="F418" i="12" s="1"/>
  <c r="F419" i="12" s="1"/>
  <c r="F420" i="12" s="1"/>
  <c r="F421" i="12" s="1"/>
  <c r="F422" i="12" s="1"/>
  <c r="F423" i="12" s="1"/>
  <c r="F424" i="12" s="1"/>
  <c r="F425" i="12" s="1"/>
  <c r="F426" i="12" s="1"/>
  <c r="F427" i="12" s="1"/>
  <c r="F428" i="12" s="1"/>
  <c r="F429" i="12" s="1"/>
  <c r="F430" i="12" s="1"/>
  <c r="F431" i="12" s="1"/>
  <c r="F432" i="12" s="1"/>
  <c r="F433" i="12" s="1"/>
  <c r="F434" i="12" s="1"/>
  <c r="F435" i="12" s="1"/>
  <c r="F436" i="12" s="1"/>
  <c r="F437" i="12" s="1"/>
  <c r="F438" i="12" s="1"/>
  <c r="F439" i="12" s="1"/>
  <c r="F440" i="12" s="1"/>
  <c r="F441" i="12" s="1"/>
  <c r="F442" i="12" s="1"/>
  <c r="F443" i="12" s="1"/>
  <c r="F444" i="12" s="1"/>
  <c r="F445" i="12" s="1"/>
  <c r="F446" i="12" s="1"/>
  <c r="F447" i="12" s="1"/>
  <c r="F448" i="12" s="1"/>
  <c r="F449" i="12" s="1"/>
  <c r="F450" i="12" s="1"/>
  <c r="F451" i="12" s="1"/>
  <c r="F452" i="12" s="1"/>
  <c r="F453" i="12" s="1"/>
  <c r="F454" i="12" s="1"/>
  <c r="F455" i="12" s="1"/>
  <c r="F456" i="12" s="1"/>
  <c r="F457" i="12" s="1"/>
  <c r="F458" i="12" s="1"/>
  <c r="F459" i="12" s="1"/>
  <c r="F460" i="12" s="1"/>
  <c r="F461" i="12" s="1"/>
  <c r="F462" i="12" s="1"/>
  <c r="F463" i="12" s="1"/>
  <c r="F464" i="12" s="1"/>
  <c r="F465" i="12" s="1"/>
  <c r="F466" i="12" s="1"/>
  <c r="F467" i="12" s="1"/>
  <c r="F468" i="12" s="1"/>
  <c r="F469" i="12" s="1"/>
  <c r="F470" i="12" s="1"/>
  <c r="F471" i="12" s="1"/>
  <c r="F472" i="12" s="1"/>
  <c r="F473" i="12" s="1"/>
  <c r="F474" i="12" s="1"/>
  <c r="F475" i="12" s="1"/>
  <c r="F476" i="12" s="1"/>
  <c r="F477" i="12" s="1"/>
  <c r="F478" i="12" s="1"/>
  <c r="F479" i="12" s="1"/>
  <c r="F480" i="12" s="1"/>
  <c r="F481" i="12" s="1"/>
  <c r="F482" i="12" s="1"/>
  <c r="F483" i="12" s="1"/>
  <c r="F484" i="12" s="1"/>
  <c r="F485" i="12" s="1"/>
  <c r="F486" i="12" s="1"/>
  <c r="F487" i="12" s="1"/>
  <c r="F488" i="12" s="1"/>
  <c r="F489" i="12" s="1"/>
  <c r="F490" i="12" s="1"/>
  <c r="F491" i="12" s="1"/>
  <c r="F492" i="12" s="1"/>
  <c r="F493" i="12" s="1"/>
  <c r="F494" i="12" s="1"/>
  <c r="F495" i="12" s="1"/>
  <c r="F496" i="12" s="1"/>
  <c r="F497" i="12" s="1"/>
  <c r="F498" i="12" s="1"/>
  <c r="F499" i="12" s="1"/>
  <c r="F500" i="12" s="1"/>
  <c r="F501" i="12" s="1"/>
  <c r="F502" i="12" s="1"/>
  <c r="F503" i="12" s="1"/>
  <c r="F504" i="12" s="1"/>
  <c r="F505" i="12" s="1"/>
  <c r="F506" i="12" s="1"/>
  <c r="F507" i="12" s="1"/>
  <c r="F508" i="12" s="1"/>
  <c r="F509" i="12" s="1"/>
  <c r="F510" i="12" s="1"/>
  <c r="F511" i="12" s="1"/>
  <c r="F512" i="12" s="1"/>
  <c r="F513" i="12" s="1"/>
  <c r="F514" i="12" s="1"/>
  <c r="F515" i="12" s="1"/>
  <c r="F516" i="12" s="1"/>
  <c r="F517" i="12" s="1"/>
  <c r="F518" i="12" s="1"/>
  <c r="F519" i="12" s="1"/>
  <c r="F520" i="12" s="1"/>
  <c r="F521" i="12" s="1"/>
  <c r="F522" i="12" s="1"/>
  <c r="F523" i="12" s="1"/>
  <c r="F524" i="12" s="1"/>
  <c r="F525" i="12" s="1"/>
  <c r="F526" i="12" s="1"/>
  <c r="F527" i="12" s="1"/>
  <c r="F528" i="12" s="1"/>
  <c r="F529" i="12" s="1"/>
  <c r="F530" i="12" s="1"/>
  <c r="F531" i="12" s="1"/>
  <c r="F532" i="12" s="1"/>
  <c r="F533" i="12" s="1"/>
  <c r="F534" i="12" s="1"/>
  <c r="F535" i="12" s="1"/>
  <c r="F536" i="12" s="1"/>
  <c r="F537" i="12" s="1"/>
  <c r="F538" i="12" s="1"/>
  <c r="F539" i="12" s="1"/>
  <c r="F540" i="12" s="1"/>
  <c r="F541" i="12" s="1"/>
  <c r="F542" i="12" s="1"/>
  <c r="F543" i="12" s="1"/>
  <c r="F544" i="12" s="1"/>
  <c r="F545" i="12" s="1"/>
  <c r="F546" i="12" s="1"/>
  <c r="F547" i="12" s="1"/>
  <c r="F548" i="12" s="1"/>
  <c r="F549" i="12" s="1"/>
  <c r="F550" i="12" s="1"/>
  <c r="F551" i="12" s="1"/>
  <c r="F552" i="12" s="1"/>
  <c r="F553" i="12" s="1"/>
  <c r="F554" i="12" s="1"/>
  <c r="F555" i="12" s="1"/>
  <c r="F556" i="12" s="1"/>
  <c r="F557" i="12" s="1"/>
  <c r="F558" i="12" s="1"/>
  <c r="F559" i="12" s="1"/>
  <c r="F560" i="12" s="1"/>
  <c r="F561" i="12" s="1"/>
  <c r="F562" i="12" s="1"/>
  <c r="F563" i="12" s="1"/>
  <c r="F564" i="12" s="1"/>
  <c r="F565" i="12" s="1"/>
  <c r="F566" i="12" s="1"/>
  <c r="F567" i="12" s="1"/>
  <c r="F568" i="12" s="1"/>
  <c r="F569" i="12" s="1"/>
  <c r="F570" i="12" s="1"/>
  <c r="F571" i="12" s="1"/>
  <c r="F572" i="12" s="1"/>
  <c r="F573" i="12" s="1"/>
  <c r="F574" i="12" s="1"/>
  <c r="F575" i="12" s="1"/>
  <c r="F576" i="12" s="1"/>
  <c r="F577" i="12" s="1"/>
  <c r="F578" i="12" s="1"/>
  <c r="F579" i="12" s="1"/>
  <c r="F580" i="12" s="1"/>
  <c r="F581" i="12" s="1"/>
  <c r="F582" i="12" s="1"/>
  <c r="F583" i="12" s="1"/>
  <c r="F584" i="12" s="1"/>
  <c r="F585" i="12" s="1"/>
  <c r="F586" i="12" s="1"/>
  <c r="F587" i="12" s="1"/>
  <c r="F588" i="12" s="1"/>
  <c r="F589" i="12" s="1"/>
  <c r="F590" i="12" s="1"/>
  <c r="F591" i="12" s="1"/>
  <c r="F592" i="12" s="1"/>
  <c r="F593" i="12" s="1"/>
  <c r="F594" i="12" s="1"/>
  <c r="F595" i="12" s="1"/>
  <c r="F596" i="12" s="1"/>
  <c r="F597" i="12" s="1"/>
  <c r="F598" i="12" s="1"/>
  <c r="F599" i="12" s="1"/>
  <c r="F600" i="12" s="1"/>
  <c r="F601" i="12" s="1"/>
  <c r="F602" i="12" s="1"/>
  <c r="F603" i="12" s="1"/>
  <c r="F604" i="12" s="1"/>
  <c r="F605" i="12" s="1"/>
  <c r="F606" i="12" s="1"/>
  <c r="F607" i="12" s="1"/>
  <c r="F608" i="12" s="1"/>
  <c r="F609" i="12" s="1"/>
  <c r="F610" i="12" s="1"/>
  <c r="F611" i="12" s="1"/>
  <c r="F612" i="12" s="1"/>
  <c r="F613" i="12" s="1"/>
  <c r="F614" i="12" s="1"/>
  <c r="F615" i="12" s="1"/>
  <c r="F616" i="12" s="1"/>
  <c r="F617" i="12" s="1"/>
  <c r="F618" i="12" s="1"/>
  <c r="F619" i="12" s="1"/>
  <c r="F620" i="12" s="1"/>
  <c r="F621" i="12" s="1"/>
  <c r="F622" i="12" s="1"/>
  <c r="F623" i="12" s="1"/>
  <c r="F624" i="12" s="1"/>
  <c r="F625" i="12" s="1"/>
  <c r="F626" i="12" s="1"/>
  <c r="F627" i="12" s="1"/>
  <c r="F628" i="12" s="1"/>
  <c r="F629" i="12" s="1"/>
  <c r="F630" i="12" s="1"/>
  <c r="F631" i="12" s="1"/>
  <c r="F632" i="12" s="1"/>
  <c r="F633" i="12" s="1"/>
  <c r="F634" i="12" s="1"/>
  <c r="F635" i="12" s="1"/>
  <c r="F636" i="12" s="1"/>
  <c r="F637" i="12" s="1"/>
  <c r="F638" i="12" s="1"/>
  <c r="F639" i="12" s="1"/>
  <c r="F640" i="12" s="1"/>
  <c r="F641" i="12" s="1"/>
  <c r="F642" i="12" s="1"/>
  <c r="F643" i="12" s="1"/>
  <c r="F644" i="12" s="1"/>
  <c r="F645" i="12" s="1"/>
  <c r="F646" i="12" s="1"/>
  <c r="F647" i="12" s="1"/>
  <c r="F648" i="12" s="1"/>
  <c r="F649" i="12" s="1"/>
  <c r="F650" i="12" s="1"/>
  <c r="F651" i="12" s="1"/>
  <c r="F652" i="12" s="1"/>
  <c r="F653" i="12" s="1"/>
  <c r="F654" i="12" s="1"/>
  <c r="F655" i="12" s="1"/>
  <c r="F656" i="12" s="1"/>
  <c r="F657" i="12" s="1"/>
  <c r="F658" i="12" s="1"/>
  <c r="F659" i="12" s="1"/>
  <c r="F660" i="12" s="1"/>
  <c r="F661" i="12" s="1"/>
  <c r="F662" i="12" s="1"/>
  <c r="F663" i="12" s="1"/>
  <c r="F664" i="12" s="1"/>
  <c r="F665" i="12" s="1"/>
  <c r="F666" i="12" s="1"/>
  <c r="F667" i="12" s="1"/>
  <c r="F668" i="12" s="1"/>
  <c r="F669" i="12" s="1"/>
  <c r="F670" i="12" s="1"/>
  <c r="F671" i="12" s="1"/>
  <c r="F672" i="12" s="1"/>
  <c r="F673" i="12" s="1"/>
  <c r="F674" i="12" s="1"/>
  <c r="F675" i="12" s="1"/>
  <c r="F676" i="12" s="1"/>
  <c r="F677" i="12" s="1"/>
  <c r="F678" i="12" s="1"/>
  <c r="F679" i="12" s="1"/>
  <c r="F680" i="12" s="1"/>
  <c r="F681" i="12" s="1"/>
  <c r="F682" i="12" s="1"/>
  <c r="F683" i="12" s="1"/>
  <c r="F684" i="12" s="1"/>
  <c r="F685" i="12" s="1"/>
  <c r="F686" i="12" s="1"/>
  <c r="F687" i="12" s="1"/>
  <c r="F688" i="12" s="1"/>
  <c r="F689" i="12" s="1"/>
  <c r="F690" i="12" s="1"/>
  <c r="F691" i="12" s="1"/>
  <c r="F692" i="12" s="1"/>
  <c r="F693" i="12" s="1"/>
  <c r="F694" i="12" s="1"/>
  <c r="F695" i="12" s="1"/>
  <c r="F696" i="12" s="1"/>
  <c r="F697" i="12" s="1"/>
  <c r="F698" i="12" s="1"/>
  <c r="F699" i="12" s="1"/>
  <c r="F700" i="12" s="1"/>
  <c r="F701" i="12" s="1"/>
  <c r="F702" i="12" s="1"/>
  <c r="F703" i="12" s="1"/>
  <c r="F704" i="12" s="1"/>
  <c r="F705" i="12" s="1"/>
  <c r="F706" i="12" s="1"/>
  <c r="F707" i="12" s="1"/>
  <c r="F708" i="12" s="1"/>
  <c r="F709" i="12" s="1"/>
  <c r="F710" i="12" s="1"/>
  <c r="F711" i="12" s="1"/>
  <c r="F712" i="12" s="1"/>
  <c r="F713" i="12" s="1"/>
  <c r="F714" i="12" s="1"/>
  <c r="F715" i="12" s="1"/>
  <c r="F716" i="12" s="1"/>
  <c r="F717" i="12" s="1"/>
  <c r="F718" i="12" s="1"/>
  <c r="F719" i="12" s="1"/>
  <c r="F720" i="12" s="1"/>
  <c r="F721" i="12" s="1"/>
  <c r="F722" i="12" s="1"/>
  <c r="F723" i="12" s="1"/>
  <c r="F724" i="12" s="1"/>
  <c r="F725" i="12" s="1"/>
  <c r="F726" i="12" s="1"/>
  <c r="F727" i="12" s="1"/>
  <c r="F728" i="12" s="1"/>
  <c r="F729" i="12" s="1"/>
  <c r="F730" i="12" s="1"/>
  <c r="F731" i="12" s="1"/>
  <c r="F732" i="12" s="1"/>
  <c r="F733" i="12" s="1"/>
  <c r="F734" i="12" s="1"/>
  <c r="F735" i="12" s="1"/>
  <c r="F736" i="12" s="1"/>
  <c r="F737" i="12" s="1"/>
  <c r="F738" i="12" s="1"/>
  <c r="F739" i="12" s="1"/>
  <c r="F740" i="12" s="1"/>
  <c r="F741" i="12" s="1"/>
  <c r="F742" i="12" s="1"/>
  <c r="F743" i="12" s="1"/>
  <c r="F744" i="12" s="1"/>
  <c r="F745" i="12" s="1"/>
  <c r="F746" i="12" s="1"/>
  <c r="F747" i="12" s="1"/>
  <c r="F748" i="12" s="1"/>
  <c r="F749" i="12" s="1"/>
  <c r="F750" i="12" s="1"/>
  <c r="F751" i="12" s="1"/>
  <c r="F752" i="12" s="1"/>
  <c r="F753" i="12" s="1"/>
  <c r="F754" i="12" s="1"/>
  <c r="F755" i="12" s="1"/>
  <c r="F756" i="12" s="1"/>
  <c r="F757" i="12" s="1"/>
  <c r="F758" i="12" s="1"/>
  <c r="F759" i="12" s="1"/>
  <c r="F760" i="12" s="1"/>
  <c r="F761" i="12" s="1"/>
  <c r="F762" i="12" s="1"/>
  <c r="F763" i="12" s="1"/>
  <c r="F764" i="12" s="1"/>
  <c r="F765" i="12" s="1"/>
  <c r="F766" i="12" s="1"/>
  <c r="F767" i="12" s="1"/>
  <c r="F768" i="12" s="1"/>
  <c r="F769" i="12" s="1"/>
  <c r="F770" i="12" s="1"/>
  <c r="F771" i="12" s="1"/>
  <c r="F772" i="12" s="1"/>
  <c r="F773" i="12" s="1"/>
  <c r="F774" i="12" s="1"/>
  <c r="F775" i="12" s="1"/>
  <c r="F776" i="12" s="1"/>
  <c r="F777" i="12" s="1"/>
  <c r="F778" i="12" s="1"/>
  <c r="F779" i="12" s="1"/>
  <c r="F780" i="12" s="1"/>
  <c r="F781" i="12" s="1"/>
  <c r="F782" i="12" s="1"/>
  <c r="F783" i="12" s="1"/>
  <c r="F784" i="12" s="1"/>
  <c r="F785" i="12" s="1"/>
  <c r="F786" i="12" s="1"/>
  <c r="F787" i="12" s="1"/>
  <c r="F788" i="12" s="1"/>
  <c r="F789" i="12" s="1"/>
  <c r="F790" i="12" s="1"/>
  <c r="F791" i="12" s="1"/>
  <c r="F792" i="12" s="1"/>
  <c r="F793" i="12" s="1"/>
  <c r="F794" i="12" s="1"/>
  <c r="F795" i="12" s="1"/>
  <c r="F796" i="12" s="1"/>
  <c r="F797" i="12" s="1"/>
  <c r="F798" i="12" s="1"/>
  <c r="F799" i="12" s="1"/>
  <c r="F800" i="12" s="1"/>
  <c r="F801" i="12" s="1"/>
  <c r="F802" i="12" s="1"/>
  <c r="F803" i="12" s="1"/>
  <c r="F804" i="12" s="1"/>
  <c r="F805" i="12" s="1"/>
  <c r="F806" i="12" s="1"/>
  <c r="F807" i="12" s="1"/>
  <c r="F808" i="12" s="1"/>
  <c r="F809" i="12" s="1"/>
  <c r="F810" i="12" s="1"/>
  <c r="F811" i="12" s="1"/>
  <c r="F812" i="12" s="1"/>
  <c r="F813" i="12" s="1"/>
  <c r="F814" i="12" s="1"/>
  <c r="F815" i="12" s="1"/>
  <c r="F816" i="12" s="1"/>
  <c r="F817" i="12" s="1"/>
  <c r="F818" i="12" s="1"/>
  <c r="F819" i="12" s="1"/>
  <c r="F820" i="12" s="1"/>
  <c r="F821" i="12" s="1"/>
  <c r="F822" i="12" s="1"/>
  <c r="F823" i="12" s="1"/>
  <c r="F824" i="12" s="1"/>
  <c r="F825" i="12" s="1"/>
  <c r="F826" i="12" s="1"/>
  <c r="F827" i="12" s="1"/>
  <c r="F828" i="12" s="1"/>
  <c r="F829" i="12" s="1"/>
  <c r="F830" i="12" s="1"/>
  <c r="F831" i="12" s="1"/>
  <c r="F832" i="12" s="1"/>
  <c r="F833" i="12" s="1"/>
  <c r="F834" i="12" s="1"/>
  <c r="F835" i="12" s="1"/>
  <c r="F836" i="12" s="1"/>
  <c r="F837" i="12" s="1"/>
  <c r="F838" i="12" s="1"/>
  <c r="F839" i="12" s="1"/>
  <c r="F840" i="12" s="1"/>
  <c r="F841" i="12" s="1"/>
  <c r="F842" i="12" s="1"/>
  <c r="F843" i="12" s="1"/>
  <c r="F844" i="12" s="1"/>
  <c r="F845" i="12" s="1"/>
  <c r="F846" i="12" s="1"/>
  <c r="F847" i="12" s="1"/>
  <c r="F848" i="12" s="1"/>
  <c r="F849" i="12" s="1"/>
  <c r="F850" i="12" s="1"/>
  <c r="F851" i="12" s="1"/>
  <c r="F852" i="12" s="1"/>
  <c r="F853" i="12" s="1"/>
  <c r="F854" i="12" s="1"/>
  <c r="F855" i="12" s="1"/>
  <c r="F856" i="12" s="1"/>
  <c r="F857" i="12" s="1"/>
  <c r="F858" i="12" s="1"/>
  <c r="F859" i="12" s="1"/>
  <c r="F860" i="12" s="1"/>
  <c r="F861" i="12" s="1"/>
  <c r="F862" i="12" s="1"/>
  <c r="F863" i="12" s="1"/>
  <c r="F864" i="12" s="1"/>
  <c r="F865" i="12" s="1"/>
  <c r="F866" i="12" s="1"/>
  <c r="F867" i="12" s="1"/>
  <c r="F868" i="12" s="1"/>
  <c r="F869" i="12" s="1"/>
  <c r="F870" i="12" s="1"/>
  <c r="F871" i="12" s="1"/>
  <c r="F872" i="12" s="1"/>
  <c r="F873" i="12" s="1"/>
  <c r="F874" i="12" s="1"/>
  <c r="F875" i="12" s="1"/>
  <c r="F876" i="12" s="1"/>
  <c r="F877" i="12" s="1"/>
  <c r="F878" i="12" s="1"/>
  <c r="F879" i="12" s="1"/>
  <c r="F880" i="12" s="1"/>
  <c r="F881" i="12" s="1"/>
  <c r="F882" i="12" s="1"/>
  <c r="F883" i="12" s="1"/>
  <c r="F884" i="12" s="1"/>
  <c r="F885" i="12" s="1"/>
  <c r="F886" i="12" s="1"/>
  <c r="F887" i="12" s="1"/>
  <c r="F888" i="12" s="1"/>
  <c r="F889" i="12" s="1"/>
  <c r="F890" i="12" s="1"/>
  <c r="F891" i="12" s="1"/>
  <c r="F892" i="12" s="1"/>
  <c r="F893" i="12" s="1"/>
  <c r="F894" i="12" s="1"/>
  <c r="F895" i="12" s="1"/>
  <c r="F896" i="12" s="1"/>
  <c r="F897" i="12" s="1"/>
  <c r="F898" i="12" s="1"/>
  <c r="F899" i="12" s="1"/>
  <c r="F900" i="12" s="1"/>
  <c r="F901" i="12" s="1"/>
  <c r="F902" i="12" s="1"/>
  <c r="F903" i="12" s="1"/>
  <c r="F904" i="12" s="1"/>
  <c r="F905" i="12" s="1"/>
  <c r="F906" i="12" s="1"/>
  <c r="F907" i="12" s="1"/>
  <c r="F908" i="12" s="1"/>
  <c r="F909" i="12" s="1"/>
  <c r="F910" i="12" s="1"/>
  <c r="F911" i="12" s="1"/>
  <c r="F912" i="12" s="1"/>
  <c r="F913" i="12" s="1"/>
  <c r="F914" i="12" s="1"/>
  <c r="F915" i="12" s="1"/>
  <c r="F916" i="12" s="1"/>
  <c r="F917" i="12" s="1"/>
  <c r="F918" i="12" s="1"/>
  <c r="F919" i="12" s="1"/>
  <c r="F920" i="12" s="1"/>
  <c r="F921" i="12" s="1"/>
  <c r="F922" i="12" s="1"/>
  <c r="F923" i="12" s="1"/>
  <c r="F924" i="12" s="1"/>
  <c r="F925" i="12" s="1"/>
  <c r="F926" i="12" s="1"/>
  <c r="F927" i="12" s="1"/>
  <c r="F928" i="12" s="1"/>
  <c r="F929" i="12" s="1"/>
  <c r="F930" i="12" s="1"/>
  <c r="F931" i="12" s="1"/>
  <c r="F932" i="12" s="1"/>
  <c r="F933" i="12" s="1"/>
  <c r="F934" i="12" s="1"/>
  <c r="F935" i="12" s="1"/>
  <c r="F936" i="12" s="1"/>
  <c r="F937" i="12" s="1"/>
  <c r="F938" i="12" s="1"/>
  <c r="F939" i="12" s="1"/>
  <c r="F940" i="12" s="1"/>
  <c r="F941" i="12" s="1"/>
  <c r="F942" i="12" s="1"/>
  <c r="F943" i="12" s="1"/>
  <c r="F944" i="12" s="1"/>
  <c r="F945" i="12" s="1"/>
  <c r="F946" i="12" s="1"/>
  <c r="F947" i="12" s="1"/>
  <c r="F948" i="12" s="1"/>
  <c r="F949" i="12" s="1"/>
  <c r="F950" i="12" s="1"/>
  <c r="F951" i="12" s="1"/>
  <c r="F952" i="12" s="1"/>
  <c r="F953" i="12" s="1"/>
  <c r="F954" i="12" s="1"/>
  <c r="F955" i="12" s="1"/>
  <c r="F956" i="12" s="1"/>
  <c r="F957" i="12" s="1"/>
  <c r="F958" i="12" s="1"/>
  <c r="F959" i="12" s="1"/>
  <c r="F960" i="12" s="1"/>
  <c r="F961" i="12" s="1"/>
  <c r="F962" i="12" s="1"/>
  <c r="F963" i="12" s="1"/>
  <c r="F964" i="12" s="1"/>
  <c r="F965" i="12" s="1"/>
  <c r="F966" i="12" s="1"/>
  <c r="F967" i="12" s="1"/>
  <c r="F968" i="12" s="1"/>
  <c r="F969" i="12" s="1"/>
  <c r="F970" i="12" s="1"/>
  <c r="F971" i="12" s="1"/>
  <c r="F972" i="12" s="1"/>
  <c r="F973" i="12" s="1"/>
  <c r="F974" i="12" s="1"/>
  <c r="F975" i="12" s="1"/>
  <c r="F976" i="12" s="1"/>
  <c r="F977" i="12" s="1"/>
  <c r="F978" i="12" s="1"/>
  <c r="F979" i="12" s="1"/>
  <c r="F980" i="12" s="1"/>
  <c r="F981" i="12" s="1"/>
  <c r="F982" i="12" s="1"/>
  <c r="F983" i="12" s="1"/>
  <c r="F984" i="12" s="1"/>
  <c r="F985" i="12" s="1"/>
  <c r="F986" i="12" s="1"/>
  <c r="F987" i="12" s="1"/>
  <c r="F988" i="12" s="1"/>
  <c r="F989" i="12" s="1"/>
  <c r="F990" i="12" s="1"/>
  <c r="F991" i="12" s="1"/>
  <c r="F992" i="12" s="1"/>
  <c r="F993" i="12" s="1"/>
  <c r="F994" i="12" s="1"/>
  <c r="F995" i="12" s="1"/>
  <c r="F996" i="12" s="1"/>
  <c r="F997" i="12" s="1"/>
  <c r="F998" i="12" s="1"/>
  <c r="F999" i="12" s="1"/>
  <c r="F1000" i="12" s="1"/>
  <c r="F1001" i="12" s="1"/>
  <c r="F1002" i="12" s="1"/>
  <c r="F1003" i="12" s="1"/>
  <c r="F1004" i="12" s="1"/>
  <c r="F1005" i="12" s="1"/>
  <c r="F1006" i="12" s="1"/>
  <c r="F1007" i="12" s="1"/>
  <c r="F1008" i="12" s="1"/>
  <c r="F1009" i="12" s="1"/>
  <c r="F1010" i="12" s="1"/>
  <c r="F1011" i="12" s="1"/>
  <c r="F1012" i="12" s="1"/>
  <c r="F1013" i="12" s="1"/>
  <c r="F1014" i="12" s="1"/>
  <c r="F1015" i="12" s="1"/>
  <c r="F1016" i="12" s="1"/>
  <c r="F1017" i="12" s="1"/>
  <c r="F1018" i="12" s="1"/>
  <c r="F1019" i="12" s="1"/>
  <c r="F1020" i="12" s="1"/>
  <c r="F1021" i="12" s="1"/>
  <c r="F1022" i="12" s="1"/>
  <c r="F1023" i="12" s="1"/>
  <c r="F1024" i="12" s="1"/>
  <c r="F1025" i="12" s="1"/>
  <c r="F1026" i="12" s="1"/>
  <c r="F1027" i="12" s="1"/>
  <c r="F1028" i="12" s="1"/>
  <c r="F1029" i="12" s="1"/>
  <c r="F1030" i="12" s="1"/>
  <c r="F1031" i="12" s="1"/>
  <c r="F1032" i="12" s="1"/>
  <c r="F1033" i="12" s="1"/>
  <c r="F1034" i="12" s="1"/>
  <c r="F1035" i="12" s="1"/>
  <c r="F1036" i="12" s="1"/>
  <c r="F1037" i="12" s="1"/>
  <c r="F1038" i="12" s="1"/>
  <c r="F1039" i="12" s="1"/>
  <c r="F1040" i="12" s="1"/>
  <c r="F1041" i="12" s="1"/>
  <c r="F1042" i="12" s="1"/>
  <c r="F1043" i="12" s="1"/>
  <c r="F1044" i="12" s="1"/>
  <c r="F1045" i="12" s="1"/>
  <c r="F1046" i="12" s="1"/>
  <c r="F1047" i="12" s="1"/>
  <c r="F1048" i="12" s="1"/>
  <c r="F1049" i="12" s="1"/>
  <c r="F1050" i="12" s="1"/>
  <c r="F1051" i="12" s="1"/>
  <c r="F1052" i="12" s="1"/>
  <c r="F1053" i="12" s="1"/>
  <c r="F1054" i="12" s="1"/>
  <c r="F1055" i="12" s="1"/>
  <c r="F1056" i="12" s="1"/>
  <c r="F1057" i="12" s="1"/>
  <c r="F1058" i="12" s="1"/>
  <c r="F1059" i="12" s="1"/>
  <c r="F1060" i="12" s="1"/>
  <c r="F1061" i="12" s="1"/>
  <c r="F1062" i="12" s="1"/>
  <c r="F1063" i="12" s="1"/>
  <c r="F1064" i="12" s="1"/>
  <c r="F1065" i="12" s="1"/>
  <c r="F1066" i="12" s="1"/>
  <c r="F1067" i="12" s="1"/>
  <c r="F1068" i="12" s="1"/>
  <c r="F1069" i="12" s="1"/>
  <c r="F1070" i="12" s="1"/>
  <c r="F1071" i="12" s="1"/>
  <c r="F1072" i="12" s="1"/>
  <c r="F1073" i="12" s="1"/>
  <c r="F1074" i="12" s="1"/>
  <c r="F1075" i="12" s="1"/>
  <c r="F1076" i="12" s="1"/>
  <c r="F1077" i="12" s="1"/>
  <c r="F1078" i="12" s="1"/>
  <c r="F1079" i="12" s="1"/>
  <c r="F1080" i="12" s="1"/>
  <c r="F1081" i="12" s="1"/>
  <c r="F1082" i="12" s="1"/>
  <c r="F1083" i="12" s="1"/>
  <c r="F1084" i="12" s="1"/>
  <c r="F1085" i="12" s="1"/>
  <c r="F1086" i="12" s="1"/>
  <c r="F1087" i="12" s="1"/>
  <c r="F1088" i="12" s="1"/>
  <c r="F1089" i="12" s="1"/>
  <c r="F1090" i="12" s="1"/>
  <c r="F1091" i="12" s="1"/>
  <c r="F1092" i="12" s="1"/>
  <c r="F1093" i="12" s="1"/>
  <c r="F1094" i="12" s="1"/>
  <c r="F1095" i="12" s="1"/>
  <c r="F1096" i="12" s="1"/>
  <c r="F1097" i="12" s="1"/>
  <c r="F1098" i="12" s="1"/>
  <c r="F1099" i="12" s="1"/>
  <c r="F1100" i="12" s="1"/>
  <c r="F1101" i="12" s="1"/>
  <c r="F1102" i="12" s="1"/>
  <c r="F1103" i="12" s="1"/>
  <c r="F1104" i="12" s="1"/>
  <c r="F1105" i="12" s="1"/>
  <c r="F1106" i="12" s="1"/>
  <c r="F1107" i="12" s="1"/>
  <c r="F1108" i="12" s="1"/>
  <c r="F1109" i="12" s="1"/>
  <c r="F1110" i="12" s="1"/>
  <c r="F1111" i="12" s="1"/>
  <c r="F1112" i="12" s="1"/>
  <c r="F1113" i="12" s="1"/>
  <c r="F1114" i="12" s="1"/>
  <c r="F1115" i="12" s="1"/>
  <c r="F1116" i="12" s="1"/>
  <c r="F1117" i="12" s="1"/>
  <c r="F1118" i="12" s="1"/>
  <c r="F1119" i="12" s="1"/>
  <c r="F1120" i="12" s="1"/>
  <c r="F1121" i="12" s="1"/>
  <c r="F1122" i="12" s="1"/>
  <c r="F1123" i="12" s="1"/>
  <c r="F1124" i="12" s="1"/>
  <c r="F1125" i="12" s="1"/>
  <c r="F1126" i="12" s="1"/>
  <c r="F1127" i="12" s="1"/>
  <c r="F1128" i="12" s="1"/>
  <c r="F1129" i="12" s="1"/>
  <c r="F1130" i="12" s="1"/>
  <c r="F1131" i="12" s="1"/>
  <c r="F1132" i="12" s="1"/>
  <c r="F1133" i="12" s="1"/>
  <c r="F1134" i="12" s="1"/>
  <c r="F1135" i="12" s="1"/>
  <c r="F1136" i="12" s="1"/>
  <c r="F1137" i="12" s="1"/>
  <c r="F1138" i="12" s="1"/>
  <c r="F1139" i="12" s="1"/>
  <c r="F1140" i="12" s="1"/>
  <c r="F1141" i="12" s="1"/>
  <c r="F1142" i="12" s="1"/>
  <c r="F1143" i="12" s="1"/>
  <c r="F1144" i="12" s="1"/>
  <c r="F1145" i="12" s="1"/>
  <c r="F1146" i="12" s="1"/>
  <c r="F1147" i="12" s="1"/>
  <c r="F1148" i="12" s="1"/>
  <c r="F1149" i="12" s="1"/>
  <c r="F1150" i="12" s="1"/>
  <c r="F1151" i="12" s="1"/>
  <c r="F1152" i="12" s="1"/>
  <c r="F1153" i="12" s="1"/>
  <c r="F1154" i="12" s="1"/>
  <c r="F1155" i="12" s="1"/>
  <c r="F1156" i="12" s="1"/>
  <c r="F1157" i="12" s="1"/>
  <c r="F1158" i="12" s="1"/>
  <c r="F1159" i="12" s="1"/>
  <c r="F1160" i="12" s="1"/>
  <c r="F1161" i="12" s="1"/>
  <c r="F1162" i="12" s="1"/>
  <c r="F1163" i="12" s="1"/>
  <c r="F1164" i="12" s="1"/>
  <c r="F1165" i="12" s="1"/>
  <c r="F1166" i="12" s="1"/>
  <c r="F1167" i="12" s="1"/>
  <c r="F1168" i="12" s="1"/>
  <c r="F1169" i="12" s="1"/>
  <c r="F1170" i="12" s="1"/>
  <c r="F1171" i="12" s="1"/>
  <c r="F1172" i="12" s="1"/>
  <c r="F1173" i="12" s="1"/>
  <c r="F1174" i="12" s="1"/>
  <c r="F1175" i="12" s="1"/>
  <c r="F1176" i="12" s="1"/>
  <c r="F1177" i="12" s="1"/>
  <c r="F1178" i="12" s="1"/>
  <c r="G368" i="12" s="1"/>
  <c r="D12" i="12"/>
  <c r="C11" i="12"/>
  <c r="G88" i="12" l="1"/>
  <c r="G1107" i="12"/>
  <c r="G179" i="12"/>
  <c r="G886" i="12"/>
  <c r="G824" i="12"/>
  <c r="G932" i="12"/>
  <c r="G204" i="12"/>
  <c r="G1054" i="12"/>
  <c r="G939" i="12"/>
  <c r="G1012" i="12"/>
  <c r="G511" i="12"/>
  <c r="G617" i="12"/>
  <c r="G255" i="12"/>
  <c r="G628" i="12"/>
  <c r="G737" i="12"/>
  <c r="G457" i="12"/>
  <c r="G186" i="12"/>
  <c r="G377" i="12"/>
  <c r="G620" i="12"/>
  <c r="G782" i="12"/>
  <c r="G802" i="12"/>
  <c r="G738" i="12"/>
  <c r="G717" i="12"/>
  <c r="G374" i="12"/>
  <c r="G882" i="12"/>
  <c r="G230" i="12"/>
  <c r="G105" i="12"/>
  <c r="G808" i="12"/>
  <c r="G517" i="12"/>
  <c r="G137" i="12"/>
  <c r="G842" i="12"/>
  <c r="G163" i="12"/>
  <c r="G930" i="12"/>
  <c r="G771" i="12"/>
  <c r="G688" i="12"/>
  <c r="G607" i="12"/>
  <c r="G996" i="12"/>
  <c r="G1139" i="12"/>
  <c r="G859" i="12"/>
  <c r="G911" i="12"/>
  <c r="G262" i="12"/>
  <c r="G862" i="12"/>
  <c r="G632" i="12"/>
  <c r="G731" i="12"/>
  <c r="G122" i="12"/>
  <c r="G951" i="12"/>
  <c r="G721" i="12"/>
  <c r="G291" i="12"/>
  <c r="G1142" i="12"/>
  <c r="G656" i="12"/>
  <c r="G284" i="12"/>
  <c r="G412" i="12"/>
  <c r="G1127" i="12"/>
  <c r="G261" i="12"/>
  <c r="G1172" i="12"/>
  <c r="G143" i="12"/>
  <c r="G545" i="12"/>
  <c r="G668" i="12"/>
  <c r="G645" i="12"/>
  <c r="G124" i="12"/>
  <c r="G847" i="12"/>
  <c r="G907" i="12"/>
  <c r="G17" i="12"/>
  <c r="G962" i="12"/>
  <c r="G39" i="12"/>
  <c r="G982" i="12"/>
  <c r="G358" i="12"/>
  <c r="G1169" i="12"/>
  <c r="G321" i="12"/>
  <c r="G915" i="12"/>
  <c r="G207" i="12"/>
  <c r="G1052" i="12"/>
  <c r="G848" i="12"/>
  <c r="G1131" i="12"/>
  <c r="G1081" i="12"/>
  <c r="G492" i="12"/>
  <c r="G809" i="12"/>
  <c r="G590" i="12"/>
  <c r="G974" i="12"/>
  <c r="G470" i="12"/>
  <c r="G791" i="12"/>
  <c r="G133" i="12"/>
  <c r="G248" i="12"/>
  <c r="G1001" i="12"/>
  <c r="G705" i="12"/>
  <c r="G638" i="12"/>
  <c r="G416" i="12"/>
  <c r="G786" i="12"/>
  <c r="G1078" i="12"/>
  <c r="G292" i="12"/>
  <c r="G1040" i="12"/>
  <c r="G614" i="12"/>
  <c r="G825" i="12"/>
  <c r="G254" i="12"/>
  <c r="G466" i="12"/>
  <c r="G938" i="12"/>
  <c r="G337" i="12"/>
  <c r="G736" i="12"/>
  <c r="G863" i="12"/>
  <c r="G225" i="12"/>
  <c r="G394" i="12"/>
  <c r="G957" i="12"/>
  <c r="G1135" i="12"/>
  <c r="G151" i="12"/>
  <c r="G386" i="12"/>
  <c r="G888" i="12"/>
  <c r="G921" i="12"/>
  <c r="G609" i="12"/>
  <c r="G497" i="12"/>
  <c r="G32" i="12"/>
  <c r="G357" i="12"/>
  <c r="G967" i="12"/>
  <c r="G107" i="12"/>
  <c r="G453" i="12"/>
  <c r="G178" i="12"/>
  <c r="G128" i="12"/>
  <c r="G161" i="12"/>
  <c r="G1014" i="12"/>
  <c r="G50" i="12"/>
  <c r="G232" i="12"/>
  <c r="G583" i="12"/>
  <c r="G589" i="12"/>
  <c r="G650" i="12"/>
  <c r="G535" i="12"/>
  <c r="G827" i="12"/>
  <c r="G639" i="12"/>
  <c r="G84" i="12"/>
  <c r="G74" i="12"/>
  <c r="G341" i="12"/>
  <c r="G110" i="12"/>
  <c r="G969" i="12"/>
  <c r="G685" i="12"/>
  <c r="G245" i="12"/>
  <c r="G575" i="12"/>
  <c r="G619" i="12"/>
  <c r="G1093" i="12"/>
  <c r="G845" i="12"/>
  <c r="G641" i="12"/>
  <c r="G450" i="12"/>
  <c r="G288" i="12"/>
  <c r="G13" i="12"/>
  <c r="G53" i="12"/>
  <c r="G425" i="12"/>
  <c r="G166" i="12"/>
  <c r="G694" i="12"/>
  <c r="G165" i="12"/>
  <c r="G488" i="12"/>
  <c r="G346" i="12"/>
  <c r="G304" i="12"/>
  <c r="G1053" i="12"/>
  <c r="G61" i="12"/>
  <c r="G505" i="12"/>
  <c r="G725" i="12"/>
  <c r="G716" i="12"/>
  <c r="G1161" i="12"/>
  <c r="G838" i="12"/>
  <c r="G950" i="12"/>
  <c r="G428" i="12"/>
  <c r="G390" i="12"/>
  <c r="G980" i="12"/>
  <c r="G285" i="12"/>
  <c r="G393" i="12"/>
  <c r="G846" i="12"/>
  <c r="G379" i="12"/>
  <c r="G38" i="12"/>
  <c r="G981" i="12"/>
  <c r="G138" i="12"/>
  <c r="G593" i="12"/>
  <c r="G184" i="12"/>
  <c r="G7" i="12"/>
  <c r="G305" i="12"/>
  <c r="G277" i="12"/>
  <c r="G356" i="12"/>
  <c r="G1130" i="12"/>
  <c r="G1134" i="12"/>
  <c r="G884" i="12"/>
  <c r="G158" i="12"/>
  <c r="G239" i="12"/>
  <c r="G760" i="12"/>
  <c r="G314" i="12"/>
  <c r="G446" i="12"/>
  <c r="G90" i="12"/>
  <c r="G909" i="12"/>
  <c r="G604" i="12"/>
  <c r="G671" i="12"/>
  <c r="G423" i="12"/>
  <c r="G318" i="12"/>
  <c r="G280" i="12"/>
  <c r="G700" i="12"/>
  <c r="G316" i="12"/>
  <c r="G401" i="12"/>
  <c r="G196" i="12"/>
  <c r="G190" i="12"/>
  <c r="G182" i="12"/>
  <c r="G835" i="12"/>
  <c r="G973" i="12"/>
  <c r="G923" i="12"/>
  <c r="G749" i="12"/>
  <c r="G743" i="12"/>
  <c r="G931" i="12"/>
  <c r="G670" i="12"/>
  <c r="G621" i="12"/>
  <c r="G1178" i="12"/>
  <c r="G351" i="12"/>
  <c r="G18" i="12"/>
  <c r="G852" i="12"/>
  <c r="G878" i="12"/>
  <c r="G252" i="12"/>
  <c r="G413" i="12"/>
  <c r="G574" i="12"/>
  <c r="G146" i="12"/>
  <c r="G810" i="12"/>
  <c r="G476" i="12"/>
  <c r="G80" i="12"/>
  <c r="G710" i="12"/>
  <c r="G720" i="12"/>
  <c r="G822" i="12"/>
  <c r="G181" i="12"/>
  <c r="G301" i="12"/>
  <c r="G353" i="12"/>
  <c r="G297" i="12"/>
  <c r="G922" i="12"/>
  <c r="G135" i="12"/>
  <c r="G872" i="12"/>
  <c r="G953" i="12"/>
  <c r="G1048" i="12"/>
  <c r="G673" i="12"/>
  <c r="G46" i="12"/>
  <c r="G1035" i="12"/>
  <c r="G706" i="12"/>
  <c r="G1117" i="12"/>
  <c r="G559" i="12"/>
  <c r="G601" i="12"/>
  <c r="G308" i="12"/>
  <c r="G600" i="12"/>
  <c r="G433" i="12"/>
  <c r="G281" i="12"/>
  <c r="G295" i="12"/>
  <c r="G880" i="12"/>
  <c r="G816" i="12"/>
  <c r="G1150" i="12"/>
  <c r="G75" i="12"/>
  <c r="G933" i="12"/>
  <c r="G1148" i="12"/>
  <c r="G404" i="12"/>
  <c r="G830" i="12"/>
  <c r="G193" i="12"/>
  <c r="G11" i="12"/>
  <c r="G444" i="12"/>
  <c r="G561" i="12"/>
  <c r="G344" i="12"/>
  <c r="G155" i="12"/>
  <c r="G764" i="12"/>
  <c r="G92" i="12"/>
  <c r="G741" i="12"/>
  <c r="G676" i="12"/>
  <c r="G530" i="12"/>
  <c r="G201" i="12"/>
  <c r="G405" i="12"/>
  <c r="G1075" i="12"/>
  <c r="G857" i="12"/>
  <c r="G249" i="12"/>
  <c r="G1089" i="12"/>
  <c r="G947" i="12"/>
  <c r="G149" i="12"/>
  <c r="G369" i="12"/>
  <c r="G251" i="12"/>
  <c r="G767" i="12"/>
  <c r="G687" i="12"/>
  <c r="G1112" i="12"/>
  <c r="G548" i="12"/>
  <c r="G646" i="12"/>
  <c r="G243" i="12"/>
  <c r="G814" i="12"/>
  <c r="G345" i="12"/>
  <c r="G1030" i="12"/>
  <c r="G1063" i="12"/>
  <c r="G3" i="12"/>
  <c r="G1008" i="12"/>
  <c r="G430" i="12"/>
  <c r="G435" i="12"/>
  <c r="G867" i="12"/>
  <c r="G580" i="12"/>
  <c r="G1097" i="12"/>
  <c r="G624" i="12"/>
  <c r="G1152" i="12"/>
  <c r="G400" i="12"/>
  <c r="G41" i="12"/>
  <c r="G420" i="12"/>
  <c r="G781" i="12"/>
  <c r="G113" i="12"/>
  <c r="G625" i="12"/>
  <c r="G1113" i="12"/>
  <c r="G1064" i="12"/>
  <c r="G616" i="12"/>
  <c r="G392" i="12"/>
  <c r="G686" i="12"/>
  <c r="G329" i="12"/>
  <c r="G491" i="12"/>
  <c r="G682" i="12"/>
  <c r="G954" i="12"/>
  <c r="G1020" i="12"/>
  <c r="G172" i="12"/>
  <c r="G326" i="12"/>
  <c r="G461" i="12"/>
  <c r="G1060" i="12"/>
  <c r="G484" i="12"/>
  <c r="G992" i="12"/>
  <c r="G828" i="12"/>
  <c r="G1155" i="12"/>
  <c r="G794" i="12"/>
  <c r="G54" i="12"/>
  <c r="G971" i="12"/>
  <c r="G451" i="12"/>
  <c r="G606" i="12"/>
  <c r="G630" i="12"/>
  <c r="G44" i="12"/>
  <c r="G1140" i="12"/>
  <c r="G1109" i="12"/>
  <c r="G1065" i="12"/>
  <c r="G241" i="12"/>
  <c r="G1015" i="12"/>
  <c r="G972" i="12"/>
  <c r="G213" i="12"/>
  <c r="G1036" i="12"/>
  <c r="G418" i="12"/>
  <c r="G1121" i="12"/>
  <c r="G567" i="12"/>
  <c r="G198" i="12"/>
  <c r="G410" i="12"/>
  <c r="G797" i="12"/>
  <c r="G537" i="12"/>
  <c r="G215" i="12"/>
  <c r="G114" i="12"/>
  <c r="G366" i="12"/>
  <c r="G335" i="12"/>
  <c r="G499" i="12"/>
  <c r="G1153" i="12"/>
  <c r="G508" i="12"/>
  <c r="G64" i="12"/>
  <c r="G854" i="12"/>
  <c r="G1009" i="12"/>
  <c r="G266" i="12"/>
  <c r="G598" i="12"/>
  <c r="G783" i="12"/>
  <c r="G587" i="12"/>
  <c r="G1071" i="12"/>
  <c r="G342" i="12"/>
  <c r="G851" i="12"/>
  <c r="G792" i="12"/>
  <c r="G776" i="12"/>
  <c r="G348" i="12"/>
  <c r="G130" i="12"/>
  <c r="G758" i="12"/>
  <c r="G328" i="12"/>
  <c r="G417" i="12"/>
  <c r="G696" i="12"/>
  <c r="G194" i="12"/>
  <c r="G177" i="12"/>
  <c r="G226" i="12"/>
  <c r="G459" i="12"/>
  <c r="G916" i="12"/>
  <c r="G818" i="12"/>
  <c r="G373" i="12"/>
  <c r="G228" i="12"/>
  <c r="G610" i="12"/>
  <c r="G185" i="12"/>
  <c r="G1096" i="12"/>
  <c r="G144" i="12"/>
  <c r="G564" i="12"/>
  <c r="G1122" i="12"/>
  <c r="G745" i="12"/>
  <c r="G815" i="12"/>
  <c r="G1072" i="12"/>
  <c r="G572" i="12"/>
  <c r="G502" i="12"/>
  <c r="G83" i="12"/>
  <c r="G237" i="12"/>
  <c r="G778" i="12"/>
  <c r="G876" i="12"/>
  <c r="G661" i="12"/>
  <c r="G82" i="12"/>
  <c r="G202" i="12"/>
  <c r="G432" i="12"/>
  <c r="G701" i="12"/>
  <c r="G730" i="12"/>
  <c r="G684" i="12"/>
  <c r="G79" i="12"/>
  <c r="G443" i="12"/>
  <c r="G578" i="12"/>
  <c r="G1059" i="12"/>
  <c r="G900" i="12"/>
  <c r="G571" i="12"/>
  <c r="G908" i="12"/>
  <c r="G662" i="12"/>
  <c r="G365" i="12"/>
  <c r="G799" i="12"/>
  <c r="G299" i="12"/>
  <c r="G240" i="12"/>
  <c r="G1176" i="12"/>
  <c r="G236" i="12"/>
  <c r="G858" i="12"/>
  <c r="G1170" i="12"/>
  <c r="G956" i="12"/>
  <c r="G1082" i="12"/>
  <c r="G896" i="12"/>
  <c r="G864" i="12"/>
  <c r="G462" i="12"/>
  <c r="G4" i="12"/>
  <c r="G521" i="12"/>
  <c r="G1108" i="12"/>
  <c r="G311" i="12"/>
  <c r="G21" i="12"/>
  <c r="G431" i="12"/>
  <c r="G1159" i="12"/>
  <c r="G627" i="12"/>
  <c r="G1092" i="12"/>
  <c r="G349" i="12"/>
  <c r="G1119" i="12"/>
  <c r="G93" i="12"/>
  <c r="G748" i="12"/>
  <c r="G273" i="12"/>
  <c r="G1103" i="12"/>
  <c r="G406" i="12"/>
  <c r="G989" i="12"/>
  <c r="G1101" i="12"/>
  <c r="G296" i="12"/>
  <c r="G948" i="12"/>
  <c r="G257" i="12"/>
  <c r="G805" i="12"/>
  <c r="G850" i="12"/>
  <c r="G623" i="12"/>
  <c r="G1168" i="12"/>
  <c r="G667" i="12"/>
  <c r="G664" i="12"/>
  <c r="G658" i="12"/>
  <c r="G223" i="12"/>
  <c r="G359" i="12"/>
  <c r="G123" i="12"/>
  <c r="G577" i="12"/>
  <c r="G790" i="12"/>
  <c r="G657" i="12"/>
  <c r="G465" i="12"/>
  <c r="G367" i="12"/>
  <c r="G1038" i="12"/>
  <c r="G795" i="12"/>
  <c r="G945" i="12"/>
  <c r="G503" i="12"/>
  <c r="G542" i="12"/>
  <c r="G934" i="12"/>
  <c r="G697" i="12"/>
  <c r="G504" i="12"/>
  <c r="G447" i="12"/>
  <c r="G998" i="12"/>
  <c r="G350" i="12"/>
  <c r="G905" i="12"/>
  <c r="G690" i="12"/>
  <c r="G622" i="12"/>
  <c r="G875" i="12"/>
  <c r="G952" i="12"/>
  <c r="G525" i="12"/>
  <c r="G125" i="12"/>
  <c r="G303" i="12"/>
  <c r="G472" i="12"/>
  <c r="G913" i="12"/>
  <c r="G586" i="12"/>
  <c r="G1102" i="12"/>
  <c r="G986" i="12"/>
  <c r="G120" i="12"/>
  <c r="G744" i="12"/>
  <c r="G376" i="12"/>
  <c r="G813" i="12"/>
  <c r="G773" i="12"/>
  <c r="G917" i="12"/>
  <c r="G214" i="12"/>
  <c r="G477" i="12"/>
  <c r="G889" i="12"/>
  <c r="G1055" i="12"/>
  <c r="G543" i="12"/>
  <c r="G28" i="12"/>
  <c r="G718" i="12"/>
  <c r="G244" i="12"/>
  <c r="G320" i="12"/>
  <c r="G733" i="12"/>
  <c r="G1077" i="12"/>
  <c r="G217" i="12"/>
  <c r="G384" i="12"/>
  <c r="G276" i="12"/>
  <c r="G501" i="12"/>
  <c r="G408" i="12"/>
  <c r="G469" i="12"/>
  <c r="G452" i="12"/>
  <c r="G534" i="12"/>
  <c r="G37" i="12"/>
  <c r="G59" i="12"/>
  <c r="G152" i="12"/>
  <c r="G397" i="12"/>
  <c r="G66" i="12"/>
  <c r="G1149" i="12"/>
  <c r="G290" i="12"/>
  <c r="G1076" i="12"/>
  <c r="G355" i="12"/>
  <c r="G779" i="12"/>
  <c r="G375" i="12"/>
  <c r="G959" i="12"/>
  <c r="G949" i="12"/>
  <c r="G766" i="12"/>
  <c r="G1091" i="12"/>
  <c r="G732" i="12"/>
  <c r="G1118" i="12"/>
  <c r="G987" i="12"/>
  <c r="G524" i="12"/>
  <c r="G111" i="12"/>
  <c r="G780" i="12"/>
  <c r="G985" i="12"/>
  <c r="G1156" i="12"/>
  <c r="G9" i="12"/>
  <c r="G1046" i="12"/>
  <c r="G693" i="12"/>
  <c r="G841" i="12"/>
  <c r="G150" i="12"/>
  <c r="G103" i="12"/>
  <c r="G426" i="12"/>
  <c r="G834" i="12"/>
  <c r="G529" i="12"/>
  <c r="G1175" i="12"/>
  <c r="G961" i="12"/>
  <c r="G475" i="12"/>
  <c r="G925" i="12"/>
  <c r="G849" i="12"/>
  <c r="G1095" i="12"/>
  <c r="G549" i="12"/>
  <c r="G1158" i="12"/>
  <c r="G275" i="12"/>
  <c r="G354" i="12"/>
  <c r="G924" i="12"/>
  <c r="G454" i="12"/>
  <c r="G541" i="12"/>
  <c r="G928" i="12"/>
  <c r="G391" i="12"/>
  <c r="G739" i="12"/>
  <c r="G552" i="12"/>
  <c r="G675" i="12"/>
  <c r="G192" i="12"/>
  <c r="G168" i="12"/>
  <c r="G762" i="12"/>
  <c r="G539" i="12"/>
  <c r="G787" i="12"/>
  <c r="G833" i="12"/>
  <c r="G1070" i="12"/>
  <c r="G1115" i="12"/>
  <c r="G726" i="12"/>
  <c r="G22" i="12"/>
  <c r="G300" i="12"/>
  <c r="G544" i="12"/>
  <c r="G533" i="12"/>
  <c r="G892" i="12"/>
  <c r="G1165" i="12"/>
  <c r="G1031" i="12"/>
  <c r="G837" i="12"/>
  <c r="G330" i="12"/>
  <c r="G480" i="12"/>
  <c r="G136" i="12"/>
  <c r="G919" i="12"/>
  <c r="G256" i="12"/>
  <c r="G298" i="12"/>
  <c r="G96" i="12"/>
  <c r="G187" i="12"/>
  <c r="G901" i="12"/>
  <c r="G742" i="12"/>
  <c r="G286" i="12"/>
  <c r="G756" i="12"/>
  <c r="G360" i="12"/>
  <c r="G259" i="12"/>
  <c r="G2" i="12"/>
  <c r="G1034" i="12"/>
  <c r="G445" i="12"/>
  <c r="G20" i="12"/>
  <c r="G62" i="12"/>
  <c r="G1068" i="12"/>
  <c r="G734" i="12"/>
  <c r="G439" i="12"/>
  <c r="G437" i="12"/>
  <c r="G1136" i="12"/>
  <c r="G380" i="12"/>
  <c r="G382" i="12"/>
  <c r="G699" i="12"/>
  <c r="G1160" i="12"/>
  <c r="G302" i="12"/>
  <c r="G195" i="12"/>
  <c r="G104" i="12"/>
  <c r="G820" i="12"/>
  <c r="G325" i="12"/>
  <c r="G509" i="12"/>
  <c r="G1013" i="12"/>
  <c r="G332" i="12"/>
  <c r="G941" i="12"/>
  <c r="G518" i="12"/>
  <c r="G821" i="12"/>
  <c r="G1023" i="12"/>
  <c r="G711" i="12"/>
  <c r="G855" i="12"/>
  <c r="G363" i="12"/>
  <c r="G836" i="12"/>
  <c r="G493" i="12"/>
  <c r="G253" i="12"/>
  <c r="G1045" i="12"/>
  <c r="G442" i="12"/>
  <c r="G395" i="12"/>
  <c r="G991" i="12"/>
  <c r="G396" i="12"/>
  <c r="G672" i="12"/>
  <c r="G526" i="12"/>
  <c r="G49" i="12"/>
  <c r="G1123" i="12"/>
  <c r="G293" i="12"/>
  <c r="G312" i="12"/>
  <c r="G483" i="12"/>
  <c r="G918" i="12"/>
  <c r="G234" i="12"/>
  <c r="G683" i="12"/>
  <c r="G1037" i="12"/>
  <c r="G1086" i="12"/>
  <c r="G456" i="12"/>
  <c r="G112" i="12"/>
  <c r="G513" i="12"/>
  <c r="G839" i="12"/>
  <c r="G40" i="12"/>
  <c r="G1129" i="12"/>
  <c r="G807" i="12"/>
  <c r="G364" i="12"/>
  <c r="G826" i="12"/>
  <c r="G759" i="12"/>
  <c r="G481" i="12"/>
  <c r="G755" i="12"/>
  <c r="G793" i="12"/>
  <c r="G555" i="12"/>
  <c r="G289" i="12"/>
  <c r="G1163" i="12"/>
  <c r="G1094" i="12"/>
  <c r="G937" i="12"/>
  <c r="G1126" i="12"/>
  <c r="G294" i="12"/>
  <c r="G174" i="12"/>
  <c r="G448" i="12"/>
  <c r="G1066" i="12"/>
  <c r="G665" i="12"/>
  <c r="G631" i="12"/>
  <c r="G914" i="12"/>
  <c r="G531" i="12"/>
  <c r="G844" i="12"/>
  <c r="G68" i="12"/>
  <c r="G30" i="12"/>
  <c r="G171" i="12"/>
  <c r="G652" i="12"/>
  <c r="G596" i="12"/>
  <c r="G231" i="12"/>
  <c r="G729" i="12"/>
  <c r="G73" i="12"/>
  <c r="G1177" i="12"/>
  <c r="G695" i="12"/>
  <c r="G722" i="12"/>
  <c r="G164" i="12"/>
  <c r="G866" i="12"/>
  <c r="G427" i="12"/>
  <c r="G680" i="12"/>
  <c r="G153" i="12"/>
  <c r="G993" i="12"/>
  <c r="G429" i="12"/>
  <c r="G769" i="12"/>
  <c r="G1029" i="12"/>
  <c r="G191" i="12"/>
  <c r="G724" i="12"/>
  <c r="G378" i="12"/>
  <c r="G1010" i="12"/>
  <c r="G16" i="12"/>
  <c r="G43" i="12"/>
  <c r="G131" i="12"/>
  <c r="G77" i="12"/>
  <c r="G402" i="12"/>
  <c r="G615" i="12"/>
  <c r="G409" i="12"/>
  <c r="G735" i="12"/>
  <c r="G307" i="12"/>
  <c r="G260" i="12"/>
  <c r="G1120" i="12"/>
  <c r="G419" i="12"/>
  <c r="G666" i="12"/>
  <c r="G279" i="12"/>
  <c r="G1047" i="12"/>
  <c r="G474" i="12"/>
  <c r="G681" i="12"/>
  <c r="G222" i="12"/>
  <c r="G568" i="12"/>
  <c r="G798" i="12"/>
  <c r="G1084" i="12"/>
  <c r="G1173" i="12"/>
  <c r="G602" i="12"/>
  <c r="G246" i="12"/>
  <c r="G649" i="12"/>
  <c r="G1105" i="12"/>
  <c r="G282" i="12"/>
  <c r="G70" i="12"/>
  <c r="G669" i="12"/>
  <c r="G411" i="12"/>
  <c r="G527" i="12"/>
  <c r="G162" i="12"/>
  <c r="G14" i="12"/>
  <c r="G702" i="12"/>
  <c r="G1080" i="12"/>
  <c r="G455" i="12"/>
  <c r="G1021" i="12"/>
  <c r="G148" i="12"/>
  <c r="G362" i="12"/>
  <c r="G651" i="12"/>
  <c r="G648" i="12"/>
  <c r="G1110" i="12"/>
  <c r="G674" i="12"/>
  <c r="G538" i="12"/>
  <c r="G170" i="12"/>
  <c r="G441" i="12"/>
  <c r="G902" i="12"/>
  <c r="G698" i="12"/>
  <c r="G556" i="12"/>
  <c r="G885" i="12"/>
  <c r="G167" i="12"/>
  <c r="G1022" i="12"/>
  <c r="G200" i="12"/>
  <c r="G242" i="12"/>
  <c r="G546" i="12"/>
  <c r="G1039" i="12"/>
  <c r="G1044" i="12"/>
  <c r="G1128" i="12"/>
  <c r="G78" i="12"/>
  <c r="G347" i="12"/>
  <c r="G414" i="12"/>
  <c r="G1025" i="12"/>
  <c r="G145" i="12"/>
  <c r="G547" i="12"/>
  <c r="G102" i="12"/>
  <c r="G920" i="12"/>
  <c r="G1069" i="12"/>
  <c r="G643" i="12"/>
  <c r="G584" i="12"/>
  <c r="G1005" i="12"/>
  <c r="G479" i="12"/>
  <c r="G1058" i="12"/>
  <c r="G709" i="12"/>
  <c r="G498" i="12"/>
  <c r="G579" i="12"/>
  <c r="G510" i="12"/>
  <c r="G765" i="12"/>
  <c r="G877" i="12"/>
  <c r="G894" i="12"/>
  <c r="G960" i="12"/>
  <c r="G613" i="12"/>
  <c r="G1144" i="12"/>
  <c r="G784" i="12"/>
  <c r="G528" i="12"/>
  <c r="G495" i="12"/>
  <c r="G551" i="12"/>
  <c r="G879" i="12"/>
  <c r="G385" i="12"/>
  <c r="G562" i="12"/>
  <c r="G250" i="12"/>
  <c r="G233" i="12"/>
  <c r="G283" i="12"/>
  <c r="G438" i="12"/>
  <c r="G238" i="12"/>
  <c r="G1061" i="12"/>
  <c r="G489" i="12"/>
  <c r="G819" i="12"/>
  <c r="G424" i="12"/>
  <c r="G976" i="12"/>
  <c r="G965" i="12"/>
  <c r="G1151" i="12"/>
  <c r="G1017" i="12"/>
  <c r="G340" i="12"/>
  <c r="G42" i="12"/>
  <c r="G597" i="12"/>
  <c r="G27" i="12"/>
  <c r="G1033" i="12"/>
  <c r="G205" i="12"/>
  <c r="G506" i="12"/>
  <c r="G212" i="12"/>
  <c r="G218" i="12"/>
  <c r="G33" i="12"/>
  <c r="G19" i="12"/>
  <c r="G516" i="12"/>
  <c r="G871" i="12"/>
  <c r="G634" i="12"/>
  <c r="G323" i="12"/>
  <c r="G98" i="12"/>
  <c r="G211" i="12"/>
  <c r="G370" i="12"/>
  <c r="G269" i="12"/>
  <c r="G1167" i="12"/>
  <c r="G895" i="12"/>
  <c r="G1111" i="12"/>
  <c r="G464" i="12"/>
  <c r="G727" i="12"/>
  <c r="G582" i="12"/>
  <c r="G1100" i="12"/>
  <c r="G713" i="12"/>
  <c r="G1157" i="12"/>
  <c r="G983" i="12"/>
  <c r="G605" i="12"/>
  <c r="G197" i="12"/>
  <c r="G490" i="12"/>
  <c r="G333" i="12"/>
  <c r="G29" i="12"/>
  <c r="G944" i="12"/>
  <c r="G5" i="12"/>
  <c r="G101" i="12"/>
  <c r="G984" i="12"/>
  <c r="G955" i="12"/>
  <c r="G31" i="12"/>
  <c r="G60" i="12"/>
  <c r="G707" i="12"/>
  <c r="G536" i="12"/>
  <c r="G868" i="12"/>
  <c r="G942" i="12"/>
  <c r="G210" i="12"/>
  <c r="G746" i="12"/>
  <c r="G789" i="12"/>
  <c r="G861" i="12"/>
  <c r="G12" i="12"/>
  <c r="G85" i="12"/>
  <c r="G25" i="12"/>
  <c r="G436" i="12"/>
  <c r="G67" i="12"/>
  <c r="G271" i="12"/>
  <c r="G407" i="12"/>
  <c r="G803" i="12"/>
  <c r="G883" i="12"/>
  <c r="G591" i="12"/>
  <c r="G381" i="12"/>
  <c r="G599" i="12"/>
  <c r="G865" i="12"/>
  <c r="G557" i="12"/>
  <c r="G1162" i="12"/>
  <c r="G958" i="12"/>
  <c r="G788" i="12"/>
  <c r="G95" i="12"/>
  <c r="G352" i="12"/>
  <c r="G157" i="12"/>
  <c r="G768" i="12"/>
  <c r="G81" i="12"/>
  <c r="G887" i="12"/>
  <c r="G398" i="12"/>
  <c r="G387" i="12"/>
  <c r="G565" i="12"/>
  <c r="G979" i="12"/>
  <c r="G1041" i="12"/>
  <c r="G978" i="12"/>
  <c r="G371" i="12"/>
  <c r="G1116" i="12"/>
  <c r="G272" i="12"/>
  <c r="G704" i="12"/>
  <c r="G496" i="12"/>
  <c r="G703" i="12"/>
  <c r="G1067" i="12"/>
  <c r="G26" i="12"/>
  <c r="G588" i="12"/>
  <c r="G714" i="12"/>
  <c r="G188" i="12"/>
  <c r="G806" i="12"/>
  <c r="G216" i="12"/>
  <c r="G65" i="12"/>
  <c r="G585" i="12"/>
  <c r="G1088" i="12"/>
  <c r="G581" i="12"/>
  <c r="G647" i="12"/>
  <c r="G811" i="12"/>
  <c r="G752" i="12"/>
  <c r="G220" i="12"/>
  <c r="G51" i="12"/>
  <c r="G1137" i="12"/>
  <c r="G761" i="12"/>
  <c r="G48" i="12"/>
  <c r="G206" i="12"/>
  <c r="G268" i="12"/>
  <c r="G183" i="12"/>
  <c r="G57" i="12"/>
  <c r="G1087" i="12"/>
  <c r="G180" i="12"/>
  <c r="G653" i="12"/>
  <c r="G801" i="12"/>
  <c r="G126" i="12"/>
  <c r="G209" i="12"/>
  <c r="G71" i="12"/>
  <c r="G757" i="12"/>
  <c r="G1032" i="12"/>
  <c r="G897" i="12"/>
  <c r="G449" i="12"/>
  <c r="G487" i="12"/>
  <c r="G751" i="12"/>
  <c r="G87" i="12"/>
  <c r="G929" i="12"/>
  <c r="G189" i="12"/>
  <c r="G229" i="12"/>
  <c r="G843" i="12"/>
  <c r="G637" i="12"/>
  <c r="G804" i="12"/>
  <c r="G372" i="12"/>
  <c r="G467" i="12"/>
  <c r="G1050" i="12"/>
  <c r="G870" i="12"/>
  <c r="G640" i="12"/>
  <c r="G899" i="12"/>
  <c r="G1011" i="12"/>
  <c r="G99" i="12"/>
  <c r="G339" i="12"/>
  <c r="G23" i="12"/>
  <c r="G777" i="12"/>
  <c r="G63" i="12"/>
  <c r="G772" i="12"/>
  <c r="G403" i="12"/>
  <c r="G129" i="12"/>
  <c r="G1138" i="12"/>
  <c r="G1145" i="12"/>
  <c r="G995" i="12"/>
  <c r="G785" i="12"/>
  <c r="G97" i="12"/>
  <c r="G310" i="12"/>
  <c r="G890" i="12"/>
  <c r="G473" i="12"/>
  <c r="G156" i="12"/>
  <c r="G1104" i="12"/>
  <c r="G89" i="12"/>
  <c r="G753" i="12"/>
  <c r="G338" i="12"/>
  <c r="G968" i="12"/>
  <c r="G1028" i="12"/>
  <c r="G747" i="12"/>
  <c r="G399" i="12"/>
  <c r="G422" i="12"/>
  <c r="G927" i="12"/>
  <c r="G1099" i="12"/>
  <c r="G175" i="12"/>
  <c r="G994" i="12"/>
  <c r="G1124" i="12"/>
  <c r="G970" i="12"/>
  <c r="G1079" i="12"/>
  <c r="G831" i="12"/>
  <c r="G1132" i="12"/>
  <c r="G322" i="12"/>
  <c r="G1006" i="12"/>
  <c r="G963" i="12"/>
  <c r="G52" i="12"/>
  <c r="G142" i="12"/>
  <c r="G56" i="12"/>
  <c r="G770" i="12"/>
  <c r="G169" i="12"/>
  <c r="G522" i="12"/>
  <c r="G910" i="12"/>
  <c r="G458" i="12"/>
  <c r="G45" i="12"/>
  <c r="G1074" i="12"/>
  <c r="G550" i="12"/>
  <c r="G485" i="12"/>
  <c r="G91" i="12"/>
  <c r="G1042" i="12"/>
  <c r="G1090" i="12"/>
  <c r="G24" i="12"/>
  <c r="G532" i="12"/>
  <c r="G116" i="12"/>
  <c r="G159" i="12"/>
  <c r="G8" i="12"/>
  <c r="G903" i="12"/>
  <c r="G633" i="12"/>
  <c r="G1171" i="12"/>
  <c r="G612" i="12"/>
  <c r="G608" i="12"/>
  <c r="G997" i="12"/>
  <c r="G1002" i="12"/>
  <c r="G832" i="12"/>
  <c r="G219" i="12"/>
  <c r="G856" i="12"/>
  <c r="G754" i="12"/>
  <c r="G1125" i="12"/>
  <c r="G343" i="12"/>
  <c r="G898" i="12"/>
  <c r="G415" i="12"/>
  <c r="G76" i="12"/>
  <c r="G1141" i="12"/>
  <c r="G117" i="12"/>
  <c r="G817" i="12"/>
  <c r="G36" i="12"/>
  <c r="G235" i="12"/>
  <c r="G946" i="12"/>
  <c r="G936" i="12"/>
  <c r="G935" i="12"/>
  <c r="G569" i="12"/>
  <c r="G881" i="12"/>
  <c r="G840" i="12"/>
  <c r="G540" i="12"/>
  <c r="G990" i="12"/>
  <c r="G873" i="12"/>
  <c r="G1154" i="12"/>
  <c r="G119" i="12"/>
  <c r="G966" i="12"/>
  <c r="G336" i="12"/>
  <c r="G287" i="12"/>
  <c r="G478" i="12"/>
  <c r="G203" i="12"/>
  <c r="G317" i="12"/>
  <c r="G940" i="12"/>
  <c r="G964" i="12"/>
  <c r="G563" i="12"/>
  <c r="G678" i="12"/>
  <c r="G677" i="12"/>
  <c r="G224" i="12"/>
  <c r="G486" i="12"/>
  <c r="G554" i="12"/>
  <c r="G570" i="12"/>
  <c r="G800" i="12"/>
  <c r="G471" i="12"/>
  <c r="G893" i="12"/>
  <c r="G1073" i="12"/>
  <c r="G629" i="12"/>
  <c r="G1000" i="12"/>
  <c r="G573" i="12"/>
  <c r="G134" i="12"/>
  <c r="G270" i="12"/>
  <c r="G507" i="12"/>
  <c r="G560" i="12"/>
  <c r="G775" i="12"/>
  <c r="G176" i="12"/>
  <c r="G977" i="12"/>
  <c r="G1174" i="12"/>
  <c r="G626" i="12"/>
  <c r="G655" i="12"/>
  <c r="G1164" i="12"/>
  <c r="G603" i="12"/>
  <c r="G58" i="12"/>
  <c r="G874" i="12"/>
  <c r="G306" i="12"/>
  <c r="G796" i="12"/>
  <c r="G723" i="12"/>
  <c r="G121" i="12"/>
  <c r="G1004" i="12"/>
  <c r="G199" i="12"/>
  <c r="G331" i="12"/>
  <c r="G943" i="12"/>
  <c r="G115" i="12"/>
  <c r="G460" i="12"/>
  <c r="G594" i="12"/>
  <c r="G912" i="12"/>
  <c r="G988" i="12"/>
  <c r="G566" i="12"/>
  <c r="G6" i="12"/>
  <c r="G47" i="12"/>
  <c r="G891" i="12"/>
  <c r="G618" i="12"/>
  <c r="G1085" i="12"/>
  <c r="G904" i="12"/>
  <c r="G869" i="12"/>
  <c r="G421" i="12"/>
  <c r="G1057" i="12"/>
  <c r="G388" i="12"/>
  <c r="G55" i="12"/>
  <c r="G1007" i="12"/>
  <c r="G494" i="12"/>
  <c r="G1098" i="12"/>
  <c r="G1051" i="12"/>
  <c r="G728" i="12"/>
  <c r="G1019" i="12"/>
  <c r="G999" i="12"/>
  <c r="G109" i="12"/>
  <c r="G592" i="12"/>
  <c r="G553" i="12"/>
  <c r="G519" i="12"/>
  <c r="G258" i="12"/>
  <c r="G127" i="12"/>
  <c r="G34" i="12"/>
  <c r="G1166" i="12"/>
  <c r="G763" i="12"/>
  <c r="G468" i="12"/>
  <c r="G315" i="12"/>
  <c r="G659" i="12"/>
  <c r="G635" i="12"/>
  <c r="G712" i="12"/>
  <c r="G774" i="12"/>
  <c r="G274" i="12"/>
  <c r="G1114" i="12"/>
  <c r="G689" i="12"/>
  <c r="G1143" i="12"/>
  <c r="G160" i="12"/>
  <c r="G906" i="12"/>
  <c r="G576" i="12"/>
  <c r="G267" i="12"/>
  <c r="G154" i="12"/>
  <c r="G1003" i="12"/>
  <c r="G100" i="12"/>
  <c r="G383" i="12"/>
  <c r="G227" i="12"/>
  <c r="G975" i="12"/>
  <c r="G558" i="12"/>
  <c r="G812" i="12"/>
  <c r="G514" i="12"/>
  <c r="G1056" i="12"/>
  <c r="G324" i="12"/>
  <c r="G595" i="12"/>
  <c r="G1027" i="12"/>
  <c r="G611" i="12"/>
  <c r="G1146" i="12"/>
  <c r="G86" i="12"/>
  <c r="G926" i="12"/>
  <c r="G829" i="12"/>
  <c r="G1133" i="12"/>
  <c r="G636" i="12"/>
  <c r="G265" i="12"/>
  <c r="G692" i="12"/>
  <c r="G750" i="12"/>
  <c r="G1018" i="12"/>
  <c r="G691" i="12"/>
  <c r="G319" i="12"/>
  <c r="G679" i="12"/>
  <c r="G309" i="12"/>
  <c r="G173" i="12"/>
  <c r="G515" i="12"/>
  <c r="G389" i="12"/>
  <c r="G35" i="12"/>
  <c r="G15" i="12"/>
  <c r="G512" i="12"/>
  <c r="G860" i="12"/>
  <c r="G108" i="12"/>
  <c r="G247" i="12"/>
  <c r="G1043" i="12"/>
  <c r="G1049" i="12"/>
  <c r="G500" i="12"/>
  <c r="G660" i="12"/>
  <c r="G523" i="12"/>
  <c r="G654" i="12"/>
  <c r="G823" i="12"/>
  <c r="G263" i="12"/>
  <c r="G72" i="12"/>
  <c r="G715" i="12"/>
  <c r="G434" i="12"/>
  <c r="G463" i="12"/>
  <c r="G1026" i="12"/>
  <c r="G147" i="12"/>
  <c r="G140" i="12"/>
  <c r="G118" i="12"/>
  <c r="G1083" i="12"/>
  <c r="G1062" i="12"/>
  <c r="G334" i="12"/>
  <c r="G221" i="12"/>
  <c r="G644" i="12"/>
  <c r="G139" i="12"/>
  <c r="G1147" i="12"/>
  <c r="G10" i="12"/>
  <c r="G94" i="12"/>
  <c r="G719" i="12"/>
  <c r="G1106" i="12"/>
  <c r="G1024" i="12"/>
  <c r="G361" i="12"/>
  <c r="G440" i="12"/>
  <c r="G132" i="12"/>
  <c r="G208" i="12"/>
  <c r="G482" i="12"/>
  <c r="G313" i="12"/>
  <c r="G1016" i="12"/>
  <c r="G264" i="12"/>
  <c r="G106" i="12"/>
  <c r="G663" i="12"/>
  <c r="G740" i="12"/>
  <c r="G520" i="12"/>
  <c r="G327" i="12"/>
  <c r="G853" i="12"/>
  <c r="G708" i="12"/>
  <c r="G278" i="12"/>
  <c r="G642" i="12"/>
  <c r="G141" i="12"/>
  <c r="G69" i="12"/>
  <c r="D13" i="12"/>
  <c r="C12" i="12"/>
  <c r="D14" i="12" l="1"/>
  <c r="C13" i="12"/>
  <c r="D15" i="12" l="1"/>
  <c r="C14" i="12"/>
  <c r="D16" i="12" l="1"/>
  <c r="C15" i="12"/>
  <c r="D17" i="12" l="1"/>
  <c r="C16" i="12"/>
  <c r="D18" i="12" l="1"/>
  <c r="C17" i="12"/>
  <c r="D19" i="12" l="1"/>
  <c r="C18" i="12"/>
  <c r="D20" i="12" l="1"/>
  <c r="C19" i="12"/>
  <c r="D21" i="12" l="1"/>
  <c r="C20" i="12"/>
  <c r="D22" i="12" l="1"/>
  <c r="C21" i="12"/>
  <c r="D23" i="12" l="1"/>
  <c r="C22" i="12"/>
  <c r="D24" i="12" l="1"/>
  <c r="C23" i="12"/>
  <c r="D25" i="12" l="1"/>
  <c r="C24" i="12"/>
  <c r="D26" i="12" l="1"/>
  <c r="C25" i="12"/>
  <c r="D27" i="12" l="1"/>
  <c r="C26" i="12"/>
  <c r="D28" i="12" l="1"/>
  <c r="C27" i="12"/>
  <c r="D29" i="12" l="1"/>
  <c r="C28" i="12"/>
  <c r="D30" i="12" l="1"/>
  <c r="C29" i="12"/>
  <c r="D31" i="12" l="1"/>
  <c r="C30" i="12"/>
  <c r="D32" i="12" l="1"/>
  <c r="C31" i="12"/>
  <c r="D33" i="12" l="1"/>
  <c r="C32" i="12"/>
  <c r="D34" i="12" l="1"/>
  <c r="C33" i="12"/>
  <c r="D35" i="12" l="1"/>
  <c r="C34" i="12"/>
  <c r="D36" i="12" l="1"/>
  <c r="C35" i="12"/>
  <c r="D37" i="12" l="1"/>
  <c r="C36" i="12"/>
  <c r="D38" i="12" l="1"/>
  <c r="C37" i="12"/>
  <c r="D39" i="12" l="1"/>
  <c r="C38" i="12"/>
  <c r="D40" i="12" l="1"/>
  <c r="C39" i="12"/>
  <c r="D41" i="12" l="1"/>
  <c r="C40" i="12"/>
  <c r="D42" i="12" l="1"/>
  <c r="C41" i="12"/>
  <c r="D43" i="12" l="1"/>
  <c r="C42" i="12"/>
  <c r="D44" i="12" l="1"/>
  <c r="C43" i="12"/>
  <c r="D45" i="12" l="1"/>
  <c r="C44" i="12"/>
  <c r="D46" i="12" l="1"/>
  <c r="C45" i="12"/>
  <c r="D47" i="12" l="1"/>
  <c r="C46" i="12"/>
  <c r="D48" i="12" l="1"/>
  <c r="C47" i="12"/>
  <c r="D49" i="12" l="1"/>
  <c r="C48" i="12"/>
  <c r="D50" i="12" l="1"/>
  <c r="C49" i="12"/>
  <c r="D51" i="12" l="1"/>
  <c r="C50" i="12"/>
  <c r="D52" i="12" l="1"/>
  <c r="C51" i="12"/>
  <c r="D53" i="12" l="1"/>
  <c r="C52" i="12"/>
  <c r="D54" i="12" l="1"/>
  <c r="C53" i="12"/>
  <c r="D55" i="12" l="1"/>
  <c r="C54" i="12"/>
  <c r="D56" i="12" l="1"/>
  <c r="C55" i="12"/>
  <c r="D57" i="12" l="1"/>
  <c r="C56" i="12"/>
  <c r="D58" i="12" l="1"/>
  <c r="C57" i="12"/>
  <c r="D59" i="12" l="1"/>
  <c r="C58" i="12"/>
  <c r="D60" i="12" l="1"/>
  <c r="C59" i="12"/>
  <c r="D61" i="12" l="1"/>
  <c r="C60" i="12"/>
  <c r="D62" i="12" l="1"/>
  <c r="C61" i="12"/>
  <c r="D63" i="12" l="1"/>
  <c r="C62" i="12"/>
  <c r="D64" i="12" l="1"/>
  <c r="C63" i="12"/>
  <c r="D65" i="12" l="1"/>
  <c r="C64" i="12"/>
  <c r="D66" i="12" l="1"/>
  <c r="C65" i="12"/>
  <c r="D67" i="12" l="1"/>
  <c r="C66" i="12"/>
  <c r="D68" i="12" l="1"/>
  <c r="C67" i="12"/>
  <c r="D69" i="12" l="1"/>
  <c r="C68" i="12"/>
  <c r="D70" i="12" l="1"/>
  <c r="C69" i="12"/>
  <c r="D71" i="12" l="1"/>
  <c r="C70" i="12"/>
  <c r="D72" i="12" l="1"/>
  <c r="C71" i="12"/>
  <c r="D73" i="12" l="1"/>
  <c r="C72" i="12"/>
  <c r="D74" i="12" l="1"/>
  <c r="C73" i="12"/>
  <c r="D75" i="12" l="1"/>
  <c r="C74" i="12"/>
  <c r="D76" i="12" l="1"/>
  <c r="C75" i="12"/>
  <c r="D77" i="12" l="1"/>
  <c r="C76" i="12"/>
  <c r="D78" i="12" l="1"/>
  <c r="C77" i="12"/>
  <c r="D79" i="12" l="1"/>
  <c r="C78" i="12"/>
  <c r="D80" i="12" l="1"/>
  <c r="C79" i="12"/>
  <c r="D81" i="12" l="1"/>
  <c r="C80" i="12"/>
  <c r="D82" i="12" l="1"/>
  <c r="C81" i="12"/>
  <c r="D83" i="12" l="1"/>
  <c r="C82" i="12"/>
  <c r="D84" i="12" l="1"/>
  <c r="C83" i="12"/>
  <c r="D85" i="12" l="1"/>
  <c r="C84" i="12"/>
  <c r="D86" i="12" l="1"/>
  <c r="C85" i="12"/>
  <c r="D87" i="12" l="1"/>
  <c r="C86" i="12"/>
  <c r="D88" i="12" l="1"/>
  <c r="C87" i="12"/>
  <c r="D89" i="12" l="1"/>
  <c r="C88" i="12"/>
  <c r="D90" i="12" l="1"/>
  <c r="C89" i="12"/>
  <c r="D91" i="12" l="1"/>
  <c r="C90" i="12"/>
  <c r="D92" i="12" l="1"/>
  <c r="C91" i="12"/>
  <c r="D93" i="12" l="1"/>
  <c r="C92" i="12"/>
  <c r="D94" i="12" l="1"/>
  <c r="C93" i="12"/>
  <c r="D95" i="12" l="1"/>
  <c r="C94" i="12"/>
  <c r="D96" i="12" l="1"/>
  <c r="C95" i="12"/>
  <c r="D97" i="12" l="1"/>
  <c r="C96" i="12"/>
  <c r="D98" i="12" l="1"/>
  <c r="C97" i="12"/>
  <c r="D99" i="12" l="1"/>
  <c r="C98" i="12"/>
  <c r="D100" i="12" l="1"/>
  <c r="C99" i="12"/>
  <c r="D101" i="12" l="1"/>
  <c r="C100" i="12"/>
  <c r="D102" i="12" l="1"/>
  <c r="C101" i="12"/>
  <c r="D103" i="12" l="1"/>
  <c r="C102" i="12"/>
  <c r="D104" i="12" l="1"/>
  <c r="C103" i="12"/>
  <c r="D105" i="12" l="1"/>
  <c r="C104" i="12"/>
  <c r="D106" i="12" l="1"/>
  <c r="C105" i="12"/>
  <c r="D107" i="12" l="1"/>
  <c r="C106" i="12"/>
  <c r="D108" i="12" l="1"/>
  <c r="C107" i="12"/>
  <c r="D109" i="12" l="1"/>
  <c r="C108" i="12"/>
  <c r="D110" i="12" l="1"/>
  <c r="C109" i="12"/>
  <c r="D111" i="12" l="1"/>
  <c r="C110" i="12"/>
  <c r="D112" i="12" l="1"/>
  <c r="C111" i="12"/>
  <c r="D113" i="12" l="1"/>
  <c r="C112" i="12"/>
  <c r="D114" i="12" l="1"/>
  <c r="C113" i="12"/>
  <c r="D115" i="12" l="1"/>
  <c r="C114" i="12"/>
  <c r="D116" i="12" l="1"/>
  <c r="C115" i="12"/>
  <c r="D117" i="12" l="1"/>
  <c r="C116" i="12"/>
  <c r="D118" i="12" l="1"/>
  <c r="C117" i="12"/>
  <c r="D119" i="12" l="1"/>
  <c r="C118" i="12"/>
  <c r="D120" i="12" l="1"/>
  <c r="C119" i="12"/>
  <c r="D121" i="12" l="1"/>
  <c r="C120" i="12"/>
  <c r="D122" i="12" l="1"/>
  <c r="C121" i="12"/>
  <c r="D123" i="12" l="1"/>
  <c r="C122" i="12"/>
  <c r="D124" i="12" l="1"/>
  <c r="C123" i="12"/>
  <c r="D125" i="12" l="1"/>
  <c r="C124" i="12"/>
  <c r="D126" i="12" l="1"/>
  <c r="C125" i="12"/>
  <c r="D127" i="12" l="1"/>
  <c r="C126" i="12"/>
  <c r="D128" i="12" l="1"/>
  <c r="C127" i="12"/>
  <c r="D129" i="12" l="1"/>
  <c r="C128" i="12"/>
  <c r="D130" i="12" l="1"/>
  <c r="C129" i="12"/>
  <c r="D131" i="12" l="1"/>
  <c r="C130" i="12"/>
  <c r="D132" i="12" l="1"/>
  <c r="C131" i="12"/>
  <c r="D133" i="12" l="1"/>
  <c r="C132" i="12"/>
  <c r="D134" i="12" l="1"/>
  <c r="C133" i="12"/>
  <c r="D135" i="12" l="1"/>
  <c r="C134" i="12"/>
  <c r="D136" i="12" l="1"/>
  <c r="C135" i="12"/>
  <c r="D137" i="12" l="1"/>
  <c r="C136" i="12"/>
  <c r="D138" i="12" l="1"/>
  <c r="C137" i="12"/>
  <c r="D139" i="12" l="1"/>
  <c r="C138" i="12"/>
  <c r="D140" i="12" l="1"/>
  <c r="C139" i="12"/>
  <c r="D141" i="12" l="1"/>
  <c r="C140" i="12"/>
  <c r="D142" i="12" l="1"/>
  <c r="C141" i="12"/>
  <c r="D143" i="12" l="1"/>
  <c r="C142" i="12"/>
  <c r="D144" i="12" l="1"/>
  <c r="C143" i="12"/>
  <c r="D145" i="12" l="1"/>
  <c r="C144" i="12"/>
  <c r="D146" i="12" l="1"/>
  <c r="C145" i="12"/>
  <c r="D147" i="12" l="1"/>
  <c r="C146" i="12"/>
  <c r="D148" i="12" l="1"/>
  <c r="C147" i="12"/>
  <c r="D149" i="12" l="1"/>
  <c r="C148" i="12"/>
  <c r="D150" i="12" l="1"/>
  <c r="C149" i="12"/>
  <c r="D151" i="12" l="1"/>
  <c r="C150" i="12"/>
  <c r="D152" i="12" l="1"/>
  <c r="C151" i="12"/>
  <c r="D153" i="12" l="1"/>
  <c r="C152" i="12"/>
  <c r="D154" i="12" l="1"/>
  <c r="C153" i="12"/>
  <c r="D155" i="12" l="1"/>
  <c r="C154" i="12"/>
  <c r="D156" i="12" l="1"/>
  <c r="C155" i="12"/>
  <c r="D157" i="12" l="1"/>
  <c r="C156" i="12"/>
  <c r="D158" i="12" l="1"/>
  <c r="C157" i="12"/>
  <c r="D159" i="12" l="1"/>
  <c r="C158" i="12"/>
  <c r="D160" i="12" l="1"/>
  <c r="C159" i="12"/>
  <c r="D161" i="12" l="1"/>
  <c r="C160" i="12"/>
  <c r="D162" i="12" l="1"/>
  <c r="C161" i="12"/>
  <c r="D163" i="12" l="1"/>
  <c r="C162" i="12"/>
  <c r="D164" i="12" l="1"/>
  <c r="C163" i="12"/>
  <c r="D165" i="12" l="1"/>
  <c r="C164" i="12"/>
  <c r="D166" i="12" l="1"/>
  <c r="C165" i="12"/>
  <c r="D167" i="12" l="1"/>
  <c r="C166" i="12"/>
  <c r="D168" i="12" l="1"/>
  <c r="C167" i="12"/>
  <c r="D169" i="12" l="1"/>
  <c r="C168" i="12"/>
  <c r="D170" i="12" l="1"/>
  <c r="C169" i="12"/>
  <c r="D171" i="12" l="1"/>
  <c r="C170" i="12"/>
  <c r="D172" i="12" l="1"/>
  <c r="C171" i="12"/>
  <c r="D173" i="12" l="1"/>
  <c r="C172" i="12"/>
  <c r="D174" i="12" l="1"/>
  <c r="C173" i="12"/>
  <c r="D175" i="12" l="1"/>
  <c r="C174" i="12"/>
  <c r="D176" i="12" l="1"/>
  <c r="C175" i="12"/>
  <c r="D177" i="12" l="1"/>
  <c r="C176" i="12"/>
  <c r="D178" i="12" l="1"/>
  <c r="C177" i="12"/>
  <c r="D179" i="12" l="1"/>
  <c r="C178" i="12"/>
  <c r="D180" i="12" l="1"/>
  <c r="C179" i="12"/>
  <c r="D181" i="12" l="1"/>
  <c r="C180" i="12"/>
  <c r="D182" i="12" l="1"/>
  <c r="C181" i="12"/>
  <c r="D183" i="12" l="1"/>
  <c r="C182" i="12"/>
  <c r="D184" i="12" l="1"/>
  <c r="C183" i="12"/>
  <c r="D185" i="12" l="1"/>
  <c r="C184" i="12"/>
  <c r="D186" i="12" l="1"/>
  <c r="C185" i="12"/>
  <c r="D187" i="12" l="1"/>
  <c r="C186" i="12"/>
  <c r="D188" i="12" l="1"/>
  <c r="C187" i="12"/>
  <c r="D189" i="12" l="1"/>
  <c r="C188" i="12"/>
  <c r="D190" i="12" l="1"/>
  <c r="C189" i="12"/>
  <c r="D191" i="12" l="1"/>
  <c r="C190" i="12"/>
  <c r="D192" i="12" l="1"/>
  <c r="C191" i="12"/>
  <c r="D193" i="12" l="1"/>
  <c r="C192" i="12"/>
  <c r="D194" i="12" l="1"/>
  <c r="C193" i="12"/>
  <c r="D195" i="12" l="1"/>
  <c r="C194" i="12"/>
  <c r="D196" i="12" l="1"/>
  <c r="C195" i="12"/>
  <c r="D197" i="12" l="1"/>
  <c r="C196" i="12"/>
  <c r="D198" i="12" l="1"/>
  <c r="C197" i="12"/>
  <c r="D199" i="12" l="1"/>
  <c r="C198" i="12"/>
  <c r="D200" i="12" l="1"/>
  <c r="C199" i="12"/>
  <c r="D201" i="12" l="1"/>
  <c r="C200" i="12"/>
  <c r="D202" i="12" l="1"/>
  <c r="C201" i="12"/>
  <c r="D203" i="12" l="1"/>
  <c r="C202" i="12"/>
  <c r="D204" i="12" l="1"/>
  <c r="C203" i="12"/>
  <c r="D205" i="12" l="1"/>
  <c r="C204" i="12"/>
  <c r="D206" i="12" l="1"/>
  <c r="C205" i="12"/>
  <c r="D207" i="12" l="1"/>
  <c r="C206" i="12"/>
  <c r="D208" i="12" l="1"/>
  <c r="C207" i="12"/>
  <c r="D209" i="12" l="1"/>
  <c r="C208" i="12"/>
  <c r="D210" i="12" l="1"/>
  <c r="C209" i="12"/>
  <c r="D211" i="12" l="1"/>
  <c r="C210" i="12"/>
  <c r="D212" i="12" l="1"/>
  <c r="C211" i="12"/>
  <c r="D213" i="12" l="1"/>
  <c r="C212" i="12"/>
  <c r="D214" i="12" l="1"/>
  <c r="C213" i="12"/>
  <c r="D215" i="12" l="1"/>
  <c r="C214" i="12"/>
  <c r="D216" i="12" l="1"/>
  <c r="C215" i="12"/>
  <c r="D217" i="12" l="1"/>
  <c r="C216" i="12"/>
  <c r="D218" i="12" l="1"/>
  <c r="C217" i="12"/>
  <c r="D219" i="12" l="1"/>
  <c r="C218" i="12"/>
  <c r="D220" i="12" l="1"/>
  <c r="C219" i="12"/>
  <c r="D221" i="12" l="1"/>
  <c r="C220" i="12"/>
  <c r="D222" i="12" l="1"/>
  <c r="C221" i="12"/>
  <c r="D223" i="12" l="1"/>
  <c r="C222" i="12"/>
  <c r="D224" i="12" l="1"/>
  <c r="C223" i="12"/>
  <c r="D225" i="12" l="1"/>
  <c r="C224" i="12"/>
  <c r="D226" i="12" l="1"/>
  <c r="C225" i="12"/>
  <c r="D227" i="12" l="1"/>
  <c r="C226" i="12"/>
  <c r="D228" i="12" l="1"/>
  <c r="C227" i="12"/>
  <c r="D229" i="12" l="1"/>
  <c r="C228" i="12"/>
  <c r="D230" i="12" l="1"/>
  <c r="C229" i="12"/>
  <c r="D231" i="12" l="1"/>
  <c r="C230" i="12"/>
  <c r="D232" i="12" l="1"/>
  <c r="C231" i="12"/>
  <c r="D233" i="12" l="1"/>
  <c r="C232" i="12"/>
  <c r="D234" i="12" l="1"/>
  <c r="C233" i="12"/>
  <c r="D235" i="12" l="1"/>
  <c r="C234" i="12"/>
  <c r="D236" i="12" l="1"/>
  <c r="C235" i="12"/>
  <c r="D237" i="12" l="1"/>
  <c r="C236" i="12"/>
  <c r="D238" i="12" l="1"/>
  <c r="C237" i="12"/>
  <c r="D239" i="12" l="1"/>
  <c r="C238" i="12"/>
  <c r="D240" i="12" l="1"/>
  <c r="C239" i="12"/>
  <c r="D241" i="12" l="1"/>
  <c r="C240" i="12"/>
  <c r="D242" i="12" l="1"/>
  <c r="C241" i="12"/>
  <c r="D243" i="12" l="1"/>
  <c r="C242" i="12"/>
  <c r="D244" i="12" l="1"/>
  <c r="C243" i="12"/>
  <c r="D245" i="12" l="1"/>
  <c r="C244" i="12"/>
  <c r="D246" i="12" l="1"/>
  <c r="C245" i="12"/>
  <c r="D247" i="12" l="1"/>
  <c r="C246" i="12"/>
  <c r="D248" i="12" l="1"/>
  <c r="C247" i="12"/>
  <c r="D249" i="12" l="1"/>
  <c r="C248" i="12"/>
  <c r="D250" i="12" l="1"/>
  <c r="C249" i="12"/>
  <c r="D251" i="12" l="1"/>
  <c r="C250" i="12"/>
  <c r="D252" i="12" l="1"/>
  <c r="C251" i="12"/>
  <c r="D253" i="12" l="1"/>
  <c r="C252" i="12"/>
  <c r="D254" i="12" l="1"/>
  <c r="C253" i="12"/>
  <c r="D255" i="12" l="1"/>
  <c r="C254" i="12"/>
  <c r="D256" i="12" l="1"/>
  <c r="C255" i="12"/>
  <c r="D257" i="12" l="1"/>
  <c r="C256" i="12"/>
  <c r="D258" i="12" l="1"/>
  <c r="C257" i="12"/>
  <c r="D259" i="12" l="1"/>
  <c r="C258" i="12"/>
  <c r="D260" i="12" l="1"/>
  <c r="C259" i="12"/>
  <c r="D261" i="12" l="1"/>
  <c r="C260" i="12"/>
  <c r="D262" i="12" l="1"/>
  <c r="C261" i="12"/>
  <c r="D263" i="12" l="1"/>
  <c r="C262" i="12"/>
  <c r="D264" i="12" l="1"/>
  <c r="C263" i="12"/>
  <c r="D265" i="12" l="1"/>
  <c r="C264" i="12"/>
  <c r="D266" i="12" l="1"/>
  <c r="C265" i="12"/>
  <c r="D267" i="12" l="1"/>
  <c r="C266" i="12"/>
  <c r="D268" i="12" l="1"/>
  <c r="C267" i="12"/>
  <c r="D269" i="12" l="1"/>
  <c r="C268" i="12"/>
  <c r="D270" i="12" l="1"/>
  <c r="C269" i="12"/>
  <c r="D271" i="12" l="1"/>
  <c r="C270" i="12"/>
  <c r="D272" i="12" l="1"/>
  <c r="C271" i="12"/>
  <c r="D273" i="12" l="1"/>
  <c r="C272" i="12"/>
  <c r="D274" i="12" l="1"/>
  <c r="C273" i="12"/>
  <c r="D275" i="12" l="1"/>
  <c r="C274" i="12"/>
  <c r="D276" i="12" l="1"/>
  <c r="C275" i="12"/>
  <c r="D277" i="12" l="1"/>
  <c r="C276" i="12"/>
  <c r="D278" i="12" l="1"/>
  <c r="C277" i="12"/>
  <c r="D279" i="12" l="1"/>
  <c r="C278" i="12"/>
  <c r="D280" i="12" l="1"/>
  <c r="C279" i="12"/>
  <c r="D281" i="12" l="1"/>
  <c r="C280" i="12"/>
  <c r="D282" i="12" l="1"/>
  <c r="C281" i="12"/>
  <c r="D283" i="12" l="1"/>
  <c r="C282" i="12"/>
  <c r="D284" i="12" l="1"/>
  <c r="C283" i="12"/>
  <c r="D285" i="12" l="1"/>
  <c r="C284" i="12"/>
  <c r="D286" i="12" l="1"/>
  <c r="C285" i="12"/>
  <c r="D287" i="12" l="1"/>
  <c r="C286" i="12"/>
  <c r="D288" i="12" l="1"/>
  <c r="C287" i="12"/>
  <c r="D289" i="12" l="1"/>
  <c r="C288" i="12"/>
  <c r="D290" i="12" l="1"/>
  <c r="C289" i="12"/>
  <c r="D291" i="12" l="1"/>
  <c r="C290" i="12"/>
  <c r="D292" i="12" l="1"/>
  <c r="C291" i="12"/>
  <c r="D293" i="12" l="1"/>
  <c r="C292" i="12"/>
  <c r="D294" i="12" l="1"/>
  <c r="C293" i="12"/>
  <c r="D295" i="12" l="1"/>
  <c r="C294" i="12"/>
  <c r="D296" i="12" l="1"/>
  <c r="C295" i="12"/>
  <c r="D297" i="12" l="1"/>
  <c r="C296" i="12"/>
  <c r="D298" i="12" l="1"/>
  <c r="C297" i="12"/>
  <c r="D299" i="12" l="1"/>
  <c r="C298" i="12"/>
  <c r="D300" i="12" l="1"/>
  <c r="C299" i="12"/>
  <c r="D301" i="12" l="1"/>
  <c r="C300" i="12"/>
  <c r="D302" i="12" l="1"/>
  <c r="C301" i="12"/>
  <c r="D303" i="12" l="1"/>
  <c r="C302" i="12"/>
  <c r="D304" i="12" l="1"/>
  <c r="C303" i="12"/>
  <c r="D305" i="12" l="1"/>
  <c r="C304" i="12"/>
  <c r="D306" i="12" l="1"/>
  <c r="C305" i="12"/>
  <c r="D307" i="12" l="1"/>
  <c r="C306" i="12"/>
  <c r="D308" i="12" l="1"/>
  <c r="C307" i="12"/>
  <c r="D309" i="12" l="1"/>
  <c r="C308" i="12"/>
  <c r="D310" i="12" l="1"/>
  <c r="C309" i="12"/>
  <c r="D311" i="12" l="1"/>
  <c r="C310" i="12"/>
  <c r="D312" i="12" l="1"/>
  <c r="C311" i="12"/>
  <c r="D313" i="12" l="1"/>
  <c r="C312" i="12"/>
  <c r="D314" i="12" l="1"/>
  <c r="C313" i="12"/>
  <c r="D315" i="12" l="1"/>
  <c r="C314" i="12"/>
  <c r="D316" i="12" l="1"/>
  <c r="C315" i="12"/>
  <c r="D317" i="12" l="1"/>
  <c r="C316" i="12"/>
  <c r="D318" i="12" l="1"/>
  <c r="C317" i="12"/>
  <c r="D319" i="12" l="1"/>
  <c r="C318" i="12"/>
  <c r="D320" i="12" l="1"/>
  <c r="C319" i="12"/>
  <c r="D321" i="12" l="1"/>
  <c r="C320" i="12"/>
  <c r="D322" i="12" l="1"/>
  <c r="C321" i="12"/>
  <c r="D323" i="12" l="1"/>
  <c r="C322" i="12"/>
  <c r="D324" i="12" l="1"/>
  <c r="C323" i="12"/>
  <c r="D325" i="12" l="1"/>
  <c r="C324" i="12"/>
  <c r="D326" i="12" l="1"/>
  <c r="C325" i="12"/>
  <c r="D327" i="12" l="1"/>
  <c r="C326" i="12"/>
  <c r="D328" i="12" l="1"/>
  <c r="C327" i="12"/>
  <c r="D329" i="12" l="1"/>
  <c r="C328" i="12"/>
  <c r="D330" i="12" l="1"/>
  <c r="C329" i="12"/>
  <c r="D331" i="12" l="1"/>
  <c r="C330" i="12"/>
  <c r="D332" i="12" l="1"/>
  <c r="C331" i="12"/>
  <c r="D333" i="12" l="1"/>
  <c r="C332" i="12"/>
  <c r="D334" i="12" l="1"/>
  <c r="C333" i="12"/>
  <c r="D335" i="12" l="1"/>
  <c r="C334" i="12"/>
  <c r="D336" i="12" l="1"/>
  <c r="C335" i="12"/>
  <c r="D337" i="12" l="1"/>
  <c r="C336" i="12"/>
  <c r="D338" i="12" l="1"/>
  <c r="C337" i="12"/>
  <c r="D339" i="12" l="1"/>
  <c r="C338" i="12"/>
  <c r="D340" i="12" l="1"/>
  <c r="C339" i="12"/>
  <c r="D341" i="12" l="1"/>
  <c r="C340" i="12"/>
  <c r="D342" i="12" l="1"/>
  <c r="C341" i="12"/>
  <c r="D343" i="12" l="1"/>
  <c r="C342" i="12"/>
  <c r="D344" i="12" l="1"/>
  <c r="C343" i="12"/>
  <c r="D345" i="12" l="1"/>
  <c r="C344" i="12"/>
  <c r="D346" i="12" l="1"/>
  <c r="C345" i="12"/>
  <c r="D347" i="12" l="1"/>
  <c r="C346" i="12"/>
  <c r="D348" i="12" l="1"/>
  <c r="C347" i="12"/>
  <c r="D349" i="12" l="1"/>
  <c r="C348" i="12"/>
  <c r="D350" i="12" l="1"/>
  <c r="C349" i="12"/>
  <c r="D351" i="12" l="1"/>
  <c r="C350" i="12"/>
  <c r="D352" i="12" l="1"/>
  <c r="C351" i="12"/>
  <c r="D353" i="12" l="1"/>
  <c r="C352" i="12"/>
  <c r="D354" i="12" l="1"/>
  <c r="C353" i="12"/>
  <c r="D355" i="12" l="1"/>
  <c r="C354" i="12"/>
  <c r="D356" i="12" l="1"/>
  <c r="C355" i="12"/>
  <c r="D357" i="12" l="1"/>
  <c r="C356" i="12"/>
  <c r="D358" i="12" l="1"/>
  <c r="C357" i="12"/>
  <c r="D359" i="12" l="1"/>
  <c r="C358" i="12"/>
  <c r="D360" i="12" l="1"/>
  <c r="C359" i="12"/>
  <c r="D361" i="12" l="1"/>
  <c r="C360" i="12"/>
  <c r="D362" i="12" l="1"/>
  <c r="C361" i="12"/>
  <c r="D363" i="12" l="1"/>
  <c r="C362" i="12"/>
  <c r="D364" i="12" l="1"/>
  <c r="C363" i="12"/>
  <c r="D365" i="12" l="1"/>
  <c r="C364" i="12"/>
  <c r="D366" i="12" l="1"/>
  <c r="C365" i="12"/>
  <c r="D367" i="12" l="1"/>
  <c r="C366" i="12"/>
  <c r="D368" i="12" l="1"/>
  <c r="C367" i="12"/>
  <c r="D369" i="12" l="1"/>
  <c r="C368" i="12"/>
  <c r="D370" i="12" l="1"/>
  <c r="C369" i="12"/>
  <c r="D371" i="12" l="1"/>
  <c r="C370" i="12"/>
  <c r="D372" i="12" l="1"/>
  <c r="C371" i="12"/>
  <c r="D373" i="12" l="1"/>
  <c r="C372" i="12"/>
  <c r="D374" i="12" l="1"/>
  <c r="C373" i="12"/>
  <c r="D375" i="12" l="1"/>
  <c r="C374" i="12"/>
  <c r="D376" i="12" l="1"/>
  <c r="C375" i="12"/>
  <c r="D377" i="12" l="1"/>
  <c r="C376" i="12"/>
  <c r="D378" i="12" l="1"/>
  <c r="C377" i="12"/>
  <c r="D379" i="12" l="1"/>
  <c r="C378" i="12"/>
  <c r="D380" i="12" l="1"/>
  <c r="C379" i="12"/>
  <c r="D381" i="12" l="1"/>
  <c r="C380" i="12"/>
  <c r="D382" i="12" l="1"/>
  <c r="C381" i="12"/>
  <c r="D383" i="12" l="1"/>
  <c r="C382" i="12"/>
  <c r="D384" i="12" l="1"/>
  <c r="C383" i="12"/>
  <c r="D385" i="12" l="1"/>
  <c r="C384" i="12"/>
  <c r="D386" i="12" l="1"/>
  <c r="C385" i="12"/>
  <c r="D387" i="12" l="1"/>
  <c r="C386" i="12"/>
  <c r="D388" i="12" l="1"/>
  <c r="C387" i="12"/>
  <c r="D389" i="12" l="1"/>
  <c r="C388" i="12"/>
  <c r="D390" i="12" l="1"/>
  <c r="C389" i="12"/>
  <c r="D391" i="12" l="1"/>
  <c r="C390" i="12"/>
  <c r="D392" i="12" l="1"/>
  <c r="C391" i="12"/>
  <c r="D393" i="12" l="1"/>
  <c r="C392" i="12"/>
  <c r="D394" i="12" l="1"/>
  <c r="C393" i="12"/>
  <c r="D395" i="12" l="1"/>
  <c r="C394" i="12"/>
  <c r="D396" i="12" l="1"/>
  <c r="C395" i="12"/>
  <c r="D397" i="12" l="1"/>
  <c r="C396" i="12"/>
  <c r="D398" i="12" l="1"/>
  <c r="C397" i="12"/>
  <c r="D399" i="12" l="1"/>
  <c r="C398" i="12"/>
  <c r="D400" i="12" l="1"/>
  <c r="C399" i="12"/>
  <c r="D401" i="12" l="1"/>
  <c r="C400" i="12"/>
  <c r="D402" i="12" l="1"/>
  <c r="C401" i="12"/>
  <c r="D403" i="12" l="1"/>
  <c r="C402" i="12"/>
  <c r="D404" i="12" l="1"/>
  <c r="C403" i="12"/>
  <c r="D405" i="12" l="1"/>
  <c r="C404" i="12"/>
  <c r="D406" i="12" l="1"/>
  <c r="C405" i="12"/>
  <c r="D407" i="12" l="1"/>
  <c r="C406" i="12"/>
  <c r="D408" i="12" l="1"/>
  <c r="C407" i="12"/>
  <c r="D409" i="12" l="1"/>
  <c r="C408" i="12"/>
  <c r="D410" i="12" l="1"/>
  <c r="C409" i="12"/>
  <c r="D411" i="12" l="1"/>
  <c r="C410" i="12"/>
  <c r="D412" i="12" l="1"/>
  <c r="C411" i="12"/>
  <c r="D413" i="12" l="1"/>
  <c r="C412" i="12"/>
  <c r="D414" i="12" l="1"/>
  <c r="C413" i="12"/>
  <c r="D415" i="12" l="1"/>
  <c r="C414" i="12"/>
  <c r="D416" i="12" l="1"/>
  <c r="C415" i="12"/>
  <c r="D417" i="12" l="1"/>
  <c r="C416" i="12"/>
  <c r="D418" i="12" l="1"/>
  <c r="C417" i="12"/>
  <c r="D419" i="12" l="1"/>
  <c r="C418" i="12"/>
  <c r="D420" i="12" l="1"/>
  <c r="C419" i="12"/>
  <c r="D421" i="12" l="1"/>
  <c r="C420" i="12"/>
  <c r="D422" i="12" l="1"/>
  <c r="C421" i="12"/>
  <c r="D423" i="12" l="1"/>
  <c r="C422" i="12"/>
  <c r="D424" i="12" l="1"/>
  <c r="C423" i="12"/>
  <c r="D425" i="12" l="1"/>
  <c r="C424" i="12"/>
  <c r="D426" i="12" l="1"/>
  <c r="C425" i="12"/>
  <c r="D427" i="12" l="1"/>
  <c r="C426" i="12"/>
  <c r="D428" i="12" l="1"/>
  <c r="C427" i="12"/>
  <c r="D429" i="12" l="1"/>
  <c r="C428" i="12"/>
  <c r="D430" i="12" l="1"/>
  <c r="C429" i="12"/>
  <c r="D431" i="12" l="1"/>
  <c r="C430" i="12"/>
  <c r="D432" i="12" l="1"/>
  <c r="C431" i="12"/>
  <c r="D433" i="12" l="1"/>
  <c r="C432" i="12"/>
  <c r="D434" i="12" l="1"/>
  <c r="C433" i="12"/>
  <c r="D435" i="12" l="1"/>
  <c r="C434" i="12"/>
  <c r="D436" i="12" l="1"/>
  <c r="C435" i="12"/>
  <c r="D437" i="12" l="1"/>
  <c r="C436" i="12"/>
  <c r="D438" i="12" l="1"/>
  <c r="C437" i="12"/>
  <c r="D439" i="12" l="1"/>
  <c r="C438" i="12"/>
  <c r="D440" i="12" l="1"/>
  <c r="C439" i="12"/>
  <c r="D441" i="12" l="1"/>
  <c r="C440" i="12"/>
  <c r="D442" i="12" l="1"/>
  <c r="C441" i="12"/>
  <c r="D443" i="12" l="1"/>
  <c r="C442" i="12"/>
  <c r="D444" i="12" l="1"/>
  <c r="C443" i="12"/>
  <c r="D445" i="12" l="1"/>
  <c r="C444" i="12"/>
  <c r="D446" i="12" l="1"/>
  <c r="C445" i="12"/>
  <c r="D447" i="12" l="1"/>
  <c r="C446" i="12"/>
  <c r="D448" i="12" l="1"/>
  <c r="C447" i="12"/>
  <c r="D449" i="12" l="1"/>
  <c r="C448" i="12"/>
  <c r="D450" i="12" l="1"/>
  <c r="C449" i="12"/>
  <c r="D451" i="12" l="1"/>
  <c r="C450" i="12"/>
  <c r="D452" i="12" l="1"/>
  <c r="C451" i="12"/>
  <c r="D453" i="12" l="1"/>
  <c r="C452" i="12"/>
  <c r="D454" i="12" l="1"/>
  <c r="C453" i="12"/>
  <c r="D455" i="12" l="1"/>
  <c r="C454" i="12"/>
  <c r="D456" i="12" l="1"/>
  <c r="C455" i="12"/>
  <c r="D457" i="12" l="1"/>
  <c r="C456" i="12"/>
  <c r="D458" i="12" l="1"/>
  <c r="C457" i="12"/>
  <c r="D459" i="12" l="1"/>
  <c r="C458" i="12"/>
  <c r="D460" i="12" l="1"/>
  <c r="C459" i="12"/>
  <c r="D461" i="12" l="1"/>
  <c r="C460" i="12"/>
  <c r="D462" i="12" l="1"/>
  <c r="C461" i="12"/>
  <c r="D463" i="12" l="1"/>
  <c r="C462" i="12"/>
  <c r="D464" i="12" l="1"/>
  <c r="C463" i="12"/>
  <c r="D465" i="12" l="1"/>
  <c r="C464" i="12"/>
  <c r="D466" i="12" l="1"/>
  <c r="C465" i="12"/>
  <c r="D467" i="12" l="1"/>
  <c r="C466" i="12"/>
  <c r="D468" i="12" l="1"/>
  <c r="C467" i="12"/>
  <c r="D469" i="12" l="1"/>
  <c r="C468" i="12"/>
  <c r="D470" i="12" l="1"/>
  <c r="C469" i="12"/>
  <c r="D471" i="12" l="1"/>
  <c r="C470" i="12"/>
  <c r="D472" i="12" l="1"/>
  <c r="C471" i="12"/>
  <c r="D473" i="12" l="1"/>
  <c r="C472" i="12"/>
  <c r="D474" i="12" l="1"/>
  <c r="C473" i="12"/>
  <c r="D475" i="12" l="1"/>
  <c r="C474" i="12"/>
  <c r="D476" i="12" l="1"/>
  <c r="C475" i="12"/>
  <c r="D477" i="12" l="1"/>
  <c r="C476" i="12"/>
  <c r="D478" i="12" l="1"/>
  <c r="C477" i="12"/>
  <c r="D479" i="12" l="1"/>
  <c r="C478" i="12"/>
  <c r="D480" i="12" l="1"/>
  <c r="C479" i="12"/>
  <c r="D481" i="12" l="1"/>
  <c r="C480" i="12"/>
  <c r="D482" i="12" l="1"/>
  <c r="C481" i="12"/>
  <c r="D483" i="12" l="1"/>
  <c r="C482" i="12"/>
  <c r="D484" i="12" l="1"/>
  <c r="C483" i="12"/>
  <c r="D485" i="12" l="1"/>
  <c r="C484" i="12"/>
  <c r="D486" i="12" l="1"/>
  <c r="C485" i="12"/>
  <c r="D487" i="12" l="1"/>
  <c r="C486" i="12"/>
  <c r="D488" i="12" l="1"/>
  <c r="C487" i="12"/>
  <c r="D489" i="12" l="1"/>
  <c r="C488" i="12"/>
  <c r="D490" i="12" l="1"/>
  <c r="C489" i="12"/>
  <c r="D491" i="12" l="1"/>
  <c r="C490" i="12"/>
  <c r="D492" i="12" l="1"/>
  <c r="C491" i="12"/>
  <c r="D493" i="12" l="1"/>
  <c r="C492" i="12"/>
  <c r="D494" i="12" l="1"/>
  <c r="C493" i="12"/>
  <c r="D495" i="12" l="1"/>
  <c r="C494" i="12"/>
  <c r="D496" i="12" l="1"/>
  <c r="C495" i="12"/>
  <c r="D497" i="12" l="1"/>
  <c r="C496" i="12"/>
  <c r="D498" i="12" l="1"/>
  <c r="C497" i="12"/>
  <c r="D499" i="12" l="1"/>
  <c r="C498" i="12"/>
  <c r="D500" i="12" l="1"/>
  <c r="C499" i="12"/>
  <c r="D501" i="12" l="1"/>
  <c r="C500" i="12"/>
  <c r="D502" i="12" l="1"/>
  <c r="C501" i="12"/>
  <c r="D503" i="12" l="1"/>
  <c r="C502" i="12"/>
  <c r="D504" i="12" l="1"/>
  <c r="C503" i="12"/>
  <c r="D505" i="12" l="1"/>
  <c r="C504" i="12"/>
  <c r="D506" i="12" l="1"/>
  <c r="C505" i="12"/>
  <c r="D507" i="12" l="1"/>
  <c r="C506" i="12"/>
  <c r="D508" i="12" l="1"/>
  <c r="C507" i="12"/>
  <c r="D509" i="12" l="1"/>
  <c r="C508" i="12"/>
  <c r="D510" i="12" l="1"/>
  <c r="C509" i="12"/>
  <c r="D511" i="12" l="1"/>
  <c r="C510" i="12"/>
  <c r="D512" i="12" l="1"/>
  <c r="C511" i="12"/>
  <c r="D513" i="12" l="1"/>
  <c r="C512" i="12"/>
  <c r="D514" i="12" l="1"/>
  <c r="C513" i="12"/>
  <c r="D515" i="12" l="1"/>
  <c r="C514" i="12"/>
  <c r="D516" i="12" l="1"/>
  <c r="C515" i="12"/>
  <c r="D517" i="12" l="1"/>
  <c r="C516" i="12"/>
  <c r="D518" i="12" l="1"/>
  <c r="C517" i="12"/>
  <c r="D519" i="12" l="1"/>
  <c r="C518" i="12"/>
  <c r="D520" i="12" l="1"/>
  <c r="C519" i="12"/>
  <c r="D521" i="12" l="1"/>
  <c r="C520" i="12"/>
  <c r="D522" i="12" l="1"/>
  <c r="C521" i="12"/>
  <c r="D523" i="12" l="1"/>
  <c r="C522" i="12"/>
  <c r="D524" i="12" l="1"/>
  <c r="C523" i="12"/>
  <c r="D525" i="12" l="1"/>
  <c r="C524" i="12"/>
  <c r="D526" i="12" l="1"/>
  <c r="C525" i="12"/>
  <c r="D527" i="12" l="1"/>
  <c r="C526" i="12"/>
  <c r="D528" i="12" l="1"/>
  <c r="C527" i="12"/>
  <c r="D529" i="12" l="1"/>
  <c r="C528" i="12"/>
  <c r="D530" i="12" l="1"/>
  <c r="C529" i="12"/>
  <c r="D531" i="12" l="1"/>
  <c r="C530" i="12"/>
  <c r="D532" i="12" l="1"/>
  <c r="C531" i="12"/>
  <c r="D533" i="12" l="1"/>
  <c r="C532" i="12"/>
  <c r="D534" i="12" l="1"/>
  <c r="C533" i="12"/>
  <c r="D535" i="12" l="1"/>
  <c r="C534" i="12"/>
  <c r="D536" i="12" l="1"/>
  <c r="C535" i="12"/>
  <c r="D537" i="12" l="1"/>
  <c r="C536" i="12"/>
  <c r="D538" i="12" l="1"/>
  <c r="C537" i="12"/>
  <c r="D539" i="12" l="1"/>
  <c r="C538" i="12"/>
  <c r="D540" i="12" l="1"/>
  <c r="C539" i="12"/>
  <c r="D541" i="12" l="1"/>
  <c r="C540" i="12"/>
  <c r="D542" i="12" l="1"/>
  <c r="C541" i="12"/>
  <c r="D543" i="12" l="1"/>
  <c r="C542" i="12"/>
  <c r="D544" i="12" l="1"/>
  <c r="C543" i="12"/>
  <c r="D545" i="12" l="1"/>
  <c r="C544" i="12"/>
  <c r="D546" i="12" l="1"/>
  <c r="C545" i="12"/>
  <c r="D547" i="12" l="1"/>
  <c r="C546" i="12"/>
  <c r="D548" i="12" l="1"/>
  <c r="C547" i="12"/>
  <c r="D549" i="12" l="1"/>
  <c r="C548" i="12"/>
  <c r="D550" i="12" l="1"/>
  <c r="C549" i="12"/>
  <c r="D551" i="12" l="1"/>
  <c r="C550" i="12"/>
  <c r="D552" i="12" l="1"/>
  <c r="C551" i="12"/>
  <c r="D553" i="12" l="1"/>
  <c r="C552" i="12"/>
  <c r="D554" i="12" l="1"/>
  <c r="C553" i="12"/>
  <c r="D555" i="12" l="1"/>
  <c r="C554" i="12"/>
  <c r="D556" i="12" l="1"/>
  <c r="C555" i="12"/>
  <c r="D557" i="12" l="1"/>
  <c r="C556" i="12"/>
  <c r="D558" i="12" l="1"/>
  <c r="C557" i="12"/>
  <c r="D559" i="12" l="1"/>
  <c r="C558" i="12"/>
  <c r="D560" i="12" l="1"/>
  <c r="C559" i="12"/>
  <c r="D561" i="12" l="1"/>
  <c r="C560" i="12"/>
  <c r="D562" i="12" l="1"/>
  <c r="C561" i="12"/>
  <c r="D563" i="12" l="1"/>
  <c r="C562" i="12"/>
  <c r="D564" i="12" l="1"/>
  <c r="C563" i="12"/>
  <c r="D565" i="12" l="1"/>
  <c r="C564" i="12"/>
  <c r="D566" i="12" l="1"/>
  <c r="C565" i="12"/>
  <c r="D567" i="12" l="1"/>
  <c r="C566" i="12"/>
  <c r="D568" i="12" l="1"/>
  <c r="C567" i="12"/>
  <c r="D569" i="12" l="1"/>
  <c r="C568" i="12"/>
  <c r="D570" i="12" l="1"/>
  <c r="C569" i="12"/>
  <c r="D571" i="12" l="1"/>
  <c r="C570" i="12"/>
  <c r="D572" i="12" l="1"/>
  <c r="C571" i="12"/>
  <c r="D573" i="12" l="1"/>
  <c r="C572" i="12"/>
  <c r="D574" i="12" l="1"/>
  <c r="C573" i="12"/>
  <c r="D575" i="12" l="1"/>
  <c r="C574" i="12"/>
  <c r="D576" i="12" l="1"/>
  <c r="C575" i="12"/>
  <c r="D577" i="12" l="1"/>
  <c r="C576" i="12"/>
  <c r="D578" i="12" l="1"/>
  <c r="C577" i="12"/>
  <c r="D579" i="12" l="1"/>
  <c r="C578" i="12"/>
  <c r="D580" i="12" l="1"/>
  <c r="C579" i="12"/>
  <c r="D581" i="12" l="1"/>
  <c r="C580" i="12"/>
  <c r="D582" i="12" l="1"/>
  <c r="C581" i="12"/>
  <c r="D583" i="12" l="1"/>
  <c r="C582" i="12"/>
  <c r="D584" i="12" l="1"/>
  <c r="C583" i="12"/>
  <c r="D585" i="12" l="1"/>
  <c r="C584" i="12"/>
  <c r="D586" i="12" l="1"/>
  <c r="C585" i="12"/>
  <c r="D587" i="12" l="1"/>
  <c r="C586" i="12"/>
  <c r="D588" i="12" l="1"/>
  <c r="C587" i="12"/>
  <c r="D589" i="12" l="1"/>
  <c r="C588" i="12"/>
  <c r="D590" i="12" l="1"/>
  <c r="C589" i="12"/>
  <c r="D591" i="12" l="1"/>
  <c r="C590" i="12"/>
  <c r="D592" i="12" l="1"/>
  <c r="C591" i="12"/>
  <c r="D593" i="12" l="1"/>
  <c r="C592" i="12"/>
  <c r="D594" i="12" l="1"/>
  <c r="C593" i="12"/>
  <c r="D595" i="12" l="1"/>
  <c r="C594" i="12"/>
  <c r="D596" i="12" l="1"/>
  <c r="C595" i="12"/>
  <c r="D597" i="12" l="1"/>
  <c r="C596" i="12"/>
  <c r="D598" i="12" l="1"/>
  <c r="C597" i="12"/>
  <c r="D599" i="12" l="1"/>
  <c r="C598" i="12"/>
  <c r="D600" i="12" l="1"/>
  <c r="C599" i="12"/>
  <c r="D601" i="12" l="1"/>
  <c r="C600" i="12"/>
  <c r="D602" i="12" l="1"/>
  <c r="C601" i="12"/>
  <c r="D603" i="12" l="1"/>
  <c r="C602" i="12"/>
  <c r="D604" i="12" l="1"/>
  <c r="C603" i="12"/>
  <c r="D605" i="12" l="1"/>
  <c r="C604" i="12"/>
  <c r="D606" i="12" l="1"/>
  <c r="C605" i="12"/>
  <c r="D607" i="12" l="1"/>
  <c r="C606" i="12"/>
  <c r="D608" i="12" l="1"/>
  <c r="C607" i="12"/>
  <c r="D609" i="12" l="1"/>
  <c r="C608" i="12"/>
  <c r="D610" i="12" l="1"/>
  <c r="C609" i="12"/>
  <c r="D611" i="12" l="1"/>
  <c r="C610" i="12"/>
  <c r="D612" i="12" l="1"/>
  <c r="C611" i="12"/>
  <c r="D613" i="12" l="1"/>
  <c r="C612" i="12"/>
  <c r="D614" i="12" l="1"/>
  <c r="C613" i="12"/>
  <c r="D615" i="12" l="1"/>
  <c r="C614" i="12"/>
  <c r="D616" i="12" l="1"/>
  <c r="C615" i="12"/>
  <c r="D617" i="12" l="1"/>
  <c r="C616" i="12"/>
  <c r="D618" i="12" l="1"/>
  <c r="C617" i="12"/>
  <c r="D619" i="12" l="1"/>
  <c r="C618" i="12"/>
  <c r="D620" i="12" l="1"/>
  <c r="C619" i="12"/>
  <c r="D621" i="12" l="1"/>
  <c r="C620" i="12"/>
  <c r="D622" i="12" l="1"/>
  <c r="C621" i="12"/>
  <c r="D623" i="12" l="1"/>
  <c r="C622" i="12"/>
  <c r="D624" i="12" l="1"/>
  <c r="C623" i="12"/>
  <c r="D625" i="12" l="1"/>
  <c r="C624" i="12"/>
  <c r="D626" i="12" l="1"/>
  <c r="C625" i="12"/>
  <c r="D627" i="12" l="1"/>
  <c r="C626" i="12"/>
  <c r="D628" i="12" l="1"/>
  <c r="C627" i="12"/>
  <c r="D629" i="12" l="1"/>
  <c r="C628" i="12"/>
  <c r="D630" i="12" l="1"/>
  <c r="C629" i="12"/>
  <c r="D631" i="12" l="1"/>
  <c r="C630" i="12"/>
  <c r="D632" i="12" l="1"/>
  <c r="C631" i="12"/>
  <c r="D633" i="12" l="1"/>
  <c r="C632" i="12"/>
  <c r="D634" i="12" l="1"/>
  <c r="C633" i="12"/>
  <c r="D635" i="12" l="1"/>
  <c r="C634" i="12"/>
  <c r="D636" i="12" l="1"/>
  <c r="C635" i="12"/>
  <c r="D637" i="12" l="1"/>
  <c r="C636" i="12"/>
  <c r="D638" i="12" l="1"/>
  <c r="C637" i="12"/>
  <c r="D639" i="12" l="1"/>
  <c r="C638" i="12"/>
  <c r="D640" i="12" l="1"/>
  <c r="C639" i="12"/>
  <c r="D641" i="12" l="1"/>
  <c r="C640" i="12"/>
  <c r="D642" i="12" l="1"/>
  <c r="C641" i="12"/>
  <c r="D643" i="12" l="1"/>
  <c r="C642" i="12"/>
  <c r="D644" i="12" l="1"/>
  <c r="C643" i="12"/>
  <c r="D645" i="12" l="1"/>
  <c r="C644" i="12"/>
  <c r="D646" i="12" l="1"/>
  <c r="C645" i="12"/>
  <c r="D647" i="12" l="1"/>
  <c r="C646" i="12"/>
  <c r="D648" i="12" l="1"/>
  <c r="C647" i="12"/>
  <c r="D649" i="12" l="1"/>
  <c r="C648" i="12"/>
  <c r="D650" i="12" l="1"/>
  <c r="C649" i="12"/>
  <c r="D651" i="12" l="1"/>
  <c r="C650" i="12"/>
  <c r="D652" i="12" l="1"/>
  <c r="C651" i="12"/>
  <c r="D653" i="12" l="1"/>
  <c r="C652" i="12"/>
  <c r="D654" i="12" l="1"/>
  <c r="C653" i="12"/>
  <c r="D655" i="12" l="1"/>
  <c r="C654" i="12"/>
  <c r="D656" i="12" l="1"/>
  <c r="C655" i="12"/>
  <c r="D657" i="12" l="1"/>
  <c r="C656" i="12"/>
  <c r="D658" i="12" l="1"/>
  <c r="C657" i="12"/>
  <c r="D659" i="12" l="1"/>
  <c r="C658" i="12"/>
  <c r="D660" i="12" l="1"/>
  <c r="C659" i="12"/>
  <c r="D661" i="12" l="1"/>
  <c r="C660" i="12"/>
  <c r="D662" i="12" l="1"/>
  <c r="C661" i="12"/>
  <c r="D663" i="12" l="1"/>
  <c r="C662" i="12"/>
  <c r="D664" i="12" l="1"/>
  <c r="C663" i="12"/>
  <c r="D665" i="12" l="1"/>
  <c r="C664" i="12"/>
  <c r="D666" i="12" l="1"/>
  <c r="C665" i="12"/>
  <c r="D667" i="12" l="1"/>
  <c r="C666" i="12"/>
  <c r="D668" i="12" l="1"/>
  <c r="C667" i="12"/>
  <c r="D669" i="12" l="1"/>
  <c r="C668" i="12"/>
  <c r="D670" i="12" l="1"/>
  <c r="C669" i="12"/>
  <c r="D671" i="12" l="1"/>
  <c r="C670" i="12"/>
  <c r="D672" i="12" l="1"/>
  <c r="C671" i="12"/>
  <c r="D673" i="12" l="1"/>
  <c r="C672" i="12"/>
  <c r="D674" i="12" l="1"/>
  <c r="C673" i="12"/>
  <c r="D675" i="12" l="1"/>
  <c r="C674" i="12"/>
  <c r="D676" i="12" l="1"/>
  <c r="C675" i="12"/>
  <c r="D677" i="12" l="1"/>
  <c r="C676" i="12"/>
  <c r="D678" i="12" l="1"/>
  <c r="C677" i="12"/>
  <c r="D679" i="12" l="1"/>
  <c r="C678" i="12"/>
  <c r="D680" i="12" l="1"/>
  <c r="C679" i="12"/>
  <c r="D681" i="12" l="1"/>
  <c r="C680" i="12"/>
  <c r="D682" i="12" l="1"/>
  <c r="C681" i="12"/>
  <c r="D683" i="12" l="1"/>
  <c r="C682" i="12"/>
  <c r="D684" i="12" l="1"/>
  <c r="C683" i="12"/>
  <c r="D685" i="12" l="1"/>
  <c r="C684" i="12"/>
  <c r="D686" i="12" l="1"/>
  <c r="C685" i="12"/>
  <c r="D687" i="12" l="1"/>
  <c r="C686" i="12"/>
  <c r="D688" i="12" l="1"/>
  <c r="C687" i="12"/>
  <c r="D689" i="12" l="1"/>
  <c r="C688" i="12"/>
  <c r="D690" i="12" l="1"/>
  <c r="C689" i="12"/>
  <c r="D691" i="12" l="1"/>
  <c r="C690" i="12"/>
  <c r="D692" i="12" l="1"/>
  <c r="C691" i="12"/>
  <c r="D693" i="12" l="1"/>
  <c r="C692" i="12"/>
  <c r="D694" i="12" l="1"/>
  <c r="C693" i="12"/>
  <c r="D695" i="12" l="1"/>
  <c r="C694" i="12"/>
  <c r="D696" i="12" l="1"/>
  <c r="C695" i="12"/>
  <c r="D697" i="12" l="1"/>
  <c r="C696" i="12"/>
  <c r="D698" i="12" l="1"/>
  <c r="C697" i="12"/>
  <c r="D699" i="12" l="1"/>
  <c r="C698" i="12"/>
  <c r="D700" i="12" l="1"/>
  <c r="C699" i="12"/>
  <c r="D701" i="12" l="1"/>
  <c r="C700" i="12"/>
  <c r="D702" i="12" l="1"/>
  <c r="C701" i="12"/>
  <c r="D703" i="12" l="1"/>
  <c r="C702" i="12"/>
  <c r="D704" i="12" l="1"/>
  <c r="C703" i="12"/>
  <c r="D705" i="12" l="1"/>
  <c r="C704" i="12"/>
  <c r="D706" i="12" l="1"/>
  <c r="C705" i="12"/>
  <c r="D707" i="12" l="1"/>
  <c r="C706" i="12"/>
  <c r="D708" i="12" l="1"/>
  <c r="C707" i="12"/>
  <c r="D709" i="12" l="1"/>
  <c r="C708" i="12"/>
  <c r="D710" i="12" l="1"/>
  <c r="C709" i="12"/>
  <c r="D711" i="12" l="1"/>
  <c r="C710" i="12"/>
  <c r="D712" i="12" l="1"/>
  <c r="C711" i="12"/>
  <c r="D713" i="12" l="1"/>
  <c r="C712" i="12"/>
  <c r="D714" i="12" l="1"/>
  <c r="C713" i="12"/>
  <c r="D715" i="12" l="1"/>
  <c r="C714" i="12"/>
  <c r="D716" i="12" l="1"/>
  <c r="C715" i="12"/>
  <c r="D717" i="12" l="1"/>
  <c r="C716" i="12"/>
  <c r="D718" i="12" l="1"/>
  <c r="C717" i="12"/>
  <c r="D719" i="12" l="1"/>
  <c r="C718" i="12"/>
  <c r="D720" i="12" l="1"/>
  <c r="C719" i="12"/>
  <c r="D721" i="12" l="1"/>
  <c r="C720" i="12"/>
  <c r="D722" i="12" l="1"/>
  <c r="C721" i="12"/>
  <c r="D723" i="12" l="1"/>
  <c r="C722" i="12"/>
  <c r="D724" i="12" l="1"/>
  <c r="C723" i="12"/>
  <c r="D725" i="12" l="1"/>
  <c r="C724" i="12"/>
  <c r="D726" i="12" l="1"/>
  <c r="C725" i="12"/>
  <c r="D727" i="12" l="1"/>
  <c r="C726" i="12"/>
  <c r="D728" i="12" l="1"/>
  <c r="C727" i="12"/>
  <c r="D729" i="12" l="1"/>
  <c r="C728" i="12"/>
  <c r="D730" i="12" l="1"/>
  <c r="C729" i="12"/>
  <c r="D731" i="12" l="1"/>
  <c r="C730" i="12"/>
  <c r="D732" i="12" l="1"/>
  <c r="C731" i="12"/>
  <c r="D733" i="12" l="1"/>
  <c r="C732" i="12"/>
  <c r="D734" i="12" l="1"/>
  <c r="C733" i="12"/>
  <c r="D735" i="12" l="1"/>
  <c r="C734" i="12"/>
  <c r="D736" i="12" l="1"/>
  <c r="C735" i="12"/>
  <c r="D737" i="12" l="1"/>
  <c r="C736" i="12"/>
  <c r="D738" i="12" l="1"/>
  <c r="C737" i="12"/>
  <c r="D739" i="12" l="1"/>
  <c r="C738" i="12"/>
  <c r="D740" i="12" l="1"/>
  <c r="C739" i="12"/>
  <c r="D741" i="12" l="1"/>
  <c r="C740" i="12"/>
  <c r="D742" i="12" l="1"/>
  <c r="C741" i="12"/>
  <c r="D743" i="12" l="1"/>
  <c r="C742" i="12"/>
  <c r="D744" i="12" l="1"/>
  <c r="C743" i="12"/>
  <c r="D745" i="12" l="1"/>
  <c r="C744" i="12"/>
  <c r="D746" i="12" l="1"/>
  <c r="C745" i="12"/>
  <c r="D747" i="12" l="1"/>
  <c r="C746" i="12"/>
  <c r="D748" i="12" l="1"/>
  <c r="C747" i="12"/>
  <c r="D749" i="12" l="1"/>
  <c r="C748" i="12"/>
  <c r="D750" i="12" l="1"/>
  <c r="C749" i="12"/>
  <c r="D751" i="12" l="1"/>
  <c r="C750" i="12"/>
  <c r="D752" i="12" l="1"/>
  <c r="C751" i="12"/>
  <c r="D753" i="12" l="1"/>
  <c r="C752" i="12"/>
  <c r="D754" i="12" l="1"/>
  <c r="C753" i="12"/>
  <c r="D755" i="12" l="1"/>
  <c r="C754" i="12"/>
  <c r="D756" i="12" l="1"/>
  <c r="C755" i="12"/>
  <c r="D757" i="12" l="1"/>
  <c r="C756" i="12"/>
  <c r="D758" i="12" l="1"/>
  <c r="C757" i="12"/>
  <c r="D759" i="12" l="1"/>
  <c r="C758" i="12"/>
  <c r="D760" i="12" l="1"/>
  <c r="C759" i="12"/>
  <c r="D761" i="12" l="1"/>
  <c r="C760" i="12"/>
  <c r="D762" i="12" l="1"/>
  <c r="C761" i="12"/>
  <c r="D763" i="12" l="1"/>
  <c r="C762" i="12"/>
  <c r="D764" i="12" l="1"/>
  <c r="C763" i="12"/>
  <c r="D765" i="12" l="1"/>
  <c r="C764" i="12"/>
  <c r="D766" i="12" l="1"/>
  <c r="C765" i="12"/>
  <c r="D767" i="12" l="1"/>
  <c r="C766" i="12"/>
  <c r="D768" i="12" l="1"/>
  <c r="C767" i="12"/>
  <c r="D769" i="12" l="1"/>
  <c r="C768" i="12"/>
  <c r="D770" i="12" l="1"/>
  <c r="C769" i="12"/>
  <c r="D771" i="12" l="1"/>
  <c r="C770" i="12"/>
  <c r="D772" i="12" l="1"/>
  <c r="C771" i="12"/>
  <c r="D773" i="12" l="1"/>
  <c r="C772" i="12"/>
  <c r="D774" i="12" l="1"/>
  <c r="C773" i="12"/>
  <c r="D775" i="12" l="1"/>
  <c r="C774" i="12"/>
  <c r="D776" i="12" l="1"/>
  <c r="C775" i="12"/>
  <c r="D777" i="12" l="1"/>
  <c r="C776" i="12"/>
  <c r="D778" i="12" l="1"/>
  <c r="C777" i="12"/>
  <c r="D779" i="12" l="1"/>
  <c r="C778" i="12"/>
  <c r="D780" i="12" l="1"/>
  <c r="C779" i="12"/>
  <c r="D781" i="12" l="1"/>
  <c r="C780" i="12"/>
  <c r="D782" i="12" l="1"/>
  <c r="C781" i="12"/>
  <c r="D783" i="12" l="1"/>
  <c r="C782" i="12"/>
  <c r="D784" i="12" l="1"/>
  <c r="C783" i="12"/>
  <c r="D785" i="12" l="1"/>
  <c r="C784" i="12"/>
  <c r="D786" i="12" l="1"/>
  <c r="C785" i="12"/>
  <c r="D787" i="12" l="1"/>
  <c r="C786" i="12"/>
  <c r="D788" i="12" l="1"/>
  <c r="C787" i="12"/>
  <c r="D789" i="12" l="1"/>
  <c r="C788" i="12"/>
  <c r="D790" i="12" l="1"/>
  <c r="C789" i="12"/>
  <c r="D791" i="12" l="1"/>
  <c r="C790" i="12"/>
  <c r="D792" i="12" l="1"/>
  <c r="C791" i="12"/>
  <c r="D793" i="12" l="1"/>
  <c r="C792" i="12"/>
  <c r="D794" i="12" l="1"/>
  <c r="C793" i="12"/>
  <c r="D795" i="12" l="1"/>
  <c r="C794" i="12"/>
  <c r="D796" i="12" l="1"/>
  <c r="C795" i="12"/>
  <c r="D797" i="12" l="1"/>
  <c r="C796" i="12"/>
  <c r="D798" i="12" l="1"/>
  <c r="C797" i="12"/>
  <c r="D799" i="12" l="1"/>
  <c r="C798" i="12"/>
  <c r="D800" i="12" l="1"/>
  <c r="C799" i="12"/>
  <c r="D801" i="12" l="1"/>
  <c r="C800" i="12"/>
  <c r="D802" i="12" l="1"/>
  <c r="C801" i="12"/>
  <c r="D803" i="12" l="1"/>
  <c r="C802" i="12"/>
  <c r="D804" i="12" l="1"/>
  <c r="C803" i="12"/>
  <c r="D805" i="12" l="1"/>
  <c r="C804" i="12"/>
  <c r="D806" i="12" l="1"/>
  <c r="C805" i="12"/>
  <c r="D807" i="12" l="1"/>
  <c r="C806" i="12"/>
  <c r="D808" i="12" l="1"/>
  <c r="C807" i="12"/>
  <c r="D809" i="12" l="1"/>
  <c r="C808" i="12"/>
  <c r="D810" i="12" l="1"/>
  <c r="C809" i="12"/>
  <c r="D811" i="12" l="1"/>
  <c r="C810" i="12"/>
  <c r="D812" i="12" l="1"/>
  <c r="C811" i="12"/>
  <c r="D813" i="12" l="1"/>
  <c r="C812" i="12"/>
  <c r="D814" i="12" l="1"/>
  <c r="C813" i="12"/>
  <c r="D815" i="12" l="1"/>
  <c r="C814" i="12"/>
  <c r="D816" i="12" l="1"/>
  <c r="C815" i="12"/>
  <c r="D817" i="12" l="1"/>
  <c r="C816" i="12"/>
  <c r="D818" i="12" l="1"/>
  <c r="C817" i="12"/>
  <c r="D819" i="12" l="1"/>
  <c r="C818" i="12"/>
  <c r="D820" i="12" l="1"/>
  <c r="C819" i="12"/>
  <c r="D821" i="12" l="1"/>
  <c r="C820" i="12"/>
  <c r="D822" i="12" l="1"/>
  <c r="C821" i="12"/>
  <c r="D823" i="12" l="1"/>
  <c r="C822" i="12"/>
  <c r="D824" i="12" l="1"/>
  <c r="C823" i="12"/>
  <c r="D825" i="12" l="1"/>
  <c r="C824" i="12"/>
  <c r="D826" i="12" l="1"/>
  <c r="C825" i="12"/>
  <c r="D827" i="12" l="1"/>
  <c r="C826" i="12"/>
  <c r="D828" i="12" l="1"/>
  <c r="C827" i="12"/>
  <c r="D829" i="12" l="1"/>
  <c r="C828" i="12"/>
  <c r="D830" i="12" l="1"/>
  <c r="C829" i="12"/>
  <c r="D831" i="12" l="1"/>
  <c r="C830" i="12"/>
  <c r="D832" i="12" l="1"/>
  <c r="C831" i="12"/>
  <c r="D833" i="12" l="1"/>
  <c r="C832" i="12"/>
  <c r="D834" i="12" l="1"/>
  <c r="C833" i="12"/>
  <c r="D835" i="12" l="1"/>
  <c r="C834" i="12"/>
  <c r="D836" i="12" l="1"/>
  <c r="C835" i="12"/>
  <c r="D837" i="12" l="1"/>
  <c r="C836" i="12"/>
  <c r="D838" i="12" l="1"/>
  <c r="C837" i="12"/>
  <c r="D839" i="12" l="1"/>
  <c r="C838" i="12"/>
  <c r="D840" i="12" l="1"/>
  <c r="C839" i="12"/>
  <c r="D841" i="12" l="1"/>
  <c r="C840" i="12"/>
  <c r="D842" i="12" l="1"/>
  <c r="C841" i="12"/>
  <c r="D843" i="12" l="1"/>
  <c r="C842" i="12"/>
  <c r="D844" i="12" l="1"/>
  <c r="C843" i="12"/>
  <c r="D845" i="12" l="1"/>
  <c r="C844" i="12"/>
  <c r="D846" i="12" l="1"/>
  <c r="C845" i="12"/>
  <c r="D847" i="12" l="1"/>
  <c r="C846" i="12"/>
  <c r="D848" i="12" l="1"/>
  <c r="C847" i="12"/>
  <c r="D849" i="12" l="1"/>
  <c r="C848" i="12"/>
  <c r="D850" i="12" l="1"/>
  <c r="C849" i="12"/>
  <c r="D851" i="12" l="1"/>
  <c r="C850" i="12"/>
  <c r="D852" i="12" l="1"/>
  <c r="C851" i="12"/>
  <c r="D853" i="12" l="1"/>
  <c r="C852" i="12"/>
  <c r="D854" i="12" l="1"/>
  <c r="C853" i="12"/>
  <c r="D855" i="12" l="1"/>
  <c r="C854" i="12"/>
  <c r="D856" i="12" l="1"/>
  <c r="C855" i="12"/>
  <c r="D857" i="12" l="1"/>
  <c r="C856" i="12"/>
  <c r="D858" i="12" l="1"/>
  <c r="C857" i="12"/>
  <c r="D859" i="12" l="1"/>
  <c r="C858" i="12"/>
  <c r="D860" i="12" l="1"/>
  <c r="C859" i="12"/>
  <c r="D861" i="12" l="1"/>
  <c r="C860" i="12"/>
  <c r="D862" i="12" l="1"/>
  <c r="C861" i="12"/>
  <c r="D863" i="12" l="1"/>
  <c r="C862" i="12"/>
  <c r="D864" i="12" l="1"/>
  <c r="C863" i="12"/>
  <c r="D865" i="12" l="1"/>
  <c r="C864" i="12"/>
  <c r="D866" i="12" l="1"/>
  <c r="C865" i="12"/>
  <c r="D867" i="12" l="1"/>
  <c r="C866" i="12"/>
  <c r="D868" i="12" l="1"/>
  <c r="C867" i="12"/>
  <c r="D869" i="12" l="1"/>
  <c r="C868" i="12"/>
  <c r="D870" i="12" l="1"/>
  <c r="C869" i="12"/>
  <c r="D871" i="12" l="1"/>
  <c r="C870" i="12"/>
  <c r="D872" i="12" l="1"/>
  <c r="C871" i="12"/>
  <c r="D873" i="12" l="1"/>
  <c r="C872" i="12"/>
  <c r="D874" i="12" l="1"/>
  <c r="C873" i="12"/>
  <c r="D875" i="12" l="1"/>
  <c r="C874" i="12"/>
  <c r="D876" i="12" l="1"/>
  <c r="C875" i="12"/>
  <c r="D877" i="12" l="1"/>
  <c r="C876" i="12"/>
  <c r="D878" i="12" l="1"/>
  <c r="C877" i="12"/>
  <c r="D879" i="12" l="1"/>
  <c r="C878" i="12"/>
  <c r="D880" i="12" l="1"/>
  <c r="C879" i="12"/>
  <c r="D881" i="12" l="1"/>
  <c r="C880" i="12"/>
  <c r="D882" i="12" l="1"/>
  <c r="C881" i="12"/>
  <c r="D883" i="12" l="1"/>
  <c r="C882" i="12"/>
  <c r="D884" i="12" l="1"/>
  <c r="C883" i="12"/>
  <c r="D885" i="12" l="1"/>
  <c r="C884" i="12"/>
  <c r="D886" i="12" l="1"/>
  <c r="C885" i="12"/>
  <c r="D887" i="12" l="1"/>
  <c r="C886" i="12"/>
  <c r="D888" i="12" l="1"/>
  <c r="C887" i="12"/>
  <c r="D889" i="12" l="1"/>
  <c r="C888" i="12"/>
  <c r="D890" i="12" l="1"/>
  <c r="C889" i="12"/>
  <c r="D891" i="12" l="1"/>
  <c r="C890" i="12"/>
  <c r="D892" i="12" l="1"/>
  <c r="C891" i="12"/>
  <c r="D893" i="12" l="1"/>
  <c r="C892" i="12"/>
  <c r="D894" i="12" l="1"/>
  <c r="C893" i="12"/>
  <c r="D895" i="12" l="1"/>
  <c r="C894" i="12"/>
  <c r="D896" i="12" l="1"/>
  <c r="C895" i="12"/>
  <c r="D897" i="12" l="1"/>
  <c r="C896" i="12"/>
  <c r="D898" i="12" l="1"/>
  <c r="C897" i="12"/>
  <c r="D899" i="12" l="1"/>
  <c r="C898" i="12"/>
  <c r="D900" i="12" l="1"/>
  <c r="C899" i="12"/>
  <c r="D901" i="12" l="1"/>
  <c r="C900" i="12"/>
  <c r="D902" i="12" l="1"/>
  <c r="C901" i="12"/>
  <c r="D903" i="12" l="1"/>
  <c r="C902" i="12"/>
  <c r="D904" i="12" l="1"/>
  <c r="C903" i="12"/>
  <c r="D905" i="12" l="1"/>
  <c r="C904" i="12"/>
  <c r="D906" i="12" l="1"/>
  <c r="C905" i="12"/>
  <c r="D907" i="12" l="1"/>
  <c r="C906" i="12"/>
  <c r="D908" i="12" l="1"/>
  <c r="C907" i="12"/>
  <c r="D909" i="12" l="1"/>
  <c r="C908" i="12"/>
  <c r="D910" i="12" l="1"/>
  <c r="C909" i="12"/>
  <c r="D911" i="12" l="1"/>
  <c r="C910" i="12"/>
  <c r="D912" i="12" l="1"/>
  <c r="C911" i="12"/>
  <c r="D913" i="12" l="1"/>
  <c r="C912" i="12"/>
  <c r="D914" i="12" l="1"/>
  <c r="C913" i="12"/>
  <c r="D915" i="12" l="1"/>
  <c r="C914" i="12"/>
  <c r="D916" i="12" l="1"/>
  <c r="C915" i="12"/>
  <c r="D917" i="12" l="1"/>
  <c r="C916" i="12"/>
  <c r="D918" i="12" l="1"/>
  <c r="C917" i="12"/>
  <c r="D919" i="12" l="1"/>
  <c r="C918" i="12"/>
  <c r="D920" i="12" l="1"/>
  <c r="C919" i="12"/>
  <c r="D921" i="12" l="1"/>
  <c r="C920" i="12"/>
  <c r="D922" i="12" l="1"/>
  <c r="C921" i="12"/>
  <c r="D923" i="12" l="1"/>
  <c r="C922" i="12"/>
  <c r="D924" i="12" l="1"/>
  <c r="C923" i="12"/>
  <c r="D925" i="12" l="1"/>
  <c r="C924" i="12"/>
  <c r="D926" i="12" l="1"/>
  <c r="C925" i="12"/>
  <c r="D927" i="12" l="1"/>
  <c r="C926" i="12"/>
  <c r="D928" i="12" l="1"/>
  <c r="C927" i="12"/>
  <c r="D929" i="12" l="1"/>
  <c r="C928" i="12"/>
  <c r="D930" i="12" l="1"/>
  <c r="C929" i="12"/>
  <c r="D931" i="12" l="1"/>
  <c r="C930" i="12"/>
  <c r="D932" i="12" l="1"/>
  <c r="C931" i="12"/>
  <c r="D933" i="12" l="1"/>
  <c r="C932" i="12"/>
  <c r="D934" i="12" l="1"/>
  <c r="C933" i="12"/>
  <c r="D935" i="12" l="1"/>
  <c r="C934" i="12"/>
  <c r="D936" i="12" l="1"/>
  <c r="C935" i="12"/>
  <c r="D937" i="12" l="1"/>
  <c r="C936" i="12"/>
  <c r="D938" i="12" l="1"/>
  <c r="C937" i="12"/>
  <c r="D939" i="12" l="1"/>
  <c r="C938" i="12"/>
  <c r="D940" i="12" l="1"/>
  <c r="C939" i="12"/>
  <c r="D941" i="12" l="1"/>
  <c r="C940" i="12"/>
  <c r="D942" i="12" l="1"/>
  <c r="C941" i="12"/>
  <c r="D943" i="12" l="1"/>
  <c r="C942" i="12"/>
  <c r="D944" i="12" l="1"/>
  <c r="C943" i="12"/>
  <c r="D945" i="12" l="1"/>
  <c r="C944" i="12"/>
  <c r="D946" i="12" l="1"/>
  <c r="C945" i="12"/>
  <c r="D947" i="12" l="1"/>
  <c r="C946" i="12"/>
  <c r="D948" i="12" l="1"/>
  <c r="C947" i="12"/>
  <c r="D949" i="12" l="1"/>
  <c r="C948" i="12"/>
  <c r="D950" i="12" l="1"/>
  <c r="C949" i="12"/>
  <c r="D951" i="12" l="1"/>
  <c r="C950" i="12"/>
  <c r="D952" i="12" l="1"/>
  <c r="C951" i="12"/>
  <c r="D953" i="12" l="1"/>
  <c r="C952" i="12"/>
  <c r="D954" i="12" l="1"/>
  <c r="C953" i="12"/>
  <c r="D955" i="12" l="1"/>
  <c r="C954" i="12"/>
  <c r="D956" i="12" l="1"/>
  <c r="C955" i="12"/>
  <c r="D957" i="12" l="1"/>
  <c r="C956" i="12"/>
  <c r="D958" i="12" l="1"/>
  <c r="C957" i="12"/>
  <c r="D959" i="12" l="1"/>
  <c r="C958" i="12"/>
  <c r="D960" i="12" l="1"/>
  <c r="C959" i="12"/>
  <c r="D961" i="12" l="1"/>
  <c r="C960" i="12"/>
  <c r="D962" i="12" l="1"/>
  <c r="C961" i="12"/>
  <c r="D963" i="12" l="1"/>
  <c r="C962" i="12"/>
  <c r="D964" i="12" l="1"/>
  <c r="C963" i="12"/>
  <c r="D965" i="12" l="1"/>
  <c r="C964" i="12"/>
  <c r="D966" i="12" l="1"/>
  <c r="C965" i="12"/>
  <c r="D967" i="12" l="1"/>
  <c r="C966" i="12"/>
  <c r="D968" i="12" l="1"/>
  <c r="C967" i="12"/>
  <c r="D969" i="12" l="1"/>
  <c r="C968" i="12"/>
  <c r="D970" i="12" l="1"/>
  <c r="C969" i="12"/>
  <c r="D971" i="12" l="1"/>
  <c r="C970" i="12"/>
  <c r="D972" i="12" l="1"/>
  <c r="C971" i="12"/>
  <c r="D973" i="12" l="1"/>
  <c r="C972" i="12"/>
  <c r="D974" i="12" l="1"/>
  <c r="C973" i="12"/>
  <c r="D975" i="12" l="1"/>
  <c r="C974" i="12"/>
  <c r="D976" i="12" l="1"/>
  <c r="C975" i="12"/>
  <c r="D977" i="12" l="1"/>
  <c r="C976" i="12"/>
  <c r="D978" i="12" l="1"/>
  <c r="C977" i="12"/>
  <c r="D979" i="12" l="1"/>
  <c r="C978" i="12"/>
  <c r="D980" i="12" l="1"/>
  <c r="C979" i="12"/>
  <c r="D981" i="12" l="1"/>
  <c r="C980" i="12"/>
  <c r="D982" i="12" l="1"/>
  <c r="C981" i="12"/>
  <c r="D983" i="12" l="1"/>
  <c r="C982" i="12"/>
  <c r="D984" i="12" l="1"/>
  <c r="C983" i="12"/>
  <c r="D985" i="12" l="1"/>
  <c r="C984" i="12"/>
  <c r="D986" i="12" l="1"/>
  <c r="C985" i="12"/>
  <c r="D987" i="12" l="1"/>
  <c r="C986" i="12"/>
  <c r="D988" i="12" l="1"/>
  <c r="C987" i="12"/>
  <c r="D989" i="12" l="1"/>
  <c r="C988" i="12"/>
  <c r="D990" i="12" l="1"/>
  <c r="C989" i="12"/>
  <c r="D991" i="12" l="1"/>
  <c r="C990" i="12"/>
  <c r="D992" i="12" l="1"/>
  <c r="C991" i="12"/>
  <c r="D993" i="12" l="1"/>
  <c r="C992" i="12"/>
  <c r="D994" i="12" l="1"/>
  <c r="C993" i="12"/>
  <c r="D995" i="12" l="1"/>
  <c r="C994" i="12"/>
  <c r="D996" i="12" l="1"/>
  <c r="C995" i="12"/>
  <c r="D997" i="12" l="1"/>
  <c r="C996" i="12"/>
  <c r="D998" i="12" l="1"/>
  <c r="C997" i="12"/>
  <c r="D999" i="12" l="1"/>
  <c r="C998" i="12"/>
  <c r="D1000" i="12" l="1"/>
  <c r="C999" i="12"/>
  <c r="D1001" i="12" l="1"/>
  <c r="C1000" i="12"/>
  <c r="D1002" i="12" l="1"/>
  <c r="C1001" i="12"/>
  <c r="D1003" i="12" l="1"/>
  <c r="C1002" i="12"/>
  <c r="D1004" i="12" l="1"/>
  <c r="C1003" i="12"/>
  <c r="D1005" i="12" l="1"/>
  <c r="C1004" i="12"/>
  <c r="D1006" i="12" l="1"/>
  <c r="C1005" i="12"/>
  <c r="D1007" i="12" l="1"/>
  <c r="C1006" i="12"/>
  <c r="D1008" i="12" l="1"/>
  <c r="C1007" i="12"/>
  <c r="D1009" i="12" l="1"/>
  <c r="C1008" i="12"/>
  <c r="D1010" i="12" l="1"/>
  <c r="C1009" i="12"/>
  <c r="D1011" i="12" l="1"/>
  <c r="C1010" i="12"/>
  <c r="D1012" i="12" l="1"/>
  <c r="C1011" i="12"/>
  <c r="D1013" i="12" l="1"/>
  <c r="C1012" i="12"/>
  <c r="D1014" i="12" l="1"/>
  <c r="C1013" i="12"/>
  <c r="D1015" i="12" l="1"/>
  <c r="C1014" i="12"/>
  <c r="D1016" i="12" l="1"/>
  <c r="C1015" i="12"/>
  <c r="D1017" i="12" l="1"/>
  <c r="C1016" i="12"/>
  <c r="D1018" i="12" l="1"/>
  <c r="C1017" i="12"/>
  <c r="D1019" i="12" l="1"/>
  <c r="C1018" i="12"/>
  <c r="D1020" i="12" l="1"/>
  <c r="C1019" i="12"/>
  <c r="D1021" i="12" l="1"/>
  <c r="C1020" i="12"/>
  <c r="D1022" i="12" l="1"/>
  <c r="C1021" i="12"/>
  <c r="D1023" i="12" l="1"/>
  <c r="C1022" i="12"/>
  <c r="D1024" i="12" l="1"/>
  <c r="C1023" i="12"/>
  <c r="D1025" i="12" l="1"/>
  <c r="C1024" i="12"/>
  <c r="D1026" i="12" l="1"/>
  <c r="C1025" i="12"/>
  <c r="D1027" i="12" l="1"/>
  <c r="C1026" i="12"/>
  <c r="D1028" i="12" l="1"/>
  <c r="C1027" i="12"/>
  <c r="D1029" i="12" l="1"/>
  <c r="C1028" i="12"/>
  <c r="D1030" i="12" l="1"/>
  <c r="C1029" i="12"/>
  <c r="D1031" i="12" l="1"/>
  <c r="C1030" i="12"/>
  <c r="D1032" i="12" l="1"/>
  <c r="C1031" i="12"/>
  <c r="D1033" i="12" l="1"/>
  <c r="C1032" i="12"/>
  <c r="D1034" i="12" l="1"/>
  <c r="C1033" i="12"/>
  <c r="D1035" i="12" l="1"/>
  <c r="C1034" i="12"/>
  <c r="D1036" i="12" l="1"/>
  <c r="C1035" i="12"/>
  <c r="D1037" i="12" l="1"/>
  <c r="C1036" i="12"/>
  <c r="D1038" i="12" l="1"/>
  <c r="C1037" i="12"/>
  <c r="D1039" i="12" l="1"/>
  <c r="C1038" i="12"/>
  <c r="D1040" i="12" l="1"/>
  <c r="C1039" i="12"/>
  <c r="D1041" i="12" l="1"/>
  <c r="C1040" i="12"/>
  <c r="D1042" i="12" l="1"/>
  <c r="C1041" i="12"/>
  <c r="D1043" i="12" l="1"/>
  <c r="C1042" i="12"/>
  <c r="D1044" i="12" l="1"/>
  <c r="C1043" i="12"/>
  <c r="D1045" i="12" l="1"/>
  <c r="C1044" i="12"/>
  <c r="D1046" i="12" l="1"/>
  <c r="C1045" i="12"/>
  <c r="D1047" i="12" l="1"/>
  <c r="C1046" i="12"/>
  <c r="D1048" i="12" l="1"/>
  <c r="C1047" i="12"/>
  <c r="D1049" i="12" l="1"/>
  <c r="C1048" i="12"/>
  <c r="D1050" i="12" l="1"/>
  <c r="C1049" i="12"/>
  <c r="D1051" i="12" l="1"/>
  <c r="C1050" i="12"/>
  <c r="D1052" i="12" l="1"/>
  <c r="C1051" i="12"/>
  <c r="D1053" i="12" l="1"/>
  <c r="C1052" i="12"/>
  <c r="D1054" i="12" l="1"/>
  <c r="C1053" i="12"/>
  <c r="D1055" i="12" l="1"/>
  <c r="C1054" i="12"/>
  <c r="D1056" i="12" l="1"/>
  <c r="C1055" i="12"/>
  <c r="D1057" i="12" l="1"/>
  <c r="C1056" i="12"/>
  <c r="D1058" i="12" l="1"/>
  <c r="C1057" i="12"/>
  <c r="D1059" i="12" l="1"/>
  <c r="C1058" i="12"/>
  <c r="D1060" i="12" l="1"/>
  <c r="C1059" i="12"/>
  <c r="D1061" i="12" l="1"/>
  <c r="C1060" i="12"/>
  <c r="D1062" i="12" l="1"/>
  <c r="C1061" i="12"/>
  <c r="D1063" i="12" l="1"/>
  <c r="C1062" i="12"/>
  <c r="D1064" i="12" l="1"/>
  <c r="C1063" i="12"/>
  <c r="D1065" i="12" l="1"/>
  <c r="C1064" i="12"/>
  <c r="D1066" i="12" l="1"/>
  <c r="C1065" i="12"/>
  <c r="D1067" i="12" l="1"/>
  <c r="C1066" i="12"/>
  <c r="D1068" i="12" l="1"/>
  <c r="C1067" i="12"/>
  <c r="D1069" i="12" l="1"/>
  <c r="C1068" i="12"/>
  <c r="D1070" i="12" l="1"/>
  <c r="C1069" i="12"/>
  <c r="D1071" i="12" l="1"/>
  <c r="C1070" i="12"/>
  <c r="D1072" i="12" l="1"/>
  <c r="C1071" i="12"/>
  <c r="D1073" i="12" l="1"/>
  <c r="C1072" i="12"/>
  <c r="D1074" i="12" l="1"/>
  <c r="C1073" i="12"/>
  <c r="D1075" i="12" l="1"/>
  <c r="C1074" i="12"/>
  <c r="D1076" i="12" l="1"/>
  <c r="C1075" i="12"/>
  <c r="D1077" i="12" l="1"/>
  <c r="C1076" i="12"/>
  <c r="D1078" i="12" l="1"/>
  <c r="C1077" i="12"/>
  <c r="D1079" i="12" l="1"/>
  <c r="C1078" i="12"/>
  <c r="D1080" i="12" l="1"/>
  <c r="C1079" i="12"/>
  <c r="D1081" i="12" l="1"/>
  <c r="C1080" i="12"/>
  <c r="D1082" i="12" l="1"/>
  <c r="C1081" i="12"/>
  <c r="D1083" i="12" l="1"/>
  <c r="C1082" i="12"/>
  <c r="D1084" i="12" l="1"/>
  <c r="C1083" i="12"/>
  <c r="D1085" i="12" l="1"/>
  <c r="C1084" i="12"/>
  <c r="D1086" i="12" l="1"/>
  <c r="C1085" i="12"/>
  <c r="D1087" i="12" l="1"/>
  <c r="C1086" i="12"/>
  <c r="D1088" i="12" l="1"/>
  <c r="C1087" i="12"/>
  <c r="D1089" i="12" l="1"/>
  <c r="C1088" i="12"/>
  <c r="D1090" i="12" l="1"/>
  <c r="C1089" i="12"/>
  <c r="D1091" i="12" l="1"/>
  <c r="C1090" i="12"/>
  <c r="D1092" i="12" l="1"/>
  <c r="C1091" i="12"/>
  <c r="D1093" i="12" l="1"/>
  <c r="C1092" i="12"/>
  <c r="D1094" i="12" l="1"/>
  <c r="C1093" i="12"/>
  <c r="D1095" i="12" l="1"/>
  <c r="C1094" i="12"/>
  <c r="D1096" i="12" l="1"/>
  <c r="C1095" i="12"/>
  <c r="D1097" i="12" l="1"/>
  <c r="C1096" i="12"/>
  <c r="D1098" i="12" l="1"/>
  <c r="C1097" i="12"/>
  <c r="D1099" i="12" l="1"/>
  <c r="C1098" i="12"/>
  <c r="D1100" i="12" l="1"/>
  <c r="C1099" i="12"/>
  <c r="D1101" i="12" l="1"/>
  <c r="C1100" i="12"/>
  <c r="D1102" i="12" l="1"/>
  <c r="C1101" i="12"/>
  <c r="D1103" i="12" l="1"/>
  <c r="C1102" i="12"/>
  <c r="D1104" i="12" l="1"/>
  <c r="C1103" i="12"/>
  <c r="D1105" i="12" l="1"/>
  <c r="C1104" i="12"/>
  <c r="D1106" i="12" l="1"/>
  <c r="C1105" i="12"/>
  <c r="D1107" i="12" l="1"/>
  <c r="C1106" i="12"/>
  <c r="D1108" i="12" l="1"/>
  <c r="C1107" i="12"/>
  <c r="D1109" i="12" l="1"/>
  <c r="C1108" i="12"/>
  <c r="D1110" i="12" l="1"/>
  <c r="C1109" i="12"/>
  <c r="D1111" i="12" l="1"/>
  <c r="C1110" i="12"/>
  <c r="D1112" i="12" l="1"/>
  <c r="C1111" i="12"/>
  <c r="D1113" i="12" l="1"/>
  <c r="C1112" i="12"/>
  <c r="D1114" i="12" l="1"/>
  <c r="C1113" i="12"/>
  <c r="D1115" i="12" l="1"/>
  <c r="C1114" i="12"/>
  <c r="D1116" i="12" l="1"/>
  <c r="C1115" i="12"/>
  <c r="D1117" i="12" l="1"/>
  <c r="C1116" i="12"/>
  <c r="D1118" i="12" l="1"/>
  <c r="C1117" i="12"/>
  <c r="D1119" i="12" l="1"/>
  <c r="C1118" i="12"/>
  <c r="D1120" i="12" l="1"/>
  <c r="C1119" i="12"/>
  <c r="D1121" i="12" l="1"/>
  <c r="C1120" i="12"/>
  <c r="D1122" i="12" l="1"/>
  <c r="C1121" i="12"/>
  <c r="D1123" i="12" l="1"/>
  <c r="C1122" i="12"/>
  <c r="D1124" i="12" l="1"/>
  <c r="C1123" i="12"/>
  <c r="D1125" i="12" l="1"/>
  <c r="C1124" i="12"/>
  <c r="D1126" i="12" l="1"/>
  <c r="C1125" i="12"/>
  <c r="D1127" i="12" l="1"/>
  <c r="C1126" i="12"/>
  <c r="D1128" i="12" l="1"/>
  <c r="C1127" i="12"/>
  <c r="D1129" i="12" l="1"/>
  <c r="C1128" i="12"/>
  <c r="D1130" i="12" l="1"/>
  <c r="C1129" i="12"/>
  <c r="D1131" i="12" l="1"/>
  <c r="C1130" i="12"/>
  <c r="D1132" i="12" l="1"/>
  <c r="C1131" i="12"/>
  <c r="D1133" i="12" l="1"/>
  <c r="C1132" i="12"/>
  <c r="D1134" i="12" l="1"/>
  <c r="C1133" i="12"/>
  <c r="D1135" i="12" l="1"/>
  <c r="C1134" i="12"/>
  <c r="D1136" i="12" l="1"/>
  <c r="C1135" i="12"/>
  <c r="D1137" i="12" l="1"/>
  <c r="C1136" i="12"/>
  <c r="D1138" i="12" l="1"/>
  <c r="C1137" i="12"/>
  <c r="D1139" i="12" l="1"/>
  <c r="C1138" i="12"/>
  <c r="D1140" i="12" l="1"/>
  <c r="C1139" i="12"/>
  <c r="D1141" i="12" l="1"/>
  <c r="C1140" i="12"/>
  <c r="D1142" i="12" l="1"/>
  <c r="C1141" i="12"/>
  <c r="D1143" i="12" l="1"/>
  <c r="C1142" i="12"/>
  <c r="D1144" i="12" l="1"/>
  <c r="D1145" i="12" l="1"/>
  <c r="D1146" i="12" l="1"/>
  <c r="D1147" i="12" l="1"/>
  <c r="D1148" i="12" l="1"/>
  <c r="D1149" i="12" l="1"/>
  <c r="D1150" i="12" l="1"/>
  <c r="D1151" i="12" l="1"/>
  <c r="D1152" i="12" l="1"/>
  <c r="D1153" i="12" l="1"/>
  <c r="D1154" i="12" l="1"/>
  <c r="D1155" i="12" l="1"/>
  <c r="D1156" i="12" l="1"/>
  <c r="D1157" i="12" l="1"/>
  <c r="D1158" i="12" l="1"/>
  <c r="D1159" i="12" l="1"/>
  <c r="D1160" i="12" l="1"/>
  <c r="D1161" i="12" l="1"/>
  <c r="D1162" i="12" l="1"/>
  <c r="D1163" i="12" l="1"/>
  <c r="D1164" i="12" l="1"/>
  <c r="D1165" i="12" l="1"/>
  <c r="D1166" i="12" l="1"/>
  <c r="D1167" i="12" l="1"/>
  <c r="D1168" i="12" l="1"/>
  <c r="D1169" i="12" l="1"/>
  <c r="D1170" i="12" l="1"/>
  <c r="D1171" i="12" l="1"/>
  <c r="D1172" i="12" l="1"/>
  <c r="D1173" i="12" l="1"/>
  <c r="D1174" i="12" l="1"/>
  <c r="D1175" i="12" l="1"/>
  <c r="D1176" i="12" l="1"/>
  <c r="D1177" i="12" l="1"/>
  <c r="D1178" i="12" l="1"/>
  <c r="E116" i="12" l="1"/>
  <c r="E728" i="12"/>
  <c r="E122" i="12"/>
  <c r="E658" i="12"/>
  <c r="E1069" i="12"/>
  <c r="E698" i="12"/>
  <c r="E258" i="12"/>
  <c r="E1048" i="12"/>
  <c r="E439" i="12"/>
  <c r="E311" i="12"/>
  <c r="E520" i="12"/>
  <c r="E853" i="12"/>
  <c r="E754" i="12"/>
  <c r="E615" i="12"/>
  <c r="E153" i="12"/>
  <c r="E179" i="12"/>
  <c r="E1094" i="12"/>
  <c r="E412" i="12"/>
  <c r="E1162" i="12"/>
  <c r="E822" i="12"/>
  <c r="E880" i="12"/>
  <c r="E586" i="12"/>
  <c r="E89" i="12"/>
  <c r="E358" i="12"/>
  <c r="E138" i="12"/>
  <c r="E960" i="12"/>
  <c r="E858" i="12"/>
  <c r="E593" i="12"/>
  <c r="E842" i="12"/>
  <c r="E343" i="12"/>
  <c r="E889" i="12"/>
  <c r="E477" i="12"/>
  <c r="E794" i="12"/>
  <c r="E860" i="12"/>
  <c r="E975" i="12"/>
  <c r="E618" i="12"/>
  <c r="E503" i="12"/>
  <c r="E250" i="12"/>
  <c r="E559" i="12"/>
  <c r="E1152" i="12"/>
  <c r="E401" i="12"/>
  <c r="E216" i="12"/>
  <c r="E1114" i="12"/>
  <c r="E1109" i="12"/>
  <c r="E829" i="12"/>
  <c r="E267" i="12"/>
  <c r="E762" i="12"/>
  <c r="E851" i="12"/>
  <c r="E990" i="12"/>
  <c r="E271" i="12"/>
  <c r="E290" i="12"/>
  <c r="E684" i="12"/>
  <c r="E582" i="12"/>
  <c r="E648" i="12"/>
  <c r="E399" i="12"/>
  <c r="E1026" i="12"/>
  <c r="E275" i="12"/>
  <c r="E144" i="12"/>
  <c r="E575" i="12"/>
  <c r="E1092" i="12"/>
  <c r="E1000" i="12"/>
  <c r="E765" i="12"/>
  <c r="E957" i="12"/>
  <c r="E721" i="12"/>
  <c r="E1076" i="12"/>
  <c r="E362" i="12"/>
  <c r="E945" i="12"/>
  <c r="E208" i="12"/>
  <c r="E672" i="12"/>
  <c r="E977" i="12"/>
  <c r="E969" i="12"/>
  <c r="E143" i="12"/>
  <c r="E636" i="12"/>
  <c r="E39" i="12"/>
  <c r="E375" i="12"/>
  <c r="E56" i="12"/>
  <c r="E748" i="12"/>
  <c r="E97" i="12"/>
  <c r="E15" i="12"/>
  <c r="E809" i="12"/>
  <c r="E616" i="12"/>
  <c r="E331" i="12"/>
  <c r="E132" i="12"/>
  <c r="E356" i="12"/>
  <c r="E741" i="12"/>
  <c r="E634" i="12"/>
  <c r="E733" i="12"/>
  <c r="E870" i="12"/>
  <c r="E420" i="12"/>
  <c r="E51" i="12"/>
  <c r="E796" i="12"/>
  <c r="E813" i="12"/>
  <c r="E562" i="12"/>
  <c r="E940" i="12"/>
  <c r="E993" i="12"/>
  <c r="E259" i="12"/>
  <c r="E417" i="12"/>
  <c r="E382" i="12"/>
  <c r="E225" i="12"/>
  <c r="E933" i="12"/>
  <c r="E185" i="12"/>
  <c r="E177" i="12"/>
  <c r="E985" i="12"/>
  <c r="E612" i="12"/>
  <c r="E7" i="12"/>
  <c r="E48" i="12"/>
  <c r="E342" i="12"/>
  <c r="E405" i="12"/>
  <c r="E281" i="12"/>
  <c r="E262" i="12"/>
  <c r="E1003" i="12"/>
  <c r="E318" i="12"/>
  <c r="E697" i="12"/>
  <c r="E640" i="12"/>
  <c r="E245" i="12"/>
  <c r="E291" i="12"/>
  <c r="E150" i="12"/>
  <c r="E256" i="12"/>
  <c r="E847" i="12"/>
  <c r="E1160" i="12"/>
  <c r="E948" i="12"/>
  <c r="E1036" i="12"/>
  <c r="E1060" i="12"/>
  <c r="E484" i="12"/>
  <c r="E713" i="12"/>
  <c r="E246" i="12"/>
  <c r="E994" i="12"/>
  <c r="E930" i="12"/>
  <c r="E113" i="12"/>
  <c r="E963" i="12"/>
  <c r="E790" i="12"/>
  <c r="E46" i="12"/>
  <c r="E601" i="12"/>
  <c r="E750" i="12"/>
  <c r="E955" i="12"/>
  <c r="E1135" i="12"/>
  <c r="E119" i="12"/>
  <c r="E784" i="12"/>
  <c r="E8" i="12"/>
  <c r="E723" i="12"/>
  <c r="E442" i="12"/>
  <c r="E1178" i="12"/>
  <c r="E12" i="12"/>
  <c r="E735" i="12"/>
  <c r="E1176" i="12"/>
  <c r="E976" i="12"/>
  <c r="E898" i="12"/>
  <c r="E500" i="12"/>
  <c r="E569" i="12"/>
  <c r="E350" i="12"/>
  <c r="E845" i="12"/>
  <c r="E1084" i="12"/>
  <c r="E34" i="12"/>
  <c r="E499" i="12"/>
  <c r="E400" i="12"/>
  <c r="E87" i="12"/>
  <c r="E373" i="12"/>
  <c r="E316" i="12"/>
  <c r="E158" i="12"/>
  <c r="E88" i="12"/>
  <c r="E293" i="12"/>
  <c r="E730" i="12"/>
  <c r="E557" i="12"/>
  <c r="E864" i="12"/>
  <c r="E83" i="12"/>
  <c r="E893" i="12"/>
  <c r="E567" i="12"/>
  <c r="E206" i="12"/>
  <c r="E9" i="12"/>
  <c r="E494" i="12"/>
  <c r="E498" i="12"/>
  <c r="E452" i="12"/>
  <c r="E1172" i="12"/>
  <c r="E154" i="12"/>
  <c r="E1023" i="12"/>
  <c r="E1170" i="12"/>
  <c r="E795" i="12"/>
  <c r="E732" i="12"/>
  <c r="E838" i="12"/>
  <c r="E1059" i="12"/>
  <c r="E599" i="12"/>
  <c r="E165" i="12"/>
  <c r="E981" i="12"/>
  <c r="E232" i="12"/>
  <c r="E125" i="12"/>
  <c r="E1174" i="12"/>
  <c r="E251" i="12"/>
  <c r="E576" i="12"/>
  <c r="E255" i="12"/>
  <c r="E1035" i="12"/>
  <c r="E783" i="12"/>
  <c r="E961" i="12"/>
  <c r="E644" i="12"/>
  <c r="E112" i="12"/>
  <c r="E1091" i="12"/>
  <c r="E493" i="12"/>
  <c r="E967" i="12"/>
  <c r="E191" i="12"/>
  <c r="E396" i="12"/>
  <c r="E427" i="12"/>
  <c r="E613" i="12"/>
  <c r="E115" i="12"/>
  <c r="E298" i="12"/>
  <c r="E609" i="12"/>
  <c r="E823" i="12"/>
  <c r="E859" i="12"/>
  <c r="E446" i="12"/>
  <c r="E780" i="12"/>
  <c r="E1141" i="12"/>
  <c r="E131" i="12"/>
  <c r="E443" i="12"/>
  <c r="E210" i="12"/>
  <c r="E626" i="12"/>
  <c r="E650" i="12"/>
  <c r="E368" i="12"/>
  <c r="E269" i="12"/>
  <c r="E758" i="12"/>
  <c r="E285" i="12"/>
  <c r="E653" i="12"/>
  <c r="E244" i="12"/>
  <c r="E738" i="12"/>
  <c r="E369" i="12"/>
  <c r="E322" i="12"/>
  <c r="E339" i="12"/>
  <c r="E1037" i="12"/>
  <c r="E445" i="12"/>
  <c r="E98" i="12"/>
  <c r="E385" i="12"/>
  <c r="E486" i="12"/>
  <c r="E47" i="12"/>
  <c r="E367" i="12"/>
  <c r="E348" i="12"/>
  <c r="E296" i="12"/>
  <c r="E111" i="12"/>
  <c r="E490" i="12"/>
  <c r="E1120" i="12"/>
  <c r="E1085" i="12"/>
  <c r="E1149" i="12"/>
  <c r="E666" i="12"/>
  <c r="E437" i="12"/>
  <c r="E253" i="12"/>
  <c r="E785" i="12"/>
  <c r="E508" i="12"/>
  <c r="E711" i="12"/>
  <c r="E428" i="12"/>
  <c r="E803" i="12"/>
  <c r="E1016" i="12"/>
  <c r="E110" i="12"/>
  <c r="E238" i="12"/>
  <c r="E703" i="12"/>
  <c r="E840" i="12"/>
  <c r="E79" i="12"/>
  <c r="E705" i="12"/>
  <c r="E1156" i="12"/>
  <c r="E756" i="12"/>
  <c r="E418" i="12"/>
  <c r="E753" i="12"/>
  <c r="E270" i="12"/>
  <c r="E799" i="12"/>
  <c r="E515" i="12"/>
  <c r="E1145" i="12"/>
  <c r="E895" i="12"/>
  <c r="E909" i="12"/>
  <c r="E1163" i="12"/>
  <c r="E257" i="12"/>
  <c r="E366" i="12"/>
  <c r="E13" i="12"/>
  <c r="E459" i="12"/>
  <c r="E863" i="12"/>
  <c r="E568" i="12"/>
  <c r="E701" i="12"/>
  <c r="E542" i="12"/>
  <c r="E861" i="12"/>
  <c r="E414" i="12"/>
  <c r="E29" i="12"/>
  <c r="E1041" i="12"/>
  <c r="E1143" i="12"/>
  <c r="E1012" i="12"/>
  <c r="E913" i="12"/>
  <c r="E722" i="12"/>
  <c r="E168" i="12"/>
  <c r="E470" i="12"/>
  <c r="E1071" i="12"/>
  <c r="E720" i="12"/>
  <c r="E370" i="12"/>
  <c r="E249" i="12"/>
  <c r="E243" i="12"/>
  <c r="E629" i="12"/>
  <c r="E241" i="12"/>
  <c r="E884" i="12"/>
  <c r="E117" i="12"/>
  <c r="E383" i="12"/>
  <c r="E93" i="12"/>
  <c r="E126" i="12"/>
  <c r="E202" i="12"/>
  <c r="E465" i="12"/>
  <c r="E910" i="12"/>
  <c r="E426" i="12"/>
  <c r="E333" i="12"/>
  <c r="E681" i="12"/>
  <c r="E475" i="12"/>
  <c r="E55" i="12"/>
  <c r="E454" i="12"/>
  <c r="E218" i="12"/>
  <c r="E736" i="12"/>
  <c r="E682" i="12"/>
  <c r="E1105" i="12"/>
  <c r="E912" i="12"/>
  <c r="E649" i="12"/>
  <c r="E464" i="12"/>
  <c r="E605" i="12"/>
  <c r="E991" i="12"/>
  <c r="E323" i="12"/>
  <c r="E554" i="12"/>
  <c r="E237" i="12"/>
  <c r="E195" i="12"/>
  <c r="E422" i="12"/>
  <c r="E492" i="12"/>
  <c r="E516" i="12"/>
  <c r="E162" i="12"/>
  <c r="E239" i="12"/>
  <c r="E220" i="12"/>
  <c r="E611" i="12"/>
  <c r="E521" i="12"/>
  <c r="E544" i="12"/>
  <c r="E32" i="12"/>
  <c r="E921" i="12"/>
  <c r="E278" i="12"/>
  <c r="E1113" i="12"/>
  <c r="E469" i="12"/>
  <c r="E596" i="12"/>
  <c r="E488" i="12"/>
  <c r="E82" i="12"/>
  <c r="E744" i="12"/>
  <c r="E628" i="12"/>
  <c r="E229" i="12"/>
  <c r="E440" i="12"/>
  <c r="E553" i="12"/>
  <c r="E313" i="12"/>
  <c r="E966" i="12"/>
  <c r="E215" i="12"/>
  <c r="E1146" i="12"/>
  <c r="E1066" i="12"/>
  <c r="E489" i="12"/>
  <c r="E1018" i="12"/>
  <c r="E248" i="12"/>
  <c r="E435" i="12"/>
  <c r="E852" i="12"/>
  <c r="E247" i="12"/>
  <c r="E157" i="12"/>
  <c r="E265" i="12"/>
  <c r="E5" i="12"/>
  <c r="E1022" i="12"/>
  <c r="E866" i="12"/>
  <c r="E1042" i="12"/>
  <c r="E1148" i="12"/>
  <c r="E578" i="12"/>
  <c r="E163" i="12"/>
  <c r="E525" i="12"/>
  <c r="E1013" i="12"/>
  <c r="E1029" i="12"/>
  <c r="E1130" i="12"/>
  <c r="E196" i="12"/>
  <c r="E478" i="12"/>
  <c r="E1175" i="12"/>
  <c r="E175" i="12"/>
  <c r="E377" i="12"/>
  <c r="E1009" i="12"/>
  <c r="E659" i="12"/>
  <c r="E925" i="12"/>
  <c r="E1040" i="12"/>
  <c r="E627" i="12"/>
  <c r="E120" i="12"/>
  <c r="E381" i="12"/>
  <c r="E905" i="12"/>
  <c r="E1061" i="12"/>
  <c r="E868" i="12"/>
  <c r="E76" i="12"/>
  <c r="E190" i="12"/>
  <c r="E761" i="12"/>
  <c r="E160" i="12"/>
  <c r="E833" i="12"/>
  <c r="E570" i="12"/>
  <c r="E429" i="12"/>
  <c r="E656" i="12"/>
  <c r="E108" i="12"/>
  <c r="E855" i="12"/>
  <c r="E549" i="12"/>
  <c r="E472" i="12"/>
  <c r="E816" i="12"/>
  <c r="E1153" i="12"/>
  <c r="E304" i="12"/>
  <c r="E922" i="12"/>
  <c r="E881" i="12"/>
  <c r="E935" i="12"/>
  <c r="E1150" i="12"/>
  <c r="E742" i="12"/>
  <c r="E58" i="12"/>
  <c r="E114" i="12"/>
  <c r="E411" i="12"/>
  <c r="E725" i="12"/>
  <c r="E807" i="12"/>
  <c r="E480" i="12"/>
  <c r="E789" i="12"/>
  <c r="E482" i="12"/>
  <c r="E700" i="12"/>
  <c r="E674" i="12"/>
  <c r="E932" i="12"/>
  <c r="E33" i="12"/>
  <c r="E198" i="12"/>
  <c r="E760" i="12"/>
  <c r="E94" i="12"/>
  <c r="E54" i="12"/>
  <c r="E585" i="12"/>
  <c r="E719" i="12"/>
  <c r="E30" i="12"/>
  <c r="E67" i="12"/>
  <c r="E406" i="12"/>
  <c r="E531" i="12"/>
  <c r="E389" i="12"/>
  <c r="E937" i="12"/>
  <c r="E84" i="12"/>
  <c r="E878" i="12"/>
  <c r="E109" i="12"/>
  <c r="E871" i="12"/>
  <c r="E764" i="12"/>
  <c r="E217" i="12"/>
  <c r="E301" i="12"/>
  <c r="E374" i="12"/>
  <c r="E130" i="12"/>
  <c r="E773" i="12"/>
  <c r="E1167" i="12"/>
  <c r="E904" i="12"/>
  <c r="E276" i="12"/>
  <c r="E1112" i="12"/>
  <c r="E402" i="12"/>
  <c r="E447" i="12"/>
  <c r="E1030" i="12"/>
  <c r="E260" i="12"/>
  <c r="E1142" i="12"/>
  <c r="E1173" i="12"/>
  <c r="E1097" i="12"/>
  <c r="E986" i="12"/>
  <c r="E1154" i="12"/>
  <c r="E574" i="12"/>
  <c r="E622" i="12"/>
  <c r="E40" i="12"/>
  <c r="E107" i="12"/>
  <c r="E4" i="12"/>
  <c r="E1164" i="12"/>
  <c r="E849" i="12"/>
  <c r="E777" i="12"/>
  <c r="E41" i="12"/>
  <c r="E826" i="12"/>
  <c r="E85" i="12"/>
  <c r="E591" i="12"/>
  <c r="E235" i="12"/>
  <c r="E916" i="12"/>
  <c r="E284" i="12"/>
  <c r="E541" i="12"/>
  <c r="E590" i="12"/>
  <c r="E300" i="12"/>
  <c r="E1046" i="12"/>
  <c r="E106" i="12"/>
  <c r="E65" i="12"/>
  <c r="E159" i="12"/>
  <c r="E75" i="12"/>
  <c r="E1124" i="12"/>
  <c r="E918" i="12"/>
  <c r="E972" i="12"/>
  <c r="E1005" i="12"/>
  <c r="E1020" i="12"/>
  <c r="E1119" i="12"/>
  <c r="E862" i="12"/>
  <c r="E353" i="12"/>
  <c r="E671" i="12"/>
  <c r="E189" i="12"/>
  <c r="E171" i="12"/>
  <c r="E272" i="12"/>
  <c r="E673" i="12"/>
  <c r="E1101" i="12"/>
  <c r="E384" i="12"/>
  <c r="E496" i="12"/>
  <c r="E20" i="12"/>
  <c r="E943" i="12"/>
  <c r="E693" i="12"/>
  <c r="E303" i="12"/>
  <c r="E731" i="12"/>
  <c r="E149" i="12"/>
  <c r="E344" i="12"/>
  <c r="E240" i="12"/>
  <c r="E146" i="12"/>
  <c r="E361" i="12"/>
  <c r="E587" i="12"/>
  <c r="E483" i="12"/>
  <c r="E365" i="12"/>
  <c r="E410" i="12"/>
  <c r="E355" i="12"/>
  <c r="E380" i="12"/>
  <c r="E242" i="12"/>
  <c r="E934" i="12"/>
  <c r="E998" i="12"/>
  <c r="E709" i="12"/>
  <c r="E336" i="12"/>
  <c r="E677" i="12"/>
  <c r="E926" i="12"/>
  <c r="E936" i="12"/>
  <c r="E727" i="12"/>
  <c r="E992" i="12"/>
  <c r="E409" i="12"/>
  <c r="E775" i="12"/>
  <c r="E1169" i="12"/>
  <c r="E643" i="12"/>
  <c r="E37" i="12"/>
  <c r="E227" i="12"/>
  <c r="E1045" i="12"/>
  <c r="E1090" i="12"/>
  <c r="E928" i="12"/>
  <c r="E850" i="12"/>
  <c r="E896" i="12"/>
  <c r="E873" i="12"/>
  <c r="E1117" i="12"/>
  <c r="E312" i="12"/>
  <c r="E211" i="12"/>
  <c r="E752" i="12"/>
  <c r="E127" i="12"/>
  <c r="E519" i="12"/>
  <c r="E536" i="12"/>
  <c r="E213" i="12"/>
  <c r="E92" i="12"/>
  <c r="E395" i="12"/>
  <c r="E282" i="12"/>
  <c r="E652" i="12"/>
  <c r="E1140" i="12"/>
  <c r="E77" i="12"/>
  <c r="E124" i="12"/>
  <c r="E1110" i="12"/>
  <c r="E26" i="12"/>
  <c r="E662" i="12"/>
  <c r="E835" i="12"/>
  <c r="E900" i="12"/>
  <c r="E606" i="12"/>
  <c r="E363" i="12"/>
  <c r="E45" i="12"/>
  <c r="E1062" i="12"/>
  <c r="E166" i="12"/>
  <c r="E222" i="12"/>
  <c r="E212" i="12"/>
  <c r="E946" i="12"/>
  <c r="E2" i="12"/>
  <c r="E1161" i="12"/>
  <c r="E572" i="12"/>
  <c r="E379" i="12"/>
  <c r="E532" i="12"/>
  <c r="E139" i="12"/>
  <c r="E592" i="12"/>
  <c r="E556" i="12"/>
  <c r="E1122" i="12"/>
  <c r="E36" i="12"/>
  <c r="E962" i="12"/>
  <c r="E770" i="12"/>
  <c r="E1107" i="12"/>
  <c r="E317" i="12"/>
  <c r="E314" i="12"/>
  <c r="E953" i="12"/>
  <c r="E72" i="12"/>
  <c r="E624" i="12"/>
  <c r="E18" i="12"/>
  <c r="E1078" i="12"/>
  <c r="E920" i="12"/>
  <c r="E387" i="12"/>
  <c r="E942" i="12"/>
  <c r="E297" i="12"/>
  <c r="E876" i="12"/>
  <c r="E598" i="12"/>
  <c r="E665" i="12"/>
  <c r="E535" i="12"/>
  <c r="E81" i="12"/>
  <c r="E1055" i="12"/>
  <c r="E201" i="12"/>
  <c r="E386" i="12"/>
  <c r="E802" i="12"/>
  <c r="E906" i="12"/>
  <c r="E704" i="12"/>
  <c r="E676" i="12"/>
  <c r="E228" i="12"/>
  <c r="E1118" i="12"/>
  <c r="E279" i="12"/>
  <c r="E223" i="12"/>
  <c r="E767" i="12"/>
  <c r="E324" i="12"/>
  <c r="E1025" i="12"/>
  <c r="E347" i="12"/>
  <c r="E996" i="12"/>
  <c r="E580" i="12"/>
  <c r="E292" i="12"/>
  <c r="E438" i="12"/>
  <c r="E360" i="12"/>
  <c r="E1077" i="12"/>
  <c r="E687" i="12"/>
  <c r="E573" i="12"/>
  <c r="E683" i="12"/>
  <c r="E786" i="12"/>
  <c r="E309" i="12"/>
  <c r="E837" i="12"/>
  <c r="E667" i="12"/>
  <c r="E899" i="12"/>
  <c r="E1054" i="12"/>
  <c r="E547" i="12"/>
  <c r="E424" i="12"/>
  <c r="E376" i="12"/>
  <c r="E817" i="12"/>
  <c r="E183" i="12"/>
  <c r="E637" i="12"/>
  <c r="E1136" i="12"/>
  <c r="E768" i="12"/>
  <c r="E657" i="12"/>
  <c r="E207" i="12"/>
  <c r="E607" i="12"/>
  <c r="E1159" i="12"/>
  <c r="E978" i="12"/>
  <c r="E327" i="12"/>
  <c r="E430" i="12"/>
  <c r="E461" i="12"/>
  <c r="E563" i="12"/>
  <c r="E579" i="12"/>
  <c r="E16" i="12"/>
  <c r="E129" i="12"/>
  <c r="E1102" i="12"/>
  <c r="E1155" i="12"/>
  <c r="E509" i="12"/>
  <c r="E610" i="12"/>
  <c r="E655" i="12"/>
  <c r="E812" i="12"/>
  <c r="E763" i="12"/>
  <c r="E716" i="12"/>
  <c r="E219" i="12"/>
  <c r="E1099" i="12"/>
  <c r="E1093" i="12"/>
  <c r="E669" i="12"/>
  <c r="E646" i="12"/>
  <c r="E295" i="12"/>
  <c r="E944" i="12"/>
  <c r="E894" i="12"/>
  <c r="E133" i="12"/>
  <c r="E302" i="12"/>
  <c r="E526" i="12"/>
  <c r="E843" i="12"/>
  <c r="E999" i="12"/>
  <c r="E44" i="12"/>
  <c r="E712" i="12"/>
  <c r="E757" i="12"/>
  <c r="E264" i="12"/>
  <c r="E471" i="12"/>
  <c r="E398" i="12"/>
  <c r="E964" i="12"/>
  <c r="E199" i="12"/>
  <c r="E602" i="12"/>
  <c r="E718" i="12"/>
  <c r="E958" i="12"/>
  <c r="E619" i="12"/>
  <c r="E453" i="12"/>
  <c r="E214" i="12"/>
  <c r="E200" i="12"/>
  <c r="E546" i="12"/>
  <c r="E632" i="12"/>
  <c r="E830" i="12"/>
  <c r="E233" i="12"/>
  <c r="E527" i="12"/>
  <c r="E897" i="12"/>
  <c r="E1157" i="12"/>
  <c r="E734" i="12"/>
  <c r="E42" i="12"/>
  <c r="E755" i="12"/>
  <c r="E221" i="12"/>
  <c r="E688" i="12"/>
  <c r="E319" i="12"/>
  <c r="E491" i="12"/>
  <c r="E204" i="12"/>
  <c r="E1053" i="12"/>
  <c r="E707" i="12"/>
  <c r="E444" i="12"/>
  <c r="E675" i="12"/>
  <c r="E824" i="12"/>
  <c r="E800" i="12"/>
  <c r="E827" i="12"/>
  <c r="E457" i="12"/>
  <c r="E726" i="12"/>
  <c r="E205" i="12"/>
  <c r="E772" i="12"/>
  <c r="E161" i="12"/>
  <c r="E661" i="12"/>
  <c r="E854" i="12"/>
  <c r="E571" i="12"/>
  <c r="E86" i="12"/>
  <c r="E1133" i="12"/>
  <c r="E1019" i="12"/>
  <c r="E538" i="12"/>
  <c r="E819" i="12"/>
  <c r="E660" i="12"/>
  <c r="E1010" i="12"/>
  <c r="E169" i="12"/>
  <c r="E173" i="12"/>
  <c r="E95" i="12"/>
  <c r="E980" i="12"/>
  <c r="E739" i="12"/>
  <c r="E1088" i="12"/>
  <c r="E52" i="12"/>
  <c r="E136" i="12"/>
  <c r="E357" i="12"/>
  <c r="E551" i="12"/>
  <c r="E142" i="12"/>
  <c r="E924" i="12"/>
  <c r="E518" i="12"/>
  <c r="E145" i="12"/>
  <c r="E1144" i="12"/>
  <c r="E181" i="12"/>
  <c r="E839" i="12"/>
  <c r="E1129" i="12"/>
  <c r="E458" i="12"/>
  <c r="E50" i="12"/>
  <c r="E514" i="12"/>
  <c r="E274" i="12"/>
  <c r="E696" i="12"/>
  <c r="E528" i="12"/>
  <c r="E121" i="12"/>
  <c r="E857" i="12"/>
  <c r="E678" i="12"/>
  <c r="E17" i="12"/>
  <c r="E892" i="12"/>
  <c r="E919" i="12"/>
  <c r="E642" i="12"/>
  <c r="E782" i="12"/>
  <c r="E781" i="12"/>
  <c r="E959" i="12"/>
  <c r="E449" i="12"/>
  <c r="E941" i="12"/>
  <c r="E988" i="12"/>
  <c r="E679" i="12"/>
  <c r="E43" i="12"/>
  <c r="E434" i="12"/>
  <c r="E561" i="12"/>
  <c r="E352" i="12"/>
  <c r="E64" i="12"/>
  <c r="E71" i="12"/>
  <c r="E907" i="12"/>
  <c r="E1121" i="12"/>
  <c r="E747" i="12"/>
  <c r="E338" i="12"/>
  <c r="E798" i="12"/>
  <c r="E1065" i="12"/>
  <c r="E187" i="12"/>
  <c r="E825" i="12"/>
  <c r="E699" i="12"/>
  <c r="E506" i="12"/>
  <c r="E1139" i="12"/>
  <c r="E61" i="12"/>
  <c r="E91" i="12"/>
  <c r="E456" i="12"/>
  <c r="E804" i="12"/>
  <c r="E28" i="12"/>
  <c r="E887" i="12"/>
  <c r="E597" i="12"/>
  <c r="E635" i="12"/>
  <c r="E70" i="12"/>
  <c r="E818" i="12"/>
  <c r="E102" i="12"/>
  <c r="E638" i="12"/>
  <c r="E654" i="12"/>
  <c r="E1073" i="12"/>
  <c r="E413" i="12"/>
  <c r="E512" i="12"/>
  <c r="E441" i="12"/>
  <c r="E594" i="12"/>
  <c r="E280" i="12"/>
  <c r="E690" i="12"/>
  <c r="E771" i="12"/>
  <c r="E1125" i="12"/>
  <c r="E337" i="12"/>
  <c r="E1080" i="12"/>
  <c r="E708" i="12"/>
  <c r="E923" i="12"/>
  <c r="E973" i="12"/>
  <c r="E891" i="12"/>
  <c r="E1086" i="12"/>
  <c r="E1063" i="12"/>
  <c r="E151" i="12"/>
  <c r="E277" i="12"/>
  <c r="E236" i="12"/>
  <c r="E147" i="12"/>
  <c r="E595" i="12"/>
  <c r="E600" i="12"/>
  <c r="E404" i="12"/>
  <c r="E550" i="12"/>
  <c r="E1001" i="12"/>
  <c r="E995" i="12"/>
  <c r="E641" i="12"/>
  <c r="E1039" i="12"/>
  <c r="E588" i="12"/>
  <c r="E1115" i="12"/>
  <c r="E403" i="12"/>
  <c r="E879" i="12"/>
  <c r="E182" i="12"/>
  <c r="E836" i="12"/>
  <c r="E1070" i="12"/>
  <c r="E523" i="12"/>
  <c r="E608" i="12"/>
  <c r="E172" i="12"/>
  <c r="E467" i="12"/>
  <c r="E801" i="12"/>
  <c r="E473" i="12"/>
  <c r="E118" i="12"/>
  <c r="E974" i="12"/>
  <c r="E1098" i="12"/>
  <c r="E530" i="12"/>
  <c r="E1087" i="12"/>
  <c r="E844" i="12"/>
  <c r="E341" i="12"/>
  <c r="E997" i="12"/>
  <c r="E3" i="12"/>
  <c r="E1127" i="12"/>
  <c r="E73" i="12"/>
  <c r="E651" i="12"/>
  <c r="E774" i="12"/>
  <c r="E433" i="12"/>
  <c r="E806" i="12"/>
  <c r="E209" i="12"/>
  <c r="E1081" i="12"/>
  <c r="E1082" i="12"/>
  <c r="E273" i="12"/>
  <c r="E460" i="12"/>
  <c r="E778" i="12"/>
  <c r="E330" i="12"/>
  <c r="E828" i="12"/>
  <c r="E788" i="12"/>
  <c r="E779" i="12"/>
  <c r="E294" i="12"/>
  <c r="E104" i="12"/>
  <c r="E565" i="12"/>
  <c r="E167" i="12"/>
  <c r="E1111" i="12"/>
  <c r="E49" i="12"/>
  <c r="E230" i="12"/>
  <c r="E952" i="12"/>
  <c r="E476" i="12"/>
  <c r="E686" i="12"/>
  <c r="E710" i="12"/>
  <c r="E306" i="12"/>
  <c r="E325" i="12"/>
  <c r="E359" i="12"/>
  <c r="E320" i="12"/>
  <c r="E328" i="12"/>
  <c r="E1147" i="12"/>
  <c r="E869" i="12"/>
  <c r="E511" i="12"/>
  <c r="E134" i="12"/>
  <c r="E621" i="12"/>
  <c r="E882" i="12"/>
  <c r="E321" i="12"/>
  <c r="E283" i="12"/>
  <c r="E685" i="12"/>
  <c r="E695" i="12"/>
  <c r="E769" i="12"/>
  <c r="E53" i="12"/>
  <c r="E865" i="12"/>
  <c r="E80" i="12"/>
  <c r="E623" i="12"/>
  <c r="E856" i="12"/>
  <c r="E983" i="12"/>
  <c r="E540" i="12"/>
  <c r="E821" i="12"/>
  <c r="E286" i="12"/>
  <c r="E1017" i="12"/>
  <c r="E141" i="12"/>
  <c r="E534" i="12"/>
  <c r="E915" i="12"/>
  <c r="E252" i="12"/>
  <c r="E982" i="12"/>
  <c r="E670" i="12"/>
  <c r="E929" i="12"/>
  <c r="E372" i="12"/>
  <c r="E128" i="12"/>
  <c r="E513" i="12"/>
  <c r="E27" i="12"/>
  <c r="E1057" i="12"/>
  <c r="E193" i="12"/>
  <c r="E987" i="12"/>
  <c r="E31" i="12"/>
  <c r="E1004" i="12"/>
  <c r="E691" i="12"/>
  <c r="E349" i="12"/>
  <c r="E231" i="12"/>
  <c r="E1049" i="12"/>
  <c r="E450" i="12"/>
  <c r="E289" i="12"/>
  <c r="E100" i="12"/>
  <c r="E663" i="12"/>
  <c r="E502" i="12"/>
  <c r="E1075" i="12"/>
  <c r="E194" i="12"/>
  <c r="E24" i="12"/>
  <c r="E886" i="12"/>
  <c r="E815" i="12"/>
  <c r="E451" i="12"/>
  <c r="E834" i="12"/>
  <c r="E664" i="12"/>
  <c r="E694" i="12"/>
  <c r="E792" i="12"/>
  <c r="E66" i="12"/>
  <c r="E234" i="12"/>
  <c r="E505" i="12"/>
  <c r="E759" i="12"/>
  <c r="E908" i="12"/>
  <c r="E1015" i="12"/>
  <c r="E692" i="12"/>
  <c r="E1050" i="12"/>
  <c r="E1165" i="12"/>
  <c r="E1021" i="12"/>
  <c r="E1034" i="12"/>
  <c r="E1038" i="12"/>
  <c r="E507" i="12"/>
  <c r="E68" i="12"/>
  <c r="E123" i="12"/>
  <c r="E1058" i="12"/>
  <c r="E497" i="12"/>
  <c r="E581" i="12"/>
  <c r="E989" i="12"/>
  <c r="E979" i="12"/>
  <c r="E192" i="12"/>
  <c r="E737" i="12"/>
  <c r="E416" i="12"/>
  <c r="E811" i="12"/>
  <c r="E1166" i="12"/>
  <c r="E787" i="12"/>
  <c r="E6" i="12"/>
  <c r="E746" i="12"/>
  <c r="E1151" i="12"/>
  <c r="E949" i="12"/>
  <c r="E392" i="12"/>
  <c r="E466" i="12"/>
  <c r="E35" i="12"/>
  <c r="E10" i="12"/>
  <c r="E639" i="12"/>
  <c r="E176" i="12"/>
  <c r="E345" i="12"/>
  <c r="E1168" i="12"/>
  <c r="E180" i="12"/>
  <c r="E307" i="12"/>
  <c r="E14" i="12"/>
  <c r="E1072" i="12"/>
  <c r="E927" i="12"/>
  <c r="E524" i="12"/>
  <c r="E425" i="12"/>
  <c r="E1028" i="12"/>
  <c r="E197" i="12"/>
  <c r="E462" i="12"/>
  <c r="E481" i="12"/>
  <c r="E268" i="12"/>
  <c r="E831" i="12"/>
  <c r="E956" i="12"/>
  <c r="E1131" i="12"/>
  <c r="E745" i="12"/>
  <c r="E539" i="12"/>
  <c r="E631" i="12"/>
  <c r="E463" i="12"/>
  <c r="E203" i="12"/>
  <c r="E224" i="12"/>
  <c r="E63" i="12"/>
  <c r="E714" i="12"/>
  <c r="E501" i="12"/>
  <c r="E23" i="12"/>
  <c r="E308" i="12"/>
  <c r="E914" i="12"/>
  <c r="E254" i="12"/>
  <c r="E448" i="12"/>
  <c r="E266" i="12"/>
  <c r="E965" i="12"/>
  <c r="E170" i="12"/>
  <c r="E877" i="12"/>
  <c r="E1068" i="12"/>
  <c r="E917" i="12"/>
  <c r="E848" i="12"/>
  <c r="E431" i="12"/>
  <c r="E57" i="12"/>
  <c r="E1104" i="12"/>
  <c r="E390" i="12"/>
  <c r="E874" i="12"/>
  <c r="E354" i="12"/>
  <c r="E558" i="12"/>
  <c r="E645" i="12"/>
  <c r="E485" i="12"/>
  <c r="E174" i="12"/>
  <c r="E1011" i="12"/>
  <c r="E335" i="12"/>
  <c r="E393" i="12"/>
  <c r="E62" i="12"/>
  <c r="E968" i="12"/>
  <c r="E351" i="12"/>
  <c r="E883" i="12"/>
  <c r="E814" i="12"/>
  <c r="E1096" i="12"/>
  <c r="E38" i="12"/>
  <c r="E74" i="12"/>
  <c r="E394" i="12"/>
  <c r="E1027" i="12"/>
  <c r="E522" i="12"/>
  <c r="E810" i="12"/>
  <c r="E1047" i="12"/>
  <c r="E397" i="12"/>
  <c r="E1108" i="12"/>
  <c r="E101" i="12"/>
  <c r="E388" i="12"/>
  <c r="E706" i="12"/>
  <c r="E938" i="12"/>
  <c r="E702" i="12"/>
  <c r="E1008" i="12"/>
  <c r="E875" i="12"/>
  <c r="E766" i="12"/>
  <c r="E474" i="12"/>
  <c r="E21" i="12"/>
  <c r="E152" i="12"/>
  <c r="E620" i="12"/>
  <c r="E1033" i="12"/>
  <c r="E1138" i="12"/>
  <c r="E155" i="12"/>
  <c r="E717" i="12"/>
  <c r="E103" i="12"/>
  <c r="E888" i="12"/>
  <c r="E1158" i="12"/>
  <c r="E391" i="12"/>
  <c r="E1171" i="12"/>
  <c r="E689" i="12"/>
  <c r="E1134" i="12"/>
  <c r="E1032" i="12"/>
  <c r="E1100" i="12"/>
  <c r="E647" i="12"/>
  <c r="E537" i="12"/>
  <c r="E1126" i="12"/>
  <c r="E1106" i="12"/>
  <c r="E1137" i="12"/>
  <c r="E310" i="12"/>
  <c r="E423" i="12"/>
  <c r="E901" i="12"/>
  <c r="E156" i="12"/>
  <c r="E1103" i="12"/>
  <c r="E19" i="12"/>
  <c r="E902" i="12"/>
  <c r="E1007" i="12"/>
  <c r="E188" i="12"/>
  <c r="E287" i="12"/>
  <c r="E1031" i="12"/>
  <c r="E846" i="12"/>
  <c r="E1043" i="12"/>
  <c r="E633" i="12"/>
  <c r="E288" i="12"/>
  <c r="E1074" i="12"/>
  <c r="E432" i="12"/>
  <c r="E566" i="12"/>
  <c r="E226" i="12"/>
  <c r="E1083" i="12"/>
  <c r="E299" i="12"/>
  <c r="E105" i="12"/>
  <c r="E617" i="12"/>
  <c r="E408" i="12"/>
  <c r="E931" i="12"/>
  <c r="E99" i="12"/>
  <c r="E947" i="12"/>
  <c r="E455" i="12"/>
  <c r="E137" i="12"/>
  <c r="E552" i="12"/>
  <c r="E614" i="12"/>
  <c r="E751" i="12"/>
  <c r="E90" i="12"/>
  <c r="E326" i="12"/>
  <c r="E740" i="12"/>
  <c r="E78" i="12"/>
  <c r="E1128" i="12"/>
  <c r="E793" i="12"/>
  <c r="E589" i="12"/>
  <c r="E984" i="12"/>
  <c r="E603" i="12"/>
  <c r="E1116" i="12"/>
  <c r="E577" i="12"/>
  <c r="E533" i="12"/>
  <c r="E140" i="12"/>
  <c r="E315" i="12"/>
  <c r="E832" i="12"/>
  <c r="E805" i="12"/>
  <c r="E135" i="12"/>
  <c r="E22" i="12"/>
  <c r="E543" i="12"/>
  <c r="E25" i="12"/>
  <c r="E1132" i="12"/>
  <c r="E970" i="12"/>
  <c r="E820" i="12"/>
  <c r="E1014" i="12"/>
  <c r="E715" i="12"/>
  <c r="E885" i="12"/>
  <c r="E378" i="12"/>
  <c r="E1002" i="12"/>
  <c r="E59" i="12"/>
  <c r="E184" i="12"/>
  <c r="E178" i="12"/>
  <c r="E841" i="12"/>
  <c r="E263" i="12"/>
  <c r="E749" i="12"/>
  <c r="E96" i="12"/>
  <c r="E911" i="12"/>
  <c r="E743" i="12"/>
  <c r="E1089" i="12"/>
  <c r="E776" i="12"/>
  <c r="E305" i="12"/>
  <c r="E872" i="12"/>
  <c r="E148" i="12"/>
  <c r="E1024" i="12"/>
  <c r="E1044" i="12"/>
  <c r="E495" i="12"/>
  <c r="E364" i="12"/>
  <c r="E724" i="12"/>
  <c r="E668" i="12"/>
  <c r="E951" i="12"/>
  <c r="E164" i="12"/>
  <c r="E548" i="12"/>
  <c r="E436" i="12"/>
  <c r="E504" i="12"/>
  <c r="E407" i="12"/>
  <c r="E680" i="12"/>
  <c r="E510" i="12"/>
  <c r="E625" i="12"/>
  <c r="E1006" i="12"/>
  <c r="E555" i="12"/>
  <c r="E950" i="12"/>
  <c r="E903" i="12"/>
  <c r="E890" i="12"/>
  <c r="E1079" i="12"/>
  <c r="E1123" i="12"/>
  <c r="E11" i="12"/>
  <c r="E60" i="12"/>
  <c r="E340" i="12"/>
  <c r="E334" i="12"/>
  <c r="E529" i="12"/>
  <c r="E954" i="12"/>
  <c r="E332" i="12"/>
  <c r="E487" i="12"/>
  <c r="E186" i="12"/>
  <c r="E1051" i="12"/>
  <c r="E1067" i="12"/>
  <c r="E419" i="12"/>
  <c r="E517" i="12"/>
  <c r="E971" i="12"/>
  <c r="E468" i="12"/>
  <c r="E1064" i="12"/>
  <c r="E371" i="12"/>
  <c r="E329" i="12"/>
  <c r="E415" i="12"/>
  <c r="E797" i="12"/>
  <c r="E729" i="12"/>
  <c r="E560" i="12"/>
  <c r="E791" i="12"/>
  <c r="E939" i="12"/>
  <c r="E1056" i="12"/>
  <c r="E479" i="12"/>
  <c r="E630" i="12"/>
  <c r="E564" i="12"/>
  <c r="E1052" i="12"/>
  <c r="E261" i="12"/>
  <c r="E584" i="12"/>
  <c r="E583" i="12"/>
  <c r="E346" i="12"/>
  <c r="E69" i="12"/>
  <c r="E1177" i="12"/>
  <c r="E808" i="12"/>
  <c r="E421" i="12"/>
  <c r="E604" i="12"/>
  <c r="E1095" i="12"/>
  <c r="E545" i="12"/>
  <c r="E867" i="12"/>
  <c r="J1143" i="12" l="1"/>
  <c r="J1144" i="12" l="1"/>
  <c r="C1143" i="12"/>
  <c r="BP1" i="12"/>
  <c r="AV332" i="20" a="1"/>
  <c r="AV332" i="20" s="1"/>
  <c r="AW332" i="20" s="1"/>
  <c r="AW333" i="20" s="1"/>
  <c r="AW334" i="20" s="1"/>
  <c r="AW335" i="20" s="1"/>
  <c r="AW336" i="20" s="1"/>
  <c r="AW337" i="20" s="1"/>
  <c r="AW338" i="20" s="1"/>
  <c r="AW339" i="20" s="1"/>
  <c r="AW340" i="20" s="1"/>
  <c r="AW341" i="20" s="1"/>
  <c r="AW342" i="20" s="1"/>
  <c r="AW343" i="20" s="1"/>
  <c r="AW344" i="20" s="1"/>
  <c r="AW345" i="20" s="1"/>
  <c r="AW346" i="20" s="1"/>
  <c r="AW347" i="20" s="1"/>
  <c r="AW348" i="20" s="1"/>
  <c r="AW349" i="20" s="1"/>
  <c r="AW350" i="20" s="1"/>
  <c r="AW351" i="20" s="1"/>
  <c r="AW352" i="20" s="1"/>
  <c r="AW353" i="20" s="1"/>
  <c r="AW354" i="20" s="1"/>
  <c r="AW355" i="20" s="1"/>
  <c r="AW356" i="20" s="1"/>
  <c r="AW357" i="20" s="1"/>
  <c r="AW358" i="20" s="1"/>
  <c r="AW359" i="20" s="1"/>
  <c r="AW360" i="20" s="1"/>
  <c r="AW361" i="20" s="1"/>
  <c r="AW362" i="20" s="1"/>
  <c r="AW363" i="20" s="1"/>
  <c r="AW364" i="20" s="1"/>
  <c r="AW365" i="20" s="1"/>
  <c r="AW366" i="20" s="1"/>
  <c r="AW367" i="20" s="1"/>
  <c r="BS1" i="12"/>
  <c r="J1145" i="12" l="1"/>
  <c r="C1144" i="12"/>
  <c r="J1146" i="12" l="1"/>
  <c r="C1145" i="12"/>
  <c r="C1146" i="12" l="1"/>
  <c r="J1147" i="12"/>
  <c r="C1147" i="12" l="1"/>
  <c r="J1148" i="12"/>
  <c r="J1149" i="12" l="1"/>
  <c r="C1148" i="12"/>
  <c r="J1150" i="12" l="1"/>
  <c r="C1149" i="12"/>
  <c r="J1151" i="12" l="1"/>
  <c r="C1150" i="12"/>
  <c r="J1152" i="12" l="1"/>
  <c r="C1151" i="12"/>
  <c r="J1153" i="12" l="1"/>
  <c r="C1152" i="12"/>
  <c r="J1154" i="12" l="1"/>
  <c r="C1153" i="12"/>
  <c r="C1154" i="12" l="1"/>
  <c r="J1155" i="12"/>
  <c r="C1155" i="12" l="1"/>
  <c r="J1156" i="12"/>
  <c r="J1157" i="12" l="1"/>
  <c r="C1156" i="12"/>
  <c r="J1158" i="12" l="1"/>
  <c r="C1157" i="12"/>
  <c r="J1159" i="12" l="1"/>
  <c r="C1158" i="12"/>
  <c r="J1160" i="12" l="1"/>
  <c r="C1159" i="12"/>
  <c r="J1161" i="12" l="1"/>
  <c r="C1160" i="12"/>
  <c r="J1162" i="12" l="1"/>
  <c r="C1161" i="12"/>
  <c r="C1162" i="12" l="1"/>
  <c r="J1163" i="12"/>
  <c r="C1163" i="12" l="1"/>
  <c r="J1164" i="12"/>
  <c r="J1165" i="12" l="1"/>
  <c r="C1164" i="12"/>
  <c r="J1166" i="12" l="1"/>
  <c r="C1165" i="12"/>
  <c r="J1167" i="12" l="1"/>
  <c r="C1166" i="12"/>
  <c r="J1168" i="12" l="1"/>
  <c r="C1167" i="12"/>
  <c r="J1169" i="12" l="1"/>
  <c r="C1168" i="12"/>
  <c r="J1170" i="12" l="1"/>
  <c r="C1169" i="12"/>
  <c r="C1170" i="12" l="1"/>
  <c r="J1171" i="12"/>
  <c r="C1171" i="12" l="1"/>
  <c r="J1172" i="12"/>
  <c r="J1173" i="12" l="1"/>
  <c r="C1172" i="12"/>
  <c r="J1174" i="12" l="1"/>
  <c r="C1173" i="12"/>
  <c r="J1175" i="12" l="1"/>
  <c r="C1174" i="12"/>
  <c r="J1176" i="12" l="1"/>
  <c r="C1175" i="12"/>
  <c r="J1177" i="12" l="1"/>
  <c r="C1176" i="12"/>
  <c r="J1178" i="12" l="1"/>
  <c r="C1177" i="12"/>
  <c r="C1178" i="12" l="1"/>
  <c r="K1131" i="12"/>
  <c r="K971" i="12"/>
  <c r="K968" i="12"/>
  <c r="K254" i="12"/>
  <c r="K162" i="12"/>
  <c r="K20" i="12"/>
  <c r="K611" i="12"/>
  <c r="K263" i="12"/>
  <c r="K804" i="12"/>
  <c r="K29" i="12"/>
  <c r="K711" i="12"/>
  <c r="K508" i="12"/>
  <c r="K955" i="12"/>
  <c r="K445" i="12"/>
  <c r="K58" i="12"/>
  <c r="K22" i="12"/>
  <c r="K298" i="12"/>
  <c r="K585" i="12"/>
  <c r="K819" i="12"/>
  <c r="K352" i="12"/>
  <c r="K450" i="12"/>
  <c r="K868" i="12"/>
  <c r="K290" i="12"/>
  <c r="K725" i="12"/>
  <c r="K646" i="12"/>
  <c r="K941" i="12"/>
  <c r="K613" i="12"/>
  <c r="K299" i="12"/>
  <c r="K209" i="12"/>
  <c r="K256" i="12"/>
  <c r="K878" i="12"/>
  <c r="K928" i="12"/>
  <c r="K159" i="12"/>
  <c r="K771" i="12"/>
  <c r="K813" i="12"/>
  <c r="K265" i="12"/>
  <c r="K230" i="12"/>
  <c r="K130" i="12"/>
  <c r="K984" i="12"/>
  <c r="K142" i="12"/>
  <c r="K492" i="12"/>
  <c r="K284" i="12"/>
  <c r="K712" i="12"/>
  <c r="K405" i="12"/>
  <c r="K794" i="12"/>
  <c r="K710" i="12"/>
  <c r="K862" i="12"/>
  <c r="K839" i="12"/>
  <c r="K147" i="12"/>
  <c r="K979" i="12"/>
  <c r="K439" i="12"/>
  <c r="K240" i="12"/>
  <c r="K1070" i="12"/>
  <c r="K967" i="12"/>
  <c r="K1132" i="12"/>
  <c r="K826" i="12"/>
  <c r="K1063" i="12"/>
  <c r="K970" i="12"/>
  <c r="K579" i="12"/>
  <c r="K936" i="12"/>
  <c r="K741" i="12"/>
  <c r="K203" i="12"/>
  <c r="K664" i="12"/>
  <c r="K154" i="12"/>
  <c r="K1093" i="12"/>
  <c r="K318" i="12"/>
  <c r="K659" i="12"/>
  <c r="K182" i="12"/>
  <c r="K293" i="12"/>
  <c r="K686" i="12"/>
  <c r="K448" i="12"/>
  <c r="K330" i="12"/>
  <c r="K383" i="12"/>
  <c r="K1047" i="12"/>
  <c r="K426" i="12"/>
  <c r="K882" i="12"/>
  <c r="K942" i="12"/>
  <c r="K355" i="12"/>
  <c r="K5" i="12"/>
  <c r="K961" i="12"/>
  <c r="K146" i="12"/>
  <c r="K543" i="12"/>
  <c r="K1149" i="12"/>
  <c r="K1013" i="12"/>
  <c r="K1123" i="12"/>
  <c r="K662" i="12"/>
  <c r="K57" i="12"/>
  <c r="K777" i="12"/>
  <c r="K76" i="12"/>
  <c r="K108" i="12"/>
  <c r="K257" i="12"/>
  <c r="K986" i="12"/>
  <c r="K729" i="12"/>
  <c r="K724" i="12"/>
  <c r="K278" i="12"/>
  <c r="K218" i="12"/>
  <c r="K100" i="12"/>
  <c r="K583" i="12"/>
  <c r="K68" i="12"/>
  <c r="K933" i="12"/>
  <c r="K481" i="12"/>
  <c r="K301" i="12"/>
  <c r="K56" i="12"/>
  <c r="K160" i="12"/>
  <c r="K716" i="12"/>
  <c r="K28" i="12"/>
  <c r="K944" i="12"/>
  <c r="K766" i="12"/>
  <c r="K719" i="12"/>
  <c r="K603" i="12"/>
  <c r="K758" i="12"/>
  <c r="K232" i="12"/>
  <c r="K1164" i="12"/>
  <c r="K350" i="12"/>
  <c r="K599" i="12"/>
  <c r="K987" i="12"/>
  <c r="K790" i="12"/>
  <c r="K937" i="12"/>
  <c r="K981" i="12"/>
  <c r="K863" i="12"/>
  <c r="K541" i="12"/>
  <c r="K995" i="12"/>
  <c r="K1150" i="12"/>
  <c r="K581" i="12"/>
  <c r="K770" i="12"/>
  <c r="K533" i="12"/>
  <c r="K749" i="12"/>
  <c r="K14" i="12"/>
  <c r="K898" i="12"/>
  <c r="K1012" i="12"/>
  <c r="K175" i="12"/>
  <c r="K1113" i="12"/>
  <c r="K1143" i="12"/>
  <c r="K1076" i="12"/>
  <c r="K675" i="12"/>
  <c r="K1095" i="12"/>
  <c r="K950" i="12"/>
  <c r="K540" i="12"/>
  <c r="K1135" i="12"/>
  <c r="K224" i="12"/>
  <c r="K605" i="12"/>
  <c r="K503" i="12"/>
  <c r="K115" i="12"/>
  <c r="K997" i="12"/>
  <c r="K949" i="12"/>
  <c r="K347" i="12"/>
  <c r="K733" i="12"/>
  <c r="K824" i="12"/>
  <c r="K163" i="12"/>
  <c r="K327" i="12"/>
  <c r="K316" i="12"/>
  <c r="K77" i="12"/>
  <c r="K390" i="12"/>
  <c r="K75" i="12"/>
  <c r="K437" i="12"/>
  <c r="K816" i="12"/>
  <c r="K473" i="12"/>
  <c r="K372" i="12"/>
  <c r="K11" i="12"/>
  <c r="K435" i="12"/>
  <c r="K1089" i="12"/>
  <c r="K396" i="12"/>
  <c r="K681" i="12"/>
  <c r="K521" i="12"/>
  <c r="K326" i="12"/>
  <c r="K563" i="12"/>
  <c r="K626" i="12"/>
  <c r="K101" i="12"/>
  <c r="K52" i="12"/>
  <c r="K425" i="12"/>
  <c r="K666" i="12"/>
  <c r="K393" i="12"/>
  <c r="K800" i="12"/>
  <c r="K9" i="12"/>
  <c r="K8" i="12"/>
  <c r="K134" i="12"/>
  <c r="K419" i="12"/>
  <c r="K505" i="12"/>
  <c r="K475" i="12"/>
  <c r="K982" i="12"/>
  <c r="K129" i="12"/>
  <c r="K912" i="12"/>
  <c r="K176" i="12"/>
  <c r="K643" i="12"/>
  <c r="K893" i="12"/>
  <c r="K121" i="12"/>
  <c r="K507" i="12"/>
  <c r="K943" i="12"/>
  <c r="K584" i="12"/>
  <c r="K655" i="12"/>
  <c r="K780" i="12"/>
  <c r="K1024" i="12"/>
  <c r="K735" i="12"/>
  <c r="K384" i="12"/>
  <c r="K280" i="12"/>
  <c r="K394" i="12"/>
  <c r="K500" i="12"/>
  <c r="K573" i="12"/>
  <c r="K798" i="12"/>
  <c r="K476" i="12"/>
  <c r="K474" i="12"/>
  <c r="K621" i="12"/>
  <c r="K746" i="12"/>
  <c r="K609" i="12"/>
  <c r="K620" i="12"/>
  <c r="K1141" i="12"/>
  <c r="K699" i="12"/>
  <c r="K1166" i="12"/>
  <c r="K6" i="12"/>
  <c r="K1170" i="12"/>
  <c r="K894" i="12"/>
  <c r="K1020" i="12"/>
  <c r="K319" i="12"/>
  <c r="K887" i="12"/>
  <c r="K989" i="12"/>
  <c r="K272" i="12"/>
  <c r="K1082" i="12"/>
  <c r="K470" i="12"/>
  <c r="K1054" i="12"/>
  <c r="K748" i="12"/>
  <c r="K148" i="12"/>
  <c r="K453" i="12"/>
  <c r="K124" i="12"/>
  <c r="K938" i="12"/>
  <c r="K110" i="12"/>
  <c r="K1105" i="12"/>
  <c r="K549" i="12"/>
  <c r="K48" i="12"/>
  <c r="K972" i="12"/>
  <c r="K649" i="12"/>
  <c r="K881" i="12"/>
  <c r="K395" i="12"/>
  <c r="K827" i="12"/>
  <c r="K137" i="12"/>
  <c r="K88" i="12"/>
  <c r="K1048" i="12"/>
  <c r="K537" i="12"/>
  <c r="K133" i="12"/>
  <c r="K1100" i="12"/>
  <c r="K201" i="12"/>
  <c r="K128" i="12"/>
  <c r="K82" i="12"/>
  <c r="K1061" i="12"/>
  <c r="K1115" i="12"/>
  <c r="K392" i="12"/>
  <c r="K930" i="12"/>
  <c r="K897" i="12"/>
  <c r="K532" i="12"/>
  <c r="K138" i="12"/>
  <c r="K188" i="12"/>
  <c r="K186" i="12"/>
  <c r="K1146" i="12"/>
  <c r="K506" i="12"/>
  <c r="K495" i="12"/>
  <c r="K802" i="12"/>
  <c r="K400" i="12"/>
  <c r="K255" i="12"/>
  <c r="K283" i="12"/>
  <c r="K61" i="12"/>
  <c r="K980" i="12"/>
  <c r="K857" i="12"/>
  <c r="K552" i="12"/>
  <c r="K1015" i="12"/>
  <c r="K742" i="12"/>
  <c r="K1110" i="12"/>
  <c r="K1120" i="12"/>
  <c r="K382" i="12"/>
  <c r="K786" i="12"/>
  <c r="K535" i="12"/>
  <c r="K904" i="12"/>
  <c r="K1091" i="12"/>
  <c r="K567" i="12"/>
  <c r="K548" i="12"/>
  <c r="K1144" i="12"/>
  <c r="K389" i="12"/>
  <c r="K39" i="12"/>
  <c r="K238" i="12"/>
  <c r="K803" i="12"/>
  <c r="K673" i="12"/>
  <c r="K547" i="12"/>
  <c r="K292" i="12"/>
  <c r="K1000" i="12"/>
  <c r="K871" i="12"/>
  <c r="K179" i="12"/>
  <c r="K1153" i="12"/>
  <c r="K177" i="12"/>
  <c r="K597" i="12"/>
  <c r="K441" i="12"/>
  <c r="K895" i="12"/>
  <c r="K226" i="12"/>
  <c r="K751" i="12"/>
  <c r="K200" i="12"/>
  <c r="K433" i="12"/>
  <c r="K1124" i="12"/>
  <c r="K811" i="12"/>
  <c r="K1068" i="12"/>
  <c r="K1165" i="12"/>
  <c r="K650" i="12"/>
  <c r="K358" i="12"/>
  <c r="K919" i="12"/>
  <c r="K913" i="12"/>
  <c r="K304" i="12"/>
  <c r="K850" i="12"/>
  <c r="K988" i="12"/>
  <c r="K1019" i="12"/>
  <c r="K127" i="12"/>
  <c r="K313" i="12"/>
  <c r="K143" i="12"/>
  <c r="K978" i="12"/>
  <c r="K415" i="12"/>
  <c r="K1026" i="12"/>
  <c r="K3" i="12"/>
  <c r="K215" i="12"/>
  <c r="K731" i="12"/>
  <c r="K208" i="12"/>
  <c r="K305" i="12"/>
  <c r="K959" i="12"/>
  <c r="K466" i="12"/>
  <c r="K745" i="12"/>
  <c r="K236" i="12"/>
  <c r="K1142" i="12"/>
  <c r="K1011" i="12"/>
  <c r="K140" i="12"/>
  <c r="K420" i="12"/>
  <c r="K510" i="12"/>
  <c r="K32" i="12"/>
  <c r="K1118" i="12"/>
  <c r="K346" i="12"/>
  <c r="K365" i="12"/>
  <c r="K370" i="12"/>
  <c r="K87" i="12"/>
  <c r="K1109" i="12"/>
  <c r="K756" i="12"/>
  <c r="K1037" i="12"/>
  <c r="K1145" i="12"/>
  <c r="K213" i="12"/>
  <c r="K1065" i="12"/>
  <c r="K1051" i="12"/>
  <c r="K694" i="12"/>
  <c r="K170" i="12"/>
  <c r="K459" i="12"/>
  <c r="K291" i="12"/>
  <c r="K983" i="12"/>
  <c r="K467" i="12"/>
  <c r="K656" i="12"/>
  <c r="K914" i="12"/>
  <c r="K1075" i="12"/>
  <c r="K519" i="12"/>
  <c r="K55" i="12"/>
  <c r="K172" i="12"/>
  <c r="K708" i="12"/>
  <c r="K19" i="12"/>
  <c r="K740" i="12"/>
  <c r="K1168" i="12"/>
  <c r="K1028" i="12"/>
  <c r="K348" i="12"/>
  <c r="K117" i="12"/>
  <c r="K31" i="12"/>
  <c r="K1057" i="12"/>
  <c r="K977" i="12"/>
  <c r="K261" i="12"/>
  <c r="K1055" i="12"/>
  <c r="K593" i="12"/>
  <c r="K105" i="12"/>
  <c r="K123" i="12"/>
  <c r="K317" i="12"/>
  <c r="K909" i="12"/>
  <c r="K1127" i="12"/>
  <c r="K817" i="12"/>
  <c r="K377" i="12"/>
  <c r="K494" i="12"/>
  <c r="K17" i="12"/>
  <c r="K195" i="12"/>
  <c r="K838" i="12"/>
  <c r="K1006" i="12"/>
  <c r="K418" i="12"/>
  <c r="K1084" i="12"/>
  <c r="K1103" i="12"/>
  <c r="K1018" i="12"/>
  <c r="K810" i="12"/>
  <c r="K791" i="12"/>
  <c r="K498" i="12"/>
  <c r="K853" i="12"/>
  <c r="K444" i="12"/>
  <c r="K885" i="12"/>
  <c r="K734" i="12"/>
  <c r="K623" i="12"/>
  <c r="K469" i="12"/>
  <c r="K401" i="12"/>
  <c r="K40" i="12"/>
  <c r="K135" i="12"/>
  <c r="K785" i="12"/>
  <c r="K697" i="12"/>
  <c r="K21" i="12"/>
  <c r="K1122" i="12"/>
  <c r="K1030" i="12"/>
  <c r="K1163" i="12"/>
  <c r="K534" i="12"/>
  <c r="K434" i="12"/>
  <c r="K483" i="12"/>
  <c r="K431" i="12"/>
  <c r="K574" i="12"/>
  <c r="K1130" i="12"/>
  <c r="K562" i="12"/>
  <c r="K679" i="12"/>
  <c r="K653" i="12"/>
  <c r="K739" i="12"/>
  <c r="K289" i="12"/>
  <c r="K362" i="12"/>
  <c r="K998" i="12"/>
  <c r="K193" i="12"/>
  <c r="K109" i="12"/>
  <c r="K518" i="12"/>
  <c r="K199" i="12"/>
  <c r="K1073" i="12"/>
  <c r="K732" i="12"/>
  <c r="K854" i="12"/>
  <c r="K676" i="12"/>
  <c r="K406" i="12"/>
  <c r="K442" i="12"/>
  <c r="K282" i="12"/>
  <c r="K820" i="12"/>
  <c r="K504" i="12"/>
  <c r="K669" i="12"/>
  <c r="K888" i="12"/>
  <c r="K385" i="12"/>
  <c r="K114" i="12"/>
  <c r="K1021" i="12"/>
  <c r="K409" i="12"/>
  <c r="K173" i="12"/>
  <c r="K262" i="12"/>
  <c r="K924" i="12"/>
  <c r="K1077" i="12"/>
  <c r="K364" i="12"/>
  <c r="K550" i="12"/>
  <c r="K644" i="12"/>
  <c r="K1175" i="12"/>
  <c r="K270" i="12"/>
  <c r="K976" i="12"/>
  <c r="K874" i="12"/>
  <c r="K639" i="12"/>
  <c r="K169" i="12"/>
  <c r="K171" i="12"/>
  <c r="K502" i="12"/>
  <c r="K754" i="12"/>
  <c r="K1039" i="12"/>
  <c r="K345" i="12"/>
  <c r="K367" i="12"/>
  <c r="K458" i="12"/>
  <c r="K65" i="12"/>
  <c r="K62" i="12"/>
  <c r="K375" i="12"/>
  <c r="K571" i="12"/>
  <c r="K1137" i="12"/>
  <c r="K344" i="12"/>
  <c r="K259" i="12"/>
  <c r="K821" i="12"/>
  <c r="K524" i="12"/>
  <c r="K249" i="12"/>
  <c r="K709" i="12"/>
  <c r="K152" i="12"/>
  <c r="K831" i="12"/>
  <c r="K153" i="12"/>
  <c r="K1080" i="12"/>
  <c r="K544" i="12"/>
  <c r="K683" i="12"/>
  <c r="K73" i="12"/>
  <c r="K856" i="12"/>
  <c r="K81" i="12"/>
  <c r="K85" i="12"/>
  <c r="K342" i="12"/>
  <c r="K615" i="12"/>
  <c r="K23" i="12"/>
  <c r="K536" i="12"/>
  <c r="K835" i="12"/>
  <c r="K484" i="12"/>
  <c r="K514" i="12"/>
  <c r="K286" i="12"/>
  <c r="K219" i="12"/>
  <c r="K329" i="12"/>
  <c r="K778" i="12"/>
  <c r="K422" i="12"/>
  <c r="K167" i="12"/>
  <c r="K472" i="12"/>
  <c r="K1069" i="12"/>
  <c r="K690" i="12"/>
  <c r="K551" i="12"/>
  <c r="K577" i="12"/>
  <c r="K1174" i="12"/>
  <c r="K687" i="12"/>
  <c r="K465" i="12"/>
  <c r="K736" i="12"/>
  <c r="K625" i="12"/>
  <c r="K311" i="12"/>
  <c r="K762" i="12"/>
  <c r="K349" i="12"/>
  <c r="K648" i="12"/>
  <c r="K279" i="12"/>
  <c r="K141" i="12"/>
  <c r="K443" i="12"/>
  <c r="K231" i="12"/>
  <c r="K840" i="12"/>
  <c r="K324" i="12"/>
  <c r="K471" i="12"/>
  <c r="K49" i="12"/>
  <c r="K702" i="12"/>
  <c r="K960" i="12"/>
  <c r="K497" i="12"/>
  <c r="K634" i="12"/>
  <c r="K860" i="12"/>
  <c r="K538" i="12"/>
  <c r="K761" i="12"/>
  <c r="K628" i="12"/>
  <c r="K553" i="12"/>
  <c r="K1108" i="12"/>
  <c r="K705" i="12"/>
  <c r="K555" i="12"/>
  <c r="K809" i="12"/>
  <c r="K185" i="12"/>
  <c r="K258" i="12"/>
  <c r="K992" i="12"/>
  <c r="K51" i="12"/>
  <c r="K235" i="12"/>
  <c r="K25" i="12"/>
  <c r="K95" i="12"/>
  <c r="K587" i="12"/>
  <c r="K250" i="12"/>
  <c r="K728" i="12"/>
  <c r="K520" i="12"/>
  <c r="K1155" i="12"/>
  <c r="K69" i="12"/>
  <c r="K44" i="12"/>
  <c r="K1090" i="12"/>
  <c r="K1004" i="12"/>
  <c r="K693" i="12"/>
  <c r="K526" i="12"/>
  <c r="K15" i="12"/>
  <c r="K1062" i="12"/>
  <c r="K1094" i="12"/>
  <c r="K822" i="12"/>
  <c r="K757" i="12"/>
  <c r="K601" i="12"/>
  <c r="K339" i="12"/>
  <c r="K1016" i="12"/>
  <c r="K223" i="12"/>
  <c r="K966" i="12"/>
  <c r="K1119" i="12"/>
  <c r="K667" i="12"/>
  <c r="K84" i="12"/>
  <c r="K253" i="12"/>
  <c r="K1046" i="12"/>
  <c r="K122" i="12"/>
  <c r="K373" i="12"/>
  <c r="K1151" i="12"/>
  <c r="K580" i="12"/>
  <c r="K216" i="12"/>
  <c r="K610" i="12"/>
  <c r="K834" i="12"/>
  <c r="K939" i="12"/>
  <c r="K164" i="12"/>
  <c r="K722" i="12"/>
  <c r="K244" i="12"/>
  <c r="K264" i="12"/>
  <c r="K462" i="12"/>
  <c r="K1072" i="12"/>
  <c r="K806" i="12"/>
  <c r="K922" i="12"/>
  <c r="K787" i="12"/>
  <c r="K1040" i="12"/>
  <c r="K706" i="12"/>
  <c r="K568" i="12"/>
  <c r="K111" i="12"/>
  <c r="K886" i="12"/>
  <c r="K229" i="12"/>
  <c r="K268" i="12"/>
  <c r="K1147" i="12"/>
  <c r="K608" i="12"/>
  <c r="K158" i="12"/>
  <c r="K720" i="12"/>
  <c r="K691" i="12"/>
  <c r="K93" i="12"/>
  <c r="K991" i="12"/>
  <c r="K846" i="12"/>
  <c r="K682" i="12"/>
  <c r="K97" i="12"/>
  <c r="K196" i="12"/>
  <c r="K187" i="12"/>
  <c r="K624" i="12"/>
  <c r="K50" i="12"/>
  <c r="K561" i="12"/>
  <c r="K451" i="12"/>
  <c r="K1104" i="12"/>
  <c r="K957" i="12"/>
  <c r="K721" i="12"/>
  <c r="K376" i="12"/>
  <c r="K852" i="12"/>
  <c r="K713" i="12"/>
  <c r="K973" i="12"/>
  <c r="K876" i="12"/>
  <c r="K1066" i="12"/>
  <c r="K1060" i="12"/>
  <c r="K7" i="12"/>
  <c r="K1038" i="12"/>
  <c r="K79" i="12"/>
  <c r="K849" i="12"/>
  <c r="K242" i="12"/>
  <c r="K807" i="12"/>
  <c r="K619" i="12"/>
  <c r="K788" i="12"/>
  <c r="K274" i="12"/>
  <c r="K341" i="12"/>
  <c r="K774" i="12"/>
  <c r="K954" i="12"/>
  <c r="K1059" i="12"/>
  <c r="K1025" i="12"/>
  <c r="K869" i="12"/>
  <c r="K414" i="12"/>
  <c r="K582" i="12"/>
  <c r="K102" i="12"/>
  <c r="K468" i="12"/>
  <c r="K844" i="12"/>
  <c r="K951" i="12"/>
  <c r="K145" i="12"/>
  <c r="K161" i="12"/>
  <c r="K763" i="12"/>
  <c r="K118" i="12"/>
  <c r="K446" i="12"/>
  <c r="K320" i="12"/>
  <c r="K570" i="12"/>
  <c r="K1097" i="12"/>
  <c r="K931" i="12"/>
  <c r="K303" i="12"/>
  <c r="K726" i="12"/>
  <c r="K892" i="12"/>
  <c r="K801" i="12"/>
  <c r="K867" i="12"/>
  <c r="K277" i="12"/>
  <c r="K1102" i="12"/>
  <c r="K677" i="12"/>
  <c r="K381" i="12"/>
  <c r="K413" i="12"/>
  <c r="K861" i="12"/>
  <c r="K859" i="12"/>
  <c r="K206" i="12"/>
  <c r="K1078" i="12"/>
  <c r="K1053" i="12"/>
  <c r="K217" i="12"/>
  <c r="K509" i="12"/>
  <c r="K1152" i="12"/>
  <c r="K880" i="12"/>
  <c r="K1160" i="12"/>
  <c r="K248" i="12"/>
  <c r="K416" i="12"/>
  <c r="K865" i="12"/>
  <c r="K1036" i="12"/>
  <c r="K197" i="12"/>
  <c r="K672" i="12"/>
  <c r="K948" i="12"/>
  <c r="K71" i="12"/>
  <c r="K323" i="12"/>
  <c r="K37" i="12"/>
  <c r="K1088" i="12"/>
  <c r="K247" i="12"/>
  <c r="K594" i="12"/>
  <c r="K873" i="12"/>
  <c r="K388" i="12"/>
  <c r="K779" i="12"/>
  <c r="K934" i="12"/>
  <c r="K99" i="12"/>
  <c r="K456" i="12"/>
  <c r="K703" i="12"/>
  <c r="K485" i="12"/>
  <c r="K410" i="12"/>
  <c r="K67" i="12"/>
  <c r="K759" i="12"/>
  <c r="K331" i="12"/>
  <c r="K205" i="12"/>
  <c r="K1106" i="12"/>
  <c r="K220" i="12"/>
  <c r="K1161" i="12"/>
  <c r="K356" i="12"/>
  <c r="K144" i="12"/>
  <c r="K674" i="12"/>
  <c r="K180" i="12"/>
  <c r="K151" i="12"/>
  <c r="K1087" i="12"/>
  <c r="K1128" i="12"/>
  <c r="K825" i="12"/>
  <c r="K214" i="12"/>
  <c r="K1041" i="12"/>
  <c r="K689" i="12"/>
  <c r="K750" i="12"/>
  <c r="K918" i="12"/>
  <c r="K848" i="12"/>
  <c r="K1010" i="12"/>
  <c r="K635" i="12"/>
  <c r="K482" i="12"/>
  <c r="K337" i="12"/>
  <c r="K424" i="12"/>
  <c r="K1064" i="12"/>
  <c r="K1032" i="12"/>
  <c r="K91" i="12"/>
  <c r="K181" i="12"/>
  <c r="K1086" i="12"/>
  <c r="K452" i="12"/>
  <c r="K45" i="12"/>
  <c r="K251" i="12"/>
  <c r="K436" i="12"/>
  <c r="K606" i="12"/>
  <c r="K753" i="12"/>
  <c r="K423" i="12"/>
  <c r="K302" i="12"/>
  <c r="K546" i="12"/>
  <c r="K908" i="12"/>
  <c r="K999" i="12"/>
  <c r="K1129" i="12"/>
  <c r="K883" i="12"/>
  <c r="K53" i="12"/>
  <c r="K295" i="12"/>
  <c r="K1133" i="12"/>
  <c r="K633" i="12"/>
  <c r="K953" i="12"/>
  <c r="K260" i="12"/>
  <c r="K16" i="12"/>
  <c r="K1148" i="12"/>
  <c r="K793" i="12"/>
  <c r="K768" i="12"/>
  <c r="K1139" i="12"/>
  <c r="K1176" i="12"/>
  <c r="K782" i="12"/>
  <c r="K901" i="12"/>
  <c r="K237" i="12"/>
  <c r="K312" i="12"/>
  <c r="K900" i="12"/>
  <c r="K322" i="12"/>
  <c r="K1121" i="12"/>
  <c r="K357" i="12"/>
  <c r="K688" i="12"/>
  <c r="K607" i="12"/>
  <c r="K692" i="12"/>
  <c r="K717" i="12"/>
  <c r="K379" i="12"/>
  <c r="K641" i="12"/>
  <c r="K896" i="12"/>
  <c r="K956" i="12"/>
  <c r="K210" i="12"/>
  <c r="K78" i="12"/>
  <c r="K399" i="12"/>
  <c r="K828" i="12"/>
  <c r="K266" i="12"/>
  <c r="K1138" i="12"/>
  <c r="K799" i="12"/>
  <c r="K1042" i="12"/>
  <c r="K769" i="12"/>
  <c r="K334" i="12"/>
  <c r="K727" i="12"/>
  <c r="K38" i="12"/>
  <c r="K191" i="12"/>
  <c r="K18" i="12"/>
  <c r="K572" i="12"/>
  <c r="K47" i="12"/>
  <c r="K632" i="12"/>
  <c r="K737" i="12"/>
  <c r="K417" i="12"/>
  <c r="K66" i="12"/>
  <c r="K985" i="12"/>
  <c r="K463" i="12"/>
  <c r="K921" i="12"/>
  <c r="K120" i="12"/>
  <c r="K403" i="12"/>
  <c r="K752" i="12"/>
  <c r="K404" i="12"/>
  <c r="K300" i="12"/>
  <c r="K556" i="12"/>
  <c r="K1158" i="12"/>
  <c r="K43" i="12"/>
  <c r="K618" i="12"/>
  <c r="K227" i="12"/>
  <c r="K841" i="12"/>
  <c r="K764" i="12"/>
  <c r="K166" i="12"/>
  <c r="K889" i="12"/>
  <c r="K309" i="12"/>
  <c r="K107" i="12"/>
  <c r="K929" i="12"/>
  <c r="K695" i="12"/>
  <c r="K1044" i="12"/>
  <c r="K905" i="12"/>
  <c r="K493" i="12"/>
  <c r="K903" i="12"/>
  <c r="K1157" i="12"/>
  <c r="K872" i="12"/>
  <c r="K622" i="12"/>
  <c r="K530" i="12"/>
  <c r="K842" i="12"/>
  <c r="K529" i="12"/>
  <c r="K1079" i="12"/>
  <c r="K1007" i="12"/>
  <c r="K477" i="12"/>
  <c r="K1043" i="12"/>
  <c r="K149" i="12"/>
  <c r="K1058" i="12"/>
  <c r="K234" i="12"/>
  <c r="K269" i="12"/>
  <c r="K588" i="12"/>
  <c r="K490" i="12"/>
  <c r="K917" i="12"/>
  <c r="K858" i="12"/>
  <c r="K812" i="12"/>
  <c r="K421" i="12"/>
  <c r="K10" i="12"/>
  <c r="K359" i="12"/>
  <c r="K207" i="12"/>
  <c r="K952" i="12"/>
  <c r="K310" i="12"/>
  <c r="K1081" i="12"/>
  <c r="K796" i="12"/>
  <c r="K557" i="12"/>
  <c r="K1033" i="12"/>
  <c r="K963" i="12"/>
  <c r="K685" i="12"/>
  <c r="K1117" i="12"/>
  <c r="K855" i="12"/>
  <c r="K604" i="12"/>
  <c r="K306" i="12"/>
  <c r="K294" i="12"/>
  <c r="K168" i="12"/>
  <c r="K155" i="12"/>
  <c r="K1177" i="12"/>
  <c r="K645" i="12"/>
  <c r="K273" i="12"/>
  <c r="K106" i="12"/>
  <c r="K1014" i="12"/>
  <c r="K554" i="12"/>
  <c r="K805" i="12"/>
  <c r="K63" i="12"/>
  <c r="K378" i="12"/>
  <c r="K629" i="12"/>
  <c r="K738" i="12"/>
  <c r="K575" i="12"/>
  <c r="K454" i="12"/>
  <c r="K336" i="12"/>
  <c r="K528" i="12"/>
  <c r="K1134" i="12"/>
  <c r="K1111" i="12"/>
  <c r="K374" i="12"/>
  <c r="K569" i="12"/>
  <c r="K1114" i="12"/>
  <c r="K654" i="12"/>
  <c r="K1022" i="12"/>
  <c r="K429" i="12"/>
  <c r="K225" i="12"/>
  <c r="K457" i="12"/>
  <c r="K698" i="12"/>
  <c r="K1167" i="12"/>
  <c r="K430" i="12"/>
  <c r="K98" i="12"/>
  <c r="K640" i="12"/>
  <c r="K285" i="12"/>
  <c r="K678" i="12"/>
  <c r="K617" i="12"/>
  <c r="K189" i="12"/>
  <c r="K314" i="12"/>
  <c r="K847" i="12"/>
  <c r="K539" i="12"/>
  <c r="K1085" i="12"/>
  <c r="K243" i="12"/>
  <c r="K1156" i="12"/>
  <c r="K926" i="12"/>
  <c r="K328" i="12"/>
  <c r="K718" i="12"/>
  <c r="K829" i="12"/>
  <c r="K461" i="12"/>
  <c r="K1023" i="12"/>
  <c r="K150" i="12"/>
  <c r="K86" i="12"/>
  <c r="K747" i="12"/>
  <c r="K233" i="12"/>
  <c r="K1005" i="12"/>
  <c r="K636" i="12"/>
  <c r="K204" i="12"/>
  <c r="K190" i="12"/>
  <c r="K836" i="12"/>
  <c r="K440" i="12"/>
  <c r="K916" i="12"/>
  <c r="K612" i="12"/>
  <c r="K464" i="12"/>
  <c r="K2" i="12"/>
  <c r="K27" i="12"/>
  <c r="K275" i="12"/>
  <c r="K595" i="12"/>
  <c r="K36" i="12"/>
  <c r="K380" i="12"/>
  <c r="K744" i="12"/>
  <c r="K335" i="12"/>
  <c r="K333" i="12"/>
  <c r="K1140" i="12"/>
  <c r="K1067" i="12"/>
  <c r="K35" i="12"/>
  <c r="K74" i="12"/>
  <c r="K486" i="12"/>
  <c r="K12" i="12"/>
  <c r="K837" i="12"/>
  <c r="K870" i="12"/>
  <c r="K996" i="12"/>
  <c r="K875" i="12"/>
  <c r="K174" i="12"/>
  <c r="K767" i="12"/>
  <c r="K830" i="12"/>
  <c r="K864" i="12"/>
  <c r="K990" i="12"/>
  <c r="K183" i="12"/>
  <c r="K252" i="12"/>
  <c r="K704" i="12"/>
  <c r="K890" i="12"/>
  <c r="K132" i="12"/>
  <c r="K1045" i="12"/>
  <c r="K491" i="12"/>
  <c r="K438" i="12"/>
  <c r="K920" i="12"/>
  <c r="K1136" i="12"/>
  <c r="K517" i="12"/>
  <c r="K449" i="12"/>
  <c r="K814" i="12"/>
  <c r="K975" i="12"/>
  <c r="K131" i="12"/>
  <c r="K83" i="12"/>
  <c r="K1125" i="12"/>
  <c r="K198" i="12"/>
  <c r="K1169" i="12"/>
  <c r="K221" i="12"/>
  <c r="K1050" i="12"/>
  <c r="K596" i="12"/>
  <c r="K962" i="12"/>
  <c r="K714" i="12"/>
  <c r="K1035" i="12"/>
  <c r="K46" i="12"/>
  <c r="K489" i="12"/>
  <c r="K823" i="12"/>
  <c r="K460" i="12"/>
  <c r="K946" i="12"/>
  <c r="K34" i="12"/>
  <c r="K1099" i="12"/>
  <c r="K531" i="12"/>
  <c r="K241" i="12"/>
  <c r="K670" i="12"/>
  <c r="K647" i="12"/>
  <c r="K592" i="12"/>
  <c r="K501" i="12"/>
  <c r="K915" i="12"/>
  <c r="K775" i="12"/>
  <c r="K33" i="12"/>
  <c r="K1173" i="12"/>
  <c r="K661" i="12"/>
  <c r="K113" i="12"/>
  <c r="K340" i="12"/>
  <c r="K723" i="12"/>
  <c r="K412" i="12"/>
  <c r="K818" i="12"/>
  <c r="K707" i="12"/>
  <c r="K1092" i="12"/>
  <c r="K902" i="12"/>
  <c r="K246" i="12"/>
  <c r="K558" i="12"/>
  <c r="K631" i="12"/>
  <c r="K321" i="12"/>
  <c r="K361" i="12"/>
  <c r="K627" i="12"/>
  <c r="K772" i="12"/>
  <c r="K1029" i="12"/>
  <c r="K660" i="12"/>
  <c r="K542" i="12"/>
  <c r="K701" i="12"/>
  <c r="K308" i="12"/>
  <c r="K296" i="12"/>
  <c r="K586" i="12"/>
  <c r="K715" i="12"/>
  <c r="K755" i="12"/>
  <c r="K24" i="12"/>
  <c r="K591" i="12"/>
  <c r="K910" i="12"/>
  <c r="K792" i="12"/>
  <c r="K906" i="12"/>
  <c r="K511" i="12"/>
  <c r="K907" i="12"/>
  <c r="K1154" i="12"/>
  <c r="K228" i="12"/>
  <c r="K479" i="12"/>
  <c r="K516" i="12"/>
  <c r="K743" i="12"/>
  <c r="K103" i="12"/>
  <c r="K515" i="12"/>
  <c r="K789" i="12"/>
  <c r="K307" i="12"/>
  <c r="K843" i="12"/>
  <c r="K1101" i="12"/>
  <c r="K1074" i="12"/>
  <c r="K1171" i="12"/>
  <c r="K545" i="12"/>
  <c r="K480" i="12"/>
  <c r="K64" i="12"/>
  <c r="K211" i="12"/>
  <c r="K680" i="12"/>
  <c r="K402" i="12"/>
  <c r="K116" i="12"/>
  <c r="K602" i="12"/>
  <c r="K60" i="12"/>
  <c r="K351" i="12"/>
  <c r="K499" i="12"/>
  <c r="K797" i="12"/>
  <c r="K1031" i="12"/>
  <c r="K522" i="12"/>
  <c r="K354" i="12"/>
  <c r="K776" i="12"/>
  <c r="K935" i="12"/>
  <c r="K1107" i="12"/>
  <c r="K156" i="12"/>
  <c r="K658" i="12"/>
  <c r="K651" i="12"/>
  <c r="K139" i="12"/>
  <c r="K845" i="12"/>
  <c r="K832" i="12"/>
  <c r="K851" i="12"/>
  <c r="K276" i="12"/>
  <c r="K202" i="12"/>
  <c r="K1034" i="12"/>
  <c r="K760" i="12"/>
  <c r="K54" i="12"/>
  <c r="K730" i="12"/>
  <c r="K815" i="12"/>
  <c r="K932" i="12"/>
  <c r="K271" i="12"/>
  <c r="K315" i="12"/>
  <c r="K947" i="12"/>
  <c r="K945" i="12"/>
  <c r="K1003" i="12"/>
  <c r="K1017" i="12"/>
  <c r="K564" i="12"/>
  <c r="K478" i="12"/>
  <c r="K964" i="12"/>
  <c r="K157" i="12"/>
  <c r="K523" i="12"/>
  <c r="K408" i="12"/>
  <c r="K638" i="12"/>
  <c r="K360" i="12"/>
  <c r="K239" i="12"/>
  <c r="K589" i="12"/>
  <c r="K974" i="12"/>
  <c r="K965" i="12"/>
  <c r="K576" i="12"/>
  <c r="K565" i="12"/>
  <c r="K398" i="12"/>
  <c r="K614" i="12"/>
  <c r="K90" i="12"/>
  <c r="K566" i="12"/>
  <c r="K212" i="12"/>
  <c r="K455" i="12"/>
  <c r="K783" i="12"/>
  <c r="K590" i="12"/>
  <c r="K1027" i="12"/>
  <c r="K488" i="12"/>
  <c r="K700" i="12"/>
  <c r="K72" i="12"/>
  <c r="K89" i="12"/>
  <c r="K371" i="12"/>
  <c r="K512" i="12"/>
  <c r="K1049" i="12"/>
  <c r="K600" i="12"/>
  <c r="K104" i="12"/>
  <c r="K119" i="12"/>
  <c r="K267" i="12"/>
  <c r="K1178" i="12"/>
  <c r="K578" i="12"/>
  <c r="K125" i="12"/>
  <c r="K513" i="12"/>
  <c r="K41" i="12"/>
  <c r="K525" i="12"/>
  <c r="K637" i="12"/>
  <c r="K59" i="12"/>
  <c r="K560" i="12"/>
  <c r="K487" i="12"/>
  <c r="K923" i="12"/>
  <c r="K411" i="12"/>
  <c r="K795" i="12"/>
  <c r="K911" i="12"/>
  <c r="K4" i="12"/>
  <c r="K96" i="12"/>
  <c r="K1009" i="12"/>
  <c r="K432" i="12"/>
  <c r="K386" i="12"/>
  <c r="K616" i="12"/>
  <c r="K884" i="12"/>
  <c r="K397" i="12"/>
  <c r="K387" i="12"/>
  <c r="K496" i="12"/>
  <c r="K879" i="12"/>
  <c r="K598" i="12"/>
  <c r="K784" i="12"/>
  <c r="K833" i="12"/>
  <c r="K993" i="12"/>
  <c r="K969" i="12"/>
  <c r="K1112" i="12"/>
  <c r="K178" i="12"/>
  <c r="K428" i="12"/>
  <c r="K891" i="12"/>
  <c r="K696" i="12"/>
  <c r="K368" i="12"/>
  <c r="K1096" i="12"/>
  <c r="K391" i="12"/>
  <c r="K353" i="12"/>
  <c r="K126" i="12"/>
  <c r="K927" i="12"/>
  <c r="K366" i="12"/>
  <c r="K1002" i="12"/>
  <c r="K13" i="12"/>
  <c r="K642" i="12"/>
  <c r="K657" i="12"/>
  <c r="K781" i="12"/>
  <c r="K665" i="12"/>
  <c r="K559" i="12"/>
  <c r="K1098" i="12"/>
  <c r="K80" i="12"/>
  <c r="K527" i="12"/>
  <c r="K42" i="12"/>
  <c r="K1083" i="12"/>
  <c r="K663" i="12"/>
  <c r="K765" i="12"/>
  <c r="K194" i="12"/>
  <c r="K1172" i="12"/>
  <c r="K1162" i="12"/>
  <c r="K1052" i="12"/>
  <c r="K407" i="12"/>
  <c r="K652" i="12"/>
  <c r="K70" i="12"/>
  <c r="K671" i="12"/>
  <c r="K958" i="12"/>
  <c r="K245" i="12"/>
  <c r="K866" i="12"/>
  <c r="K1071" i="12"/>
  <c r="K92" i="12"/>
  <c r="K26" i="12"/>
  <c r="K287" i="12"/>
  <c r="K1126" i="12"/>
  <c r="K338" i="12"/>
  <c r="K94" i="12"/>
  <c r="K940" i="12"/>
  <c r="K112" i="12"/>
  <c r="K1001" i="12"/>
  <c r="K288" i="12"/>
  <c r="K325" i="12"/>
  <c r="K281" i="12"/>
  <c r="K136" i="12"/>
  <c r="K369" i="12"/>
  <c r="K447" i="12"/>
  <c r="K1008" i="12"/>
  <c r="K297" i="12"/>
  <c r="K184" i="12"/>
  <c r="K994" i="12"/>
  <c r="K165" i="12"/>
  <c r="K668" i="12"/>
  <c r="K332" i="12"/>
  <c r="K363" i="12"/>
  <c r="K222" i="12"/>
  <c r="K899" i="12"/>
  <c r="K684" i="12"/>
  <c r="K925" i="12"/>
  <c r="K877" i="12"/>
  <c r="K343" i="12"/>
  <c r="K773" i="12"/>
  <c r="K630" i="12"/>
  <c r="K30" i="12"/>
  <c r="K1116" i="12"/>
  <c r="K1056" i="12"/>
  <c r="K1159" i="12"/>
  <c r="K808" i="12"/>
  <c r="K192" i="12"/>
  <c r="K42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Catania</author>
  </authors>
  <commentList>
    <comment ref="B1" authorId="0" shapeId="0" xr:uid="{1B739FF2-9CBC-4FBD-B7D3-C4E7A3205971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=SUM(CHOOSEROWS(Table8[[The Golden Compass]:[end]],ROW()-1))</t>
        </r>
      </text>
    </comment>
    <comment ref="C1" authorId="0" shapeId="0" xr:uid="{C5877E8C-0C91-4565-A763-5E28A40D4169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=[@[Cumulative 2023 Q4]]+[@[Cumulative 2024]]+[@[Cumulative 2025]]+[@[Cumulative 2026]]</t>
        </r>
      </text>
    </comment>
    <comment ref="D1" authorId="0" shapeId="0" xr:uid="{06366243-2763-4379-899F-998C08C2AF8A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=IF(YEAR([@Date])=2023,B307,0)+IF(ROW(D306)=1,0,D306)</t>
        </r>
      </text>
    </comment>
    <comment ref="E1" authorId="0" shapeId="0" xr:uid="{93AC8AFD-39F6-494A-AF03-B2F770F0629A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=MAX([Cumulative 2023 Q4])</t>
        </r>
      </text>
    </comment>
    <comment ref="F1" authorId="0" shapeId="0" xr:uid="{E34EDC6D-99A1-403B-BDFC-31419DCD9840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=IF(YEAR([@Date])=2024,B307,0)+IF(ROW(F306)=1,0,F306)</t>
        </r>
      </text>
    </comment>
    <comment ref="G1" authorId="0" shapeId="0" xr:uid="{DFA3712C-4F6A-498B-80A8-C69614587253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=MAX([Cumulative 2024])</t>
        </r>
      </text>
    </comment>
    <comment ref="H1" authorId="0" shapeId="0" xr:uid="{D4352521-AC1F-41A1-BE9A-F92449F3672C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=IF(YEAR([@Date])=2025,B307,0)+IF(ROW(H306)=1,0,H306)</t>
        </r>
      </text>
    </comment>
    <comment ref="I1" authorId="0" shapeId="0" xr:uid="{A8046E76-0706-4802-AB16-7C919630B760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=MAX([Cumulative 2025])</t>
        </r>
      </text>
    </comment>
    <comment ref="J1" authorId="0" shapeId="0" xr:uid="{C9447D30-8D0B-4558-A4E4-582D5670D1AA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=IF(YEAR([@Date])=2026,B307,0)+IF(ROW(J306)=1,0,J306)</t>
        </r>
      </text>
    </comment>
    <comment ref="K1" authorId="0" shapeId="0" xr:uid="{6025F1EB-837B-4EB1-AE18-BA1E86640B61}">
      <text>
        <r>
          <rPr>
            <b/>
            <sz val="9"/>
            <color indexed="81"/>
            <rFont val="Tahoma"/>
            <family val="2"/>
          </rPr>
          <t>Michael Catania:</t>
        </r>
        <r>
          <rPr>
            <sz val="9"/>
            <color indexed="81"/>
            <rFont val="Tahoma"/>
            <family val="2"/>
          </rPr>
          <t xml:space="preserve">
=MAX([Cumulative 2026])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Catania</author>
  </authors>
  <commentList>
    <comment ref="W1" authorId="0" shapeId="0" xr:uid="{4FD0BBAD-4341-4C34-89E7-B10494683DF4}">
      <text>
        <r>
          <rPr>
            <sz val="9"/>
            <color indexed="81"/>
            <rFont val="Tahoma"/>
            <family val="2"/>
          </rPr>
          <t>=IFNA(XMATCH([@Book],Table8[[#Headers],[The Golden Compass]:[end]]),-1)</t>
        </r>
      </text>
    </comment>
    <comment ref="AA1" authorId="0" shapeId="0" xr:uid="{74C8DDB0-2E92-4D10-A1AA-AE1868F32FFF}">
      <text>
        <r>
          <rPr>
            <sz val="9"/>
            <color indexed="81"/>
            <rFont val="Tahoma"/>
            <family val="2"/>
          </rPr>
          <t>=IFNA(SUM(INDEX(Table8,,XMATCH([@Book],Table8[#Headers]))),0)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<sst xmlns="http://schemas.openxmlformats.org/spreadsheetml/2006/main" count="279" uniqueCount="169">
  <si>
    <t>M</t>
  </si>
  <si>
    <t>F</t>
  </si>
  <si>
    <t>May</t>
  </si>
  <si>
    <t>June</t>
  </si>
  <si>
    <t>July</t>
  </si>
  <si>
    <t>Date</t>
  </si>
  <si>
    <t>Day Total</t>
  </si>
  <si>
    <t>Cumulative 2023 Q4</t>
  </si>
  <si>
    <t>Cumulative 2024</t>
  </si>
  <si>
    <t>Cumulative 2025</t>
  </si>
  <si>
    <t>Cumulative 2026</t>
  </si>
  <si>
    <t>The Golden Compass</t>
  </si>
  <si>
    <t>The Ballad of Songbirds and Snakes</t>
  </si>
  <si>
    <t>The Faceless Old Woman Who Secretly Lives in Your Home</t>
  </si>
  <si>
    <t>The Castle of Llyr</t>
  </si>
  <si>
    <t>Taran Wanderer</t>
  </si>
  <si>
    <t>The High King</t>
  </si>
  <si>
    <t>Inkspell</t>
  </si>
  <si>
    <t>The Magician's Nephew</t>
  </si>
  <si>
    <t>The Lion, the Witch and the Wardrobe</t>
  </si>
  <si>
    <t>The Horse and His Boy</t>
  </si>
  <si>
    <t>Prince Caspian</t>
  </si>
  <si>
    <t>The Voyage of the Dawn Treader</t>
  </si>
  <si>
    <t>The Silver Chair</t>
  </si>
  <si>
    <t>The Last Battle</t>
  </si>
  <si>
    <t>A Court of Thorns and Roses</t>
  </si>
  <si>
    <t>Norse Mythology</t>
  </si>
  <si>
    <t>The Subtle Knife</t>
  </si>
  <si>
    <t>The Amber Spyglass</t>
  </si>
  <si>
    <t>The Magicians</t>
  </si>
  <si>
    <t>The Hitchhiker's Guide to the Galaxy</t>
  </si>
  <si>
    <t>The Restaurant at the End of the Universe</t>
  </si>
  <si>
    <t>Life, the Universe and Everything</t>
  </si>
  <si>
    <t>A Court of Mist and Fury</t>
  </si>
  <si>
    <t>The Old Man and the Sea</t>
  </si>
  <si>
    <t>A Month in the Country</t>
  </si>
  <si>
    <t>Out of the Silent Planet</t>
  </si>
  <si>
    <t>The Westing Game</t>
  </si>
  <si>
    <t>Every Heart a Doorway</t>
  </si>
  <si>
    <t>Before the Coffee Gets Cold</t>
  </si>
  <si>
    <t>Stardust</t>
  </si>
  <si>
    <t>The Mysterious Affar at Styles</t>
  </si>
  <si>
    <t>Meddling Kids</t>
  </si>
  <si>
    <t>This Is How You Lose the Time War</t>
  </si>
  <si>
    <t>The Final Girl Suppport Group</t>
  </si>
  <si>
    <t>A House with Good Bones</t>
  </si>
  <si>
    <t>Small Things Like These</t>
  </si>
  <si>
    <t>Doors of Darkness</t>
  </si>
  <si>
    <t>So Long, and Thanks for All the Fish</t>
  </si>
  <si>
    <t>A Court of Wings and Ruin</t>
  </si>
  <si>
    <t>The Troop</t>
  </si>
  <si>
    <t>A Court of Frost and Starlight</t>
  </si>
  <si>
    <t>Wuthering Heights</t>
  </si>
  <si>
    <t>The Saturday Night Ghost Club</t>
  </si>
  <si>
    <t>The Maltese Falcon</t>
  </si>
  <si>
    <t>The Sympathizer</t>
  </si>
  <si>
    <t>Dracula Daily</t>
  </si>
  <si>
    <t>Remarkably Bright Creatures</t>
  </si>
  <si>
    <t>end</t>
  </si>
  <si>
    <t>L</t>
  </si>
  <si>
    <t>Dracula</t>
  </si>
  <si>
    <t>Project Hail Mary</t>
  </si>
  <si>
    <t>Red Rising</t>
  </si>
  <si>
    <t>Sunrise on the Reaping</t>
  </si>
  <si>
    <t>Max 2026</t>
  </si>
  <si>
    <t>Max 2025</t>
  </si>
  <si>
    <t>Max 2024</t>
  </si>
  <si>
    <t>Max 2023 Q4</t>
  </si>
  <si>
    <t>Month</t>
  </si>
  <si>
    <t>Day</t>
  </si>
  <si>
    <t>DoY</t>
  </si>
  <si>
    <t>Book</t>
  </si>
  <si>
    <t>book_id</t>
  </si>
  <si>
    <t>read_run_id</t>
  </si>
  <si>
    <t>edition_id</t>
  </si>
  <si>
    <t>Cumulative</t>
  </si>
  <si>
    <t>Start</t>
  </si>
  <si>
    <t>End</t>
  </si>
  <si>
    <t>Cum</t>
  </si>
  <si>
    <t>D</t>
  </si>
  <si>
    <t>H</t>
  </si>
  <si>
    <t>J</t>
  </si>
  <si>
    <t>Max</t>
  </si>
  <si>
    <t>E</t>
  </si>
  <si>
    <t>G</t>
  </si>
  <si>
    <t>I</t>
  </si>
  <si>
    <t>K</t>
  </si>
  <si>
    <t>in pages</t>
  </si>
  <si>
    <t>A Court of Silver Flames</t>
  </si>
  <si>
    <t>The Murderbot Diaries Vol. 1</t>
  </si>
  <si>
    <t>Network Effect</t>
  </si>
  <si>
    <t>The Murderbot Diaries Vol. 2</t>
  </si>
  <si>
    <t>The Murderbot Diaries Vol. 3</t>
  </si>
  <si>
    <t>Compulsory</t>
  </si>
  <si>
    <t>Rapport: Friendship, Solidarity, Communion, Empathy</t>
  </si>
  <si>
    <t>Home: Habitat, Range, Niche, Territory</t>
  </si>
  <si>
    <t>pages read</t>
  </si>
  <si>
    <t>pages</t>
  </si>
  <si>
    <t>%done</t>
  </si>
  <si>
    <t>read days</t>
  </si>
  <si>
    <t>(AP2)=FILTER(Table8[[Day Total]:[Day Total]],(MONTH(Table8[[Date]:[Date]])=$AM2)*(DAY(Table8[[Date]:[Date]])=$AN2)*(YEAR(Table8[[Date]:[Date]])=AP$1),0)</t>
  </si>
  <si>
    <t>'23-'26</t>
  </si>
  <si>
    <t>Q4'23-'26</t>
  </si>
  <si>
    <t>January</t>
  </si>
  <si>
    <t>February</t>
  </si>
  <si>
    <t>March</t>
  </si>
  <si>
    <t>April</t>
  </si>
  <si>
    <t>August</t>
  </si>
  <si>
    <t>September</t>
  </si>
  <si>
    <t>October</t>
  </si>
  <si>
    <t>November</t>
  </si>
  <si>
    <t>December</t>
  </si>
  <si>
    <t>Q4'23</t>
  </si>
  <si>
    <t>days</t>
  </si>
  <si>
    <t>% days read</t>
  </si>
  <si>
    <t>The Assassin's Blade</t>
  </si>
  <si>
    <t>NULL</t>
  </si>
  <si>
    <t>The Final Empire</t>
  </si>
  <si>
    <t>The Well of Ascension</t>
  </si>
  <si>
    <t>The Hero of Ages</t>
  </si>
  <si>
    <t>The Eleventh Metal</t>
  </si>
  <si>
    <t>Warbreaker</t>
  </si>
  <si>
    <t>Tress of the Emerald Sea</t>
  </si>
  <si>
    <t>The Way of Kings</t>
  </si>
  <si>
    <t>Elantris</t>
  </si>
  <si>
    <t>The Hope of Elantris</t>
  </si>
  <si>
    <t>The Emperor's Soul</t>
  </si>
  <si>
    <t>Words of Radiance</t>
  </si>
  <si>
    <t>Edgedancer</t>
  </si>
  <si>
    <t>The Alloy of Law</t>
  </si>
  <si>
    <t>Allomancer of Jak</t>
  </si>
  <si>
    <t>Shadows of Self</t>
  </si>
  <si>
    <t>The Bands of Mournings</t>
  </si>
  <si>
    <t>Mistborn: Secret History</t>
  </si>
  <si>
    <t>The Lost Metal</t>
  </si>
  <si>
    <t>Arcanum Unbounded Essays</t>
  </si>
  <si>
    <t>Shadows of Silence in the Forests of Hell</t>
  </si>
  <si>
    <t>Oathbringer</t>
  </si>
  <si>
    <t>Dawnshard</t>
  </si>
  <si>
    <t>Yumi and the Nightmare Painter</t>
  </si>
  <si>
    <t>White Sand</t>
  </si>
  <si>
    <t>Rhythm of War</t>
  </si>
  <si>
    <t>Horneater</t>
  </si>
  <si>
    <t>The Sunlit Man</t>
  </si>
  <si>
    <t>Wind and Truth</t>
  </si>
  <si>
    <t>Isles of the Emberdark</t>
  </si>
  <si>
    <t>The Hunger Games</t>
  </si>
  <si>
    <t>Catching Fire</t>
  </si>
  <si>
    <t>Mocking Jay</t>
  </si>
  <si>
    <t>Inkheart</t>
  </si>
  <si>
    <t>Inkdeath</t>
  </si>
  <si>
    <t>The Color of Revenge</t>
  </si>
  <si>
    <t>The Fires of December</t>
  </si>
  <si>
    <t>All Systems Red</t>
  </si>
  <si>
    <t>Artificial Condition</t>
  </si>
  <si>
    <t>Rogue Protocol</t>
  </si>
  <si>
    <t>Exit Strategy</t>
  </si>
  <si>
    <t>Fugitive Telemetry</t>
  </si>
  <si>
    <t>System Collapse</t>
  </si>
  <si>
    <t>The Lightning Thief</t>
  </si>
  <si>
    <t>The Sea of Monsters</t>
  </si>
  <si>
    <t>The Titan's Curse</t>
  </si>
  <si>
    <t>The Battle of the Labyrinth</t>
  </si>
  <si>
    <t>The Last Olympian</t>
  </si>
  <si>
    <t>The Martian</t>
  </si>
  <si>
    <t>Good Omens</t>
  </si>
  <si>
    <t>=TEXTJOIN(CONCAT(",",CHAR(10)),TRUE,IFERROR(BYCOL(CHOOSECOLS(FILTER(DROP(Table8[[#All],[The Golden Compass]:[end]],,-1),VSTACK(TRUE,Table8[Date]&gt;INDEX(Table8[Date],$BV$1-1))),BYROW(FILTER(books[Book],books[in pages]&lt;&gt;-1),LAMBDA(x,MATCH(x,DROP(Table8[[#Headers],[The Golden Compass]:[end]],,-1),0)))),LAMBDA(a,CONCAT("(",TEXTJOIN(CONCAT("),",CHAR(10),"("),TRUE,FILTER(BYROW(HSTACK(TEXT(FILTER(Table8[Date],Table8[Date]&gt;INDEX(Table8[Date],$BV$1-1)),"'yyyy-mm-dd'"),IF(SEQUENCE(COUNT(FILTER(Table8[Date],Table8[Date]&gt;INDEX(Table8[Date],$BV$1-1))),1)&gt;0,XLOOKUP(INDEX(a,1),books[Book],books[read_run_id])),INDEX(a,SEQUENCE(COUNT(FILTER(Table8[Date],Table8[Date]&gt;INDEX(Table8[Date],$BV$1-1))),1,2))),LAMBDA(b,TEXTJOIN(", ",TRUE,b))),INDEX(a,SEQUENCE(COUNT(FILTER(Table8[Date],Table8[Date]&gt;INDEX(Table8[Date],$BV$1-1))),1,2))&lt;&gt;0)),")"))),""))</t>
  </si>
  <si>
    <t>The Haunting of Ashburn House</t>
  </si>
  <si>
    <t>Throne of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</si>
</sst>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quotePrefix="1"/>
    <xf numFmtId="16" fontId="0" fillId="0" borderId="0" xfId="0" applyNumberFormat="1"/>
    <xf numFmtId="16" fontId="0" fillId="2" borderId="0" xfId="0" applyNumberFormat="1" applyFill="1"/>
    <xf numFmtId="164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99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[0]!PagesDayTotalAll</c:f>
              <c:numCache>
                <c:formatCode>General</c:formatCode>
                <c:ptCount val="1114"/>
                <c:pt idx="0">
                  <c:v>129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</c:v>
                </c:pt>
                <c:pt idx="12">
                  <c:v>102</c:v>
                </c:pt>
                <c:pt idx="13">
                  <c:v>95</c:v>
                </c:pt>
                <c:pt idx="14">
                  <c:v>128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76</c:v>
                </c:pt>
                <c:pt idx="20">
                  <c:v>166</c:v>
                </c:pt>
                <c:pt idx="21">
                  <c:v>139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129</c:v>
                </c:pt>
                <c:pt idx="27">
                  <c:v>42</c:v>
                </c:pt>
                <c:pt idx="28">
                  <c:v>88</c:v>
                </c:pt>
                <c:pt idx="29">
                  <c:v>63</c:v>
                </c:pt>
                <c:pt idx="30">
                  <c:v>0</c:v>
                </c:pt>
                <c:pt idx="31">
                  <c:v>54</c:v>
                </c:pt>
                <c:pt idx="32">
                  <c:v>121</c:v>
                </c:pt>
                <c:pt idx="33">
                  <c:v>62</c:v>
                </c:pt>
                <c:pt idx="34">
                  <c:v>47</c:v>
                </c:pt>
                <c:pt idx="35">
                  <c:v>101</c:v>
                </c:pt>
                <c:pt idx="36">
                  <c:v>200</c:v>
                </c:pt>
                <c:pt idx="37">
                  <c:v>144</c:v>
                </c:pt>
                <c:pt idx="38">
                  <c:v>71</c:v>
                </c:pt>
                <c:pt idx="39">
                  <c:v>100</c:v>
                </c:pt>
                <c:pt idx="40">
                  <c:v>15</c:v>
                </c:pt>
                <c:pt idx="41">
                  <c:v>72</c:v>
                </c:pt>
                <c:pt idx="42">
                  <c:v>0</c:v>
                </c:pt>
                <c:pt idx="43">
                  <c:v>44</c:v>
                </c:pt>
                <c:pt idx="44">
                  <c:v>22</c:v>
                </c:pt>
                <c:pt idx="45">
                  <c:v>76</c:v>
                </c:pt>
                <c:pt idx="46">
                  <c:v>89</c:v>
                </c:pt>
                <c:pt idx="47">
                  <c:v>0</c:v>
                </c:pt>
                <c:pt idx="48">
                  <c:v>63</c:v>
                </c:pt>
                <c:pt idx="49">
                  <c:v>179</c:v>
                </c:pt>
                <c:pt idx="50">
                  <c:v>44</c:v>
                </c:pt>
                <c:pt idx="51">
                  <c:v>0</c:v>
                </c:pt>
                <c:pt idx="52">
                  <c:v>114</c:v>
                </c:pt>
                <c:pt idx="53">
                  <c:v>0</c:v>
                </c:pt>
                <c:pt idx="54">
                  <c:v>263</c:v>
                </c:pt>
                <c:pt idx="55">
                  <c:v>42</c:v>
                </c:pt>
                <c:pt idx="56">
                  <c:v>103</c:v>
                </c:pt>
                <c:pt idx="57">
                  <c:v>62</c:v>
                </c:pt>
                <c:pt idx="58">
                  <c:v>0</c:v>
                </c:pt>
                <c:pt idx="59">
                  <c:v>0</c:v>
                </c:pt>
                <c:pt idx="60">
                  <c:v>127</c:v>
                </c:pt>
                <c:pt idx="61">
                  <c:v>34</c:v>
                </c:pt>
                <c:pt idx="62">
                  <c:v>0</c:v>
                </c:pt>
                <c:pt idx="63">
                  <c:v>26</c:v>
                </c:pt>
                <c:pt idx="64">
                  <c:v>48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21</c:v>
                </c:pt>
                <c:pt idx="73">
                  <c:v>39</c:v>
                </c:pt>
                <c:pt idx="74">
                  <c:v>89</c:v>
                </c:pt>
                <c:pt idx="75">
                  <c:v>30</c:v>
                </c:pt>
                <c:pt idx="76">
                  <c:v>20</c:v>
                </c:pt>
                <c:pt idx="77">
                  <c:v>50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153</c:v>
                </c:pt>
                <c:pt idx="83">
                  <c:v>139</c:v>
                </c:pt>
                <c:pt idx="84">
                  <c:v>36</c:v>
                </c:pt>
                <c:pt idx="85">
                  <c:v>20</c:v>
                </c:pt>
                <c:pt idx="86">
                  <c:v>0</c:v>
                </c:pt>
                <c:pt idx="87">
                  <c:v>0</c:v>
                </c:pt>
                <c:pt idx="88">
                  <c:v>27</c:v>
                </c:pt>
                <c:pt idx="89">
                  <c:v>19</c:v>
                </c:pt>
                <c:pt idx="90">
                  <c:v>0</c:v>
                </c:pt>
                <c:pt idx="91">
                  <c:v>0</c:v>
                </c:pt>
                <c:pt idx="92">
                  <c:v>36</c:v>
                </c:pt>
                <c:pt idx="93">
                  <c:v>0</c:v>
                </c:pt>
                <c:pt idx="94">
                  <c:v>51</c:v>
                </c:pt>
                <c:pt idx="95">
                  <c:v>37</c:v>
                </c:pt>
                <c:pt idx="96">
                  <c:v>41</c:v>
                </c:pt>
                <c:pt idx="97">
                  <c:v>88</c:v>
                </c:pt>
                <c:pt idx="98">
                  <c:v>54</c:v>
                </c:pt>
                <c:pt idx="99">
                  <c:v>0</c:v>
                </c:pt>
                <c:pt idx="100">
                  <c:v>0</c:v>
                </c:pt>
                <c:pt idx="101">
                  <c:v>114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>
                  <c:v>0</c:v>
                </c:pt>
                <c:pt idx="108">
                  <c:v>16</c:v>
                </c:pt>
                <c:pt idx="109">
                  <c:v>72</c:v>
                </c:pt>
                <c:pt idx="110">
                  <c:v>78</c:v>
                </c:pt>
                <c:pt idx="111">
                  <c:v>218</c:v>
                </c:pt>
                <c:pt idx="112">
                  <c:v>0</c:v>
                </c:pt>
                <c:pt idx="113">
                  <c:v>0</c:v>
                </c:pt>
                <c:pt idx="114">
                  <c:v>37</c:v>
                </c:pt>
                <c:pt idx="115">
                  <c:v>0</c:v>
                </c:pt>
                <c:pt idx="116">
                  <c:v>207</c:v>
                </c:pt>
                <c:pt idx="117">
                  <c:v>0</c:v>
                </c:pt>
                <c:pt idx="118">
                  <c:v>42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33</c:v>
                </c:pt>
                <c:pt idx="124">
                  <c:v>43</c:v>
                </c:pt>
                <c:pt idx="125">
                  <c:v>65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77</c:v>
                </c:pt>
                <c:pt idx="143">
                  <c:v>0</c:v>
                </c:pt>
                <c:pt idx="144">
                  <c:v>21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56</c:v>
                </c:pt>
                <c:pt idx="165">
                  <c:v>0</c:v>
                </c:pt>
                <c:pt idx="166">
                  <c:v>0</c:v>
                </c:pt>
                <c:pt idx="167">
                  <c:v>49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75</c:v>
                </c:pt>
                <c:pt idx="172">
                  <c:v>43</c:v>
                </c:pt>
                <c:pt idx="173">
                  <c:v>0</c:v>
                </c:pt>
                <c:pt idx="174">
                  <c:v>83</c:v>
                </c:pt>
                <c:pt idx="175">
                  <c:v>0</c:v>
                </c:pt>
                <c:pt idx="176">
                  <c:v>31</c:v>
                </c:pt>
                <c:pt idx="177">
                  <c:v>25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112</c:v>
                </c:pt>
                <c:pt idx="194">
                  <c:v>44</c:v>
                </c:pt>
                <c:pt idx="195">
                  <c:v>37</c:v>
                </c:pt>
                <c:pt idx="196">
                  <c:v>104</c:v>
                </c:pt>
                <c:pt idx="197">
                  <c:v>79</c:v>
                </c:pt>
                <c:pt idx="198">
                  <c:v>64</c:v>
                </c:pt>
                <c:pt idx="199">
                  <c:v>64</c:v>
                </c:pt>
                <c:pt idx="200">
                  <c:v>81</c:v>
                </c:pt>
                <c:pt idx="201">
                  <c:v>54</c:v>
                </c:pt>
                <c:pt idx="202">
                  <c:v>39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44</c:v>
                </c:pt>
                <c:pt idx="208">
                  <c:v>24</c:v>
                </c:pt>
                <c:pt idx="209">
                  <c:v>1</c:v>
                </c:pt>
                <c:pt idx="210">
                  <c:v>22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51</c:v>
                </c:pt>
                <c:pt idx="215">
                  <c:v>120</c:v>
                </c:pt>
                <c:pt idx="216">
                  <c:v>85</c:v>
                </c:pt>
                <c:pt idx="217">
                  <c:v>210</c:v>
                </c:pt>
                <c:pt idx="218">
                  <c:v>46</c:v>
                </c:pt>
                <c:pt idx="219">
                  <c:v>83</c:v>
                </c:pt>
                <c:pt idx="220">
                  <c:v>84</c:v>
                </c:pt>
                <c:pt idx="221">
                  <c:v>140</c:v>
                </c:pt>
                <c:pt idx="222">
                  <c:v>98</c:v>
                </c:pt>
                <c:pt idx="223">
                  <c:v>27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3</c:v>
                </c:pt>
                <c:pt idx="230">
                  <c:v>75</c:v>
                </c:pt>
                <c:pt idx="231">
                  <c:v>0</c:v>
                </c:pt>
                <c:pt idx="232">
                  <c:v>111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5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37</c:v>
                </c:pt>
                <c:pt idx="299">
                  <c:v>0</c:v>
                </c:pt>
                <c:pt idx="300">
                  <c:v>32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46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35</c:v>
                </c:pt>
                <c:pt idx="320">
                  <c:v>20</c:v>
                </c:pt>
                <c:pt idx="321">
                  <c:v>59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127</c:v>
                </c:pt>
                <c:pt idx="326">
                  <c:v>22</c:v>
                </c:pt>
                <c:pt idx="327">
                  <c:v>70</c:v>
                </c:pt>
                <c:pt idx="328">
                  <c:v>62</c:v>
                </c:pt>
                <c:pt idx="329">
                  <c:v>7</c:v>
                </c:pt>
                <c:pt idx="330">
                  <c:v>7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61</c:v>
                </c:pt>
                <c:pt idx="339">
                  <c:v>8</c:v>
                </c:pt>
                <c:pt idx="340">
                  <c:v>19</c:v>
                </c:pt>
                <c:pt idx="341">
                  <c:v>52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60</c:v>
                </c:pt>
                <c:pt idx="348">
                  <c:v>10</c:v>
                </c:pt>
                <c:pt idx="349">
                  <c:v>48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74</c:v>
                </c:pt>
                <c:pt idx="357">
                  <c:v>148</c:v>
                </c:pt>
                <c:pt idx="358">
                  <c:v>4</c:v>
                </c:pt>
                <c:pt idx="359">
                  <c:v>24</c:v>
                </c:pt>
                <c:pt idx="360">
                  <c:v>69</c:v>
                </c:pt>
                <c:pt idx="361">
                  <c:v>17</c:v>
                </c:pt>
                <c:pt idx="362">
                  <c:v>27</c:v>
                </c:pt>
                <c:pt idx="363">
                  <c:v>51</c:v>
                </c:pt>
                <c:pt idx="364">
                  <c:v>0</c:v>
                </c:pt>
                <c:pt idx="365">
                  <c:v>37</c:v>
                </c:pt>
                <c:pt idx="366">
                  <c:v>0</c:v>
                </c:pt>
                <c:pt idx="367">
                  <c:v>78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21</c:v>
                </c:pt>
                <c:pt idx="390">
                  <c:v>10</c:v>
                </c:pt>
                <c:pt idx="391">
                  <c:v>42</c:v>
                </c:pt>
                <c:pt idx="392">
                  <c:v>0</c:v>
                </c:pt>
                <c:pt idx="393">
                  <c:v>96</c:v>
                </c:pt>
                <c:pt idx="394">
                  <c:v>93</c:v>
                </c:pt>
                <c:pt idx="395">
                  <c:v>12</c:v>
                </c:pt>
                <c:pt idx="396">
                  <c:v>0</c:v>
                </c:pt>
                <c:pt idx="397">
                  <c:v>0</c:v>
                </c:pt>
                <c:pt idx="398">
                  <c:v>7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23</c:v>
                </c:pt>
                <c:pt idx="458">
                  <c:v>32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22</c:v>
                </c:pt>
                <c:pt idx="470">
                  <c:v>15</c:v>
                </c:pt>
                <c:pt idx="471">
                  <c:v>0</c:v>
                </c:pt>
                <c:pt idx="472">
                  <c:v>34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33</c:v>
                </c:pt>
                <c:pt idx="485">
                  <c:v>88</c:v>
                </c:pt>
                <c:pt idx="486">
                  <c:v>0</c:v>
                </c:pt>
                <c:pt idx="487">
                  <c:v>38</c:v>
                </c:pt>
                <c:pt idx="488">
                  <c:v>0</c:v>
                </c:pt>
                <c:pt idx="489">
                  <c:v>34</c:v>
                </c:pt>
                <c:pt idx="490">
                  <c:v>0</c:v>
                </c:pt>
                <c:pt idx="491">
                  <c:v>0</c:v>
                </c:pt>
                <c:pt idx="492">
                  <c:v>129</c:v>
                </c:pt>
                <c:pt idx="493">
                  <c:v>0</c:v>
                </c:pt>
                <c:pt idx="494">
                  <c:v>0</c:v>
                </c:pt>
                <c:pt idx="495">
                  <c:v>19</c:v>
                </c:pt>
                <c:pt idx="496">
                  <c:v>25</c:v>
                </c:pt>
                <c:pt idx="497">
                  <c:v>23</c:v>
                </c:pt>
                <c:pt idx="498">
                  <c:v>0</c:v>
                </c:pt>
                <c:pt idx="499">
                  <c:v>72</c:v>
                </c:pt>
                <c:pt idx="500">
                  <c:v>46</c:v>
                </c:pt>
                <c:pt idx="501">
                  <c:v>12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45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37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43</c:v>
                </c:pt>
                <c:pt idx="680">
                  <c:v>0</c:v>
                </c:pt>
                <c:pt idx="681">
                  <c:v>25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43</c:v>
                </c:pt>
                <c:pt idx="687">
                  <c:v>0</c:v>
                </c:pt>
                <c:pt idx="688">
                  <c:v>30</c:v>
                </c:pt>
                <c:pt idx="689">
                  <c:v>125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65</c:v>
                </c:pt>
                <c:pt idx="713">
                  <c:v>86</c:v>
                </c:pt>
                <c:pt idx="714">
                  <c:v>37</c:v>
                </c:pt>
                <c:pt idx="715">
                  <c:v>21</c:v>
                </c:pt>
                <c:pt idx="716">
                  <c:v>0</c:v>
                </c:pt>
                <c:pt idx="717">
                  <c:v>0</c:v>
                </c:pt>
                <c:pt idx="718">
                  <c:v>34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94</c:v>
                </c:pt>
                <c:pt idx="818">
                  <c:v>15</c:v>
                </c:pt>
                <c:pt idx="819">
                  <c:v>14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4</c:v>
                </c:pt>
                <c:pt idx="824">
                  <c:v>12</c:v>
                </c:pt>
                <c:pt idx="825">
                  <c:v>155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154.5</c:v>
                </c:pt>
                <c:pt idx="893">
                  <c:v>104.5</c:v>
                </c:pt>
                <c:pt idx="894">
                  <c:v>120</c:v>
                </c:pt>
                <c:pt idx="895">
                  <c:v>95</c:v>
                </c:pt>
                <c:pt idx="896">
                  <c:v>9</c:v>
                </c:pt>
                <c:pt idx="897">
                  <c:v>0</c:v>
                </c:pt>
                <c:pt idx="898">
                  <c:v>25</c:v>
                </c:pt>
                <c:pt idx="899">
                  <c:v>89</c:v>
                </c:pt>
                <c:pt idx="900">
                  <c:v>39</c:v>
                </c:pt>
                <c:pt idx="901">
                  <c:v>27</c:v>
                </c:pt>
                <c:pt idx="902">
                  <c:v>92</c:v>
                </c:pt>
                <c:pt idx="903">
                  <c:v>48</c:v>
                </c:pt>
                <c:pt idx="904">
                  <c:v>111</c:v>
                </c:pt>
                <c:pt idx="905">
                  <c:v>10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76</c:v>
                </c:pt>
                <c:pt idx="916">
                  <c:v>47</c:v>
                </c:pt>
                <c:pt idx="917">
                  <c:v>23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113</c:v>
                </c:pt>
                <c:pt idx="922">
                  <c:v>55</c:v>
                </c:pt>
                <c:pt idx="923">
                  <c:v>0</c:v>
                </c:pt>
                <c:pt idx="924">
                  <c:v>10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32</c:v>
                </c:pt>
                <c:pt idx="1053">
                  <c:v>0</c:v>
                </c:pt>
                <c:pt idx="1054">
                  <c:v>12.5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49.5</c:v>
                </c:pt>
                <c:pt idx="1063">
                  <c:v>53</c:v>
                </c:pt>
                <c:pt idx="1064">
                  <c:v>48</c:v>
                </c:pt>
                <c:pt idx="1065">
                  <c:v>43</c:v>
                </c:pt>
                <c:pt idx="1066">
                  <c:v>0</c:v>
                </c:pt>
                <c:pt idx="1067">
                  <c:v>86</c:v>
                </c:pt>
                <c:pt idx="1068">
                  <c:v>129</c:v>
                </c:pt>
                <c:pt idx="1069">
                  <c:v>124</c:v>
                </c:pt>
                <c:pt idx="1070">
                  <c:v>174</c:v>
                </c:pt>
                <c:pt idx="1071">
                  <c:v>23</c:v>
                </c:pt>
                <c:pt idx="1072">
                  <c:v>0</c:v>
                </c:pt>
                <c:pt idx="1073">
                  <c:v>0</c:v>
                </c:pt>
                <c:pt idx="1074">
                  <c:v>31</c:v>
                </c:pt>
                <c:pt idx="1075">
                  <c:v>0</c:v>
                </c:pt>
                <c:pt idx="1076">
                  <c:v>103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66</c:v>
                </c:pt>
                <c:pt idx="1084">
                  <c:v>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107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185</c:v>
                </c:pt>
                <c:pt idx="1112">
                  <c:v>103</c:v>
                </c:pt>
                <c:pt idx="111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5-4018-88DA-878B98C3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0"/>
          <c:order val="1"/>
          <c:tx>
            <c:strRef>
              <c:f>Pages!$D$1</c:f>
              <c:strCache>
                <c:ptCount val="1"/>
                <c:pt idx="0">
                  <c:v>Cumulative 2023 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[0]!PagesCum2023</c:f>
              <c:numCache>
                <c:formatCode>General</c:formatCode>
                <c:ptCount val="81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163</c:v>
                </c:pt>
                <c:pt idx="6">
                  <c:v>204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436</c:v>
                </c:pt>
                <c:pt idx="12">
                  <c:v>538</c:v>
                </c:pt>
                <c:pt idx="13">
                  <c:v>633</c:v>
                </c:pt>
                <c:pt idx="14">
                  <c:v>761</c:v>
                </c:pt>
                <c:pt idx="15">
                  <c:v>843</c:v>
                </c:pt>
                <c:pt idx="16">
                  <c:v>843</c:v>
                </c:pt>
                <c:pt idx="17">
                  <c:v>843</c:v>
                </c:pt>
                <c:pt idx="18">
                  <c:v>843</c:v>
                </c:pt>
                <c:pt idx="19">
                  <c:v>919</c:v>
                </c:pt>
                <c:pt idx="20">
                  <c:v>1085</c:v>
                </c:pt>
                <c:pt idx="21">
                  <c:v>1224</c:v>
                </c:pt>
                <c:pt idx="22">
                  <c:v>1224</c:v>
                </c:pt>
                <c:pt idx="23">
                  <c:v>1224</c:v>
                </c:pt>
                <c:pt idx="24">
                  <c:v>1224</c:v>
                </c:pt>
                <c:pt idx="25">
                  <c:v>1301</c:v>
                </c:pt>
                <c:pt idx="26">
                  <c:v>1430</c:v>
                </c:pt>
                <c:pt idx="27">
                  <c:v>1472</c:v>
                </c:pt>
                <c:pt idx="28">
                  <c:v>1560</c:v>
                </c:pt>
                <c:pt idx="29">
                  <c:v>1623</c:v>
                </c:pt>
                <c:pt idx="30">
                  <c:v>1623</c:v>
                </c:pt>
                <c:pt idx="31">
                  <c:v>1677</c:v>
                </c:pt>
                <c:pt idx="32">
                  <c:v>1798</c:v>
                </c:pt>
                <c:pt idx="33">
                  <c:v>1860</c:v>
                </c:pt>
                <c:pt idx="34">
                  <c:v>1907</c:v>
                </c:pt>
                <c:pt idx="35">
                  <c:v>2008</c:v>
                </c:pt>
                <c:pt idx="36">
                  <c:v>2208</c:v>
                </c:pt>
                <c:pt idx="37">
                  <c:v>2352</c:v>
                </c:pt>
                <c:pt idx="38">
                  <c:v>2423</c:v>
                </c:pt>
                <c:pt idx="39">
                  <c:v>2523</c:v>
                </c:pt>
                <c:pt idx="40">
                  <c:v>2538</c:v>
                </c:pt>
                <c:pt idx="41">
                  <c:v>2610</c:v>
                </c:pt>
                <c:pt idx="42">
                  <c:v>2610</c:v>
                </c:pt>
                <c:pt idx="43">
                  <c:v>2654</c:v>
                </c:pt>
                <c:pt idx="44">
                  <c:v>2676</c:v>
                </c:pt>
                <c:pt idx="45">
                  <c:v>2752</c:v>
                </c:pt>
                <c:pt idx="46">
                  <c:v>2841</c:v>
                </c:pt>
                <c:pt idx="47">
                  <c:v>2841</c:v>
                </c:pt>
                <c:pt idx="48">
                  <c:v>2904</c:v>
                </c:pt>
                <c:pt idx="49">
                  <c:v>3083</c:v>
                </c:pt>
                <c:pt idx="50">
                  <c:v>3127</c:v>
                </c:pt>
                <c:pt idx="51">
                  <c:v>3127</c:v>
                </c:pt>
                <c:pt idx="52">
                  <c:v>3241</c:v>
                </c:pt>
                <c:pt idx="53">
                  <c:v>3241</c:v>
                </c:pt>
                <c:pt idx="54">
                  <c:v>3504</c:v>
                </c:pt>
                <c:pt idx="55">
                  <c:v>3546</c:v>
                </c:pt>
                <c:pt idx="56">
                  <c:v>3649</c:v>
                </c:pt>
                <c:pt idx="57">
                  <c:v>3711</c:v>
                </c:pt>
                <c:pt idx="58">
                  <c:v>3711</c:v>
                </c:pt>
                <c:pt idx="59">
                  <c:v>3711</c:v>
                </c:pt>
                <c:pt idx="60">
                  <c:v>3838</c:v>
                </c:pt>
                <c:pt idx="61">
                  <c:v>3872</c:v>
                </c:pt>
                <c:pt idx="62">
                  <c:v>3872</c:v>
                </c:pt>
                <c:pt idx="63">
                  <c:v>3898</c:v>
                </c:pt>
                <c:pt idx="64">
                  <c:v>3946</c:v>
                </c:pt>
                <c:pt idx="65">
                  <c:v>3946</c:v>
                </c:pt>
                <c:pt idx="66">
                  <c:v>3946</c:v>
                </c:pt>
                <c:pt idx="67">
                  <c:v>3946</c:v>
                </c:pt>
                <c:pt idx="68">
                  <c:v>3946</c:v>
                </c:pt>
                <c:pt idx="69">
                  <c:v>3946</c:v>
                </c:pt>
                <c:pt idx="70">
                  <c:v>3946</c:v>
                </c:pt>
                <c:pt idx="71">
                  <c:v>3946</c:v>
                </c:pt>
                <c:pt idx="72">
                  <c:v>3967</c:v>
                </c:pt>
                <c:pt idx="73">
                  <c:v>4006</c:v>
                </c:pt>
                <c:pt idx="74">
                  <c:v>4095</c:v>
                </c:pt>
                <c:pt idx="75">
                  <c:v>4125</c:v>
                </c:pt>
                <c:pt idx="76">
                  <c:v>4145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5-46F0-982C-9458C3A58700}"/>
            </c:ext>
          </c:extLst>
        </c:ser>
        <c:ser>
          <c:idx val="5"/>
          <c:order val="2"/>
          <c:tx>
            <c:strRef>
              <c:f>Pages!$E$1</c:f>
              <c:strCache>
                <c:ptCount val="1"/>
                <c:pt idx="0">
                  <c:v>Max 2023 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[0]!PagesMax2023</c:f>
              <c:numCache>
                <c:formatCode>General</c:formatCode>
                <c:ptCount val="1114"/>
                <c:pt idx="0">
                  <c:v>4195</c:v>
                </c:pt>
                <c:pt idx="1">
                  <c:v>4195</c:v>
                </c:pt>
                <c:pt idx="2">
                  <c:v>4195</c:v>
                </c:pt>
                <c:pt idx="3">
                  <c:v>4195</c:v>
                </c:pt>
                <c:pt idx="4">
                  <c:v>4195</c:v>
                </c:pt>
                <c:pt idx="5">
                  <c:v>4195</c:v>
                </c:pt>
                <c:pt idx="6">
                  <c:v>4195</c:v>
                </c:pt>
                <c:pt idx="7">
                  <c:v>4195</c:v>
                </c:pt>
                <c:pt idx="8">
                  <c:v>4195</c:v>
                </c:pt>
                <c:pt idx="9">
                  <c:v>4195</c:v>
                </c:pt>
                <c:pt idx="10">
                  <c:v>4195</c:v>
                </c:pt>
                <c:pt idx="11">
                  <c:v>4195</c:v>
                </c:pt>
                <c:pt idx="12">
                  <c:v>4195</c:v>
                </c:pt>
                <c:pt idx="13">
                  <c:v>4195</c:v>
                </c:pt>
                <c:pt idx="14">
                  <c:v>4195</c:v>
                </c:pt>
                <c:pt idx="15">
                  <c:v>4195</c:v>
                </c:pt>
                <c:pt idx="16">
                  <c:v>4195</c:v>
                </c:pt>
                <c:pt idx="17">
                  <c:v>4195</c:v>
                </c:pt>
                <c:pt idx="18">
                  <c:v>4195</c:v>
                </c:pt>
                <c:pt idx="19">
                  <c:v>4195</c:v>
                </c:pt>
                <c:pt idx="20">
                  <c:v>4195</c:v>
                </c:pt>
                <c:pt idx="21">
                  <c:v>4195</c:v>
                </c:pt>
                <c:pt idx="22">
                  <c:v>4195</c:v>
                </c:pt>
                <c:pt idx="23">
                  <c:v>4195</c:v>
                </c:pt>
                <c:pt idx="24">
                  <c:v>4195</c:v>
                </c:pt>
                <c:pt idx="25">
                  <c:v>4195</c:v>
                </c:pt>
                <c:pt idx="26">
                  <c:v>4195</c:v>
                </c:pt>
                <c:pt idx="27">
                  <c:v>4195</c:v>
                </c:pt>
                <c:pt idx="28">
                  <c:v>4195</c:v>
                </c:pt>
                <c:pt idx="29">
                  <c:v>4195</c:v>
                </c:pt>
                <c:pt idx="30">
                  <c:v>4195</c:v>
                </c:pt>
                <c:pt idx="31">
                  <c:v>4195</c:v>
                </c:pt>
                <c:pt idx="32">
                  <c:v>4195</c:v>
                </c:pt>
                <c:pt idx="33">
                  <c:v>4195</c:v>
                </c:pt>
                <c:pt idx="34">
                  <c:v>4195</c:v>
                </c:pt>
                <c:pt idx="35">
                  <c:v>4195</c:v>
                </c:pt>
                <c:pt idx="36">
                  <c:v>4195</c:v>
                </c:pt>
                <c:pt idx="37">
                  <c:v>4195</c:v>
                </c:pt>
                <c:pt idx="38">
                  <c:v>4195</c:v>
                </c:pt>
                <c:pt idx="39">
                  <c:v>4195</c:v>
                </c:pt>
                <c:pt idx="40">
                  <c:v>4195</c:v>
                </c:pt>
                <c:pt idx="41">
                  <c:v>4195</c:v>
                </c:pt>
                <c:pt idx="42">
                  <c:v>4195</c:v>
                </c:pt>
                <c:pt idx="43">
                  <c:v>4195</c:v>
                </c:pt>
                <c:pt idx="44">
                  <c:v>4195</c:v>
                </c:pt>
                <c:pt idx="45">
                  <c:v>4195</c:v>
                </c:pt>
                <c:pt idx="46">
                  <c:v>4195</c:v>
                </c:pt>
                <c:pt idx="47">
                  <c:v>4195</c:v>
                </c:pt>
                <c:pt idx="48">
                  <c:v>4195</c:v>
                </c:pt>
                <c:pt idx="49">
                  <c:v>4195</c:v>
                </c:pt>
                <c:pt idx="50">
                  <c:v>4195</c:v>
                </c:pt>
                <c:pt idx="51">
                  <c:v>4195</c:v>
                </c:pt>
                <c:pt idx="52">
                  <c:v>4195</c:v>
                </c:pt>
                <c:pt idx="53">
                  <c:v>4195</c:v>
                </c:pt>
                <c:pt idx="54">
                  <c:v>4195</c:v>
                </c:pt>
                <c:pt idx="55">
                  <c:v>4195</c:v>
                </c:pt>
                <c:pt idx="56">
                  <c:v>4195</c:v>
                </c:pt>
                <c:pt idx="57">
                  <c:v>4195</c:v>
                </c:pt>
                <c:pt idx="58">
                  <c:v>4195</c:v>
                </c:pt>
                <c:pt idx="59">
                  <c:v>4195</c:v>
                </c:pt>
                <c:pt idx="60">
                  <c:v>4195</c:v>
                </c:pt>
                <c:pt idx="61">
                  <c:v>4195</c:v>
                </c:pt>
                <c:pt idx="62">
                  <c:v>4195</c:v>
                </c:pt>
                <c:pt idx="63">
                  <c:v>4195</c:v>
                </c:pt>
                <c:pt idx="64">
                  <c:v>4195</c:v>
                </c:pt>
                <c:pt idx="65">
                  <c:v>4195</c:v>
                </c:pt>
                <c:pt idx="66">
                  <c:v>4195</c:v>
                </c:pt>
                <c:pt idx="67">
                  <c:v>4195</c:v>
                </c:pt>
                <c:pt idx="68">
                  <c:v>4195</c:v>
                </c:pt>
                <c:pt idx="69">
                  <c:v>4195</c:v>
                </c:pt>
                <c:pt idx="70">
                  <c:v>4195</c:v>
                </c:pt>
                <c:pt idx="71">
                  <c:v>4195</c:v>
                </c:pt>
                <c:pt idx="72">
                  <c:v>4195</c:v>
                </c:pt>
                <c:pt idx="73">
                  <c:v>4195</c:v>
                </c:pt>
                <c:pt idx="74">
                  <c:v>4195</c:v>
                </c:pt>
                <c:pt idx="75">
                  <c:v>4195</c:v>
                </c:pt>
                <c:pt idx="76">
                  <c:v>4195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  <c:pt idx="81">
                  <c:v>4195</c:v>
                </c:pt>
                <c:pt idx="82">
                  <c:v>4195</c:v>
                </c:pt>
                <c:pt idx="83">
                  <c:v>4195</c:v>
                </c:pt>
                <c:pt idx="84">
                  <c:v>4195</c:v>
                </c:pt>
                <c:pt idx="85">
                  <c:v>4195</c:v>
                </c:pt>
                <c:pt idx="86">
                  <c:v>4195</c:v>
                </c:pt>
                <c:pt idx="87">
                  <c:v>4195</c:v>
                </c:pt>
                <c:pt idx="88">
                  <c:v>4195</c:v>
                </c:pt>
                <c:pt idx="89">
                  <c:v>4195</c:v>
                </c:pt>
                <c:pt idx="90">
                  <c:v>4195</c:v>
                </c:pt>
                <c:pt idx="91">
                  <c:v>4195</c:v>
                </c:pt>
                <c:pt idx="92">
                  <c:v>4195</c:v>
                </c:pt>
                <c:pt idx="93">
                  <c:v>4195</c:v>
                </c:pt>
                <c:pt idx="94">
                  <c:v>4195</c:v>
                </c:pt>
                <c:pt idx="95">
                  <c:v>4195</c:v>
                </c:pt>
                <c:pt idx="96">
                  <c:v>4195</c:v>
                </c:pt>
                <c:pt idx="97">
                  <c:v>4195</c:v>
                </c:pt>
                <c:pt idx="98">
                  <c:v>4195</c:v>
                </c:pt>
                <c:pt idx="99">
                  <c:v>4195</c:v>
                </c:pt>
                <c:pt idx="100">
                  <c:v>4195</c:v>
                </c:pt>
                <c:pt idx="101">
                  <c:v>4195</c:v>
                </c:pt>
                <c:pt idx="102">
                  <c:v>4195</c:v>
                </c:pt>
                <c:pt idx="103">
                  <c:v>4195</c:v>
                </c:pt>
                <c:pt idx="104">
                  <c:v>4195</c:v>
                </c:pt>
                <c:pt idx="105">
                  <c:v>4195</c:v>
                </c:pt>
                <c:pt idx="106">
                  <c:v>4195</c:v>
                </c:pt>
                <c:pt idx="107">
                  <c:v>4195</c:v>
                </c:pt>
                <c:pt idx="108">
                  <c:v>4195</c:v>
                </c:pt>
                <c:pt idx="109">
                  <c:v>4195</c:v>
                </c:pt>
                <c:pt idx="110">
                  <c:v>4195</c:v>
                </c:pt>
                <c:pt idx="111">
                  <c:v>4195</c:v>
                </c:pt>
                <c:pt idx="112">
                  <c:v>4195</c:v>
                </c:pt>
                <c:pt idx="113">
                  <c:v>4195</c:v>
                </c:pt>
                <c:pt idx="114">
                  <c:v>4195</c:v>
                </c:pt>
                <c:pt idx="115">
                  <c:v>4195</c:v>
                </c:pt>
                <c:pt idx="116">
                  <c:v>4195</c:v>
                </c:pt>
                <c:pt idx="117">
                  <c:v>4195</c:v>
                </c:pt>
                <c:pt idx="118">
                  <c:v>4195</c:v>
                </c:pt>
                <c:pt idx="119">
                  <c:v>4195</c:v>
                </c:pt>
                <c:pt idx="120">
                  <c:v>4195</c:v>
                </c:pt>
                <c:pt idx="121">
                  <c:v>4195</c:v>
                </c:pt>
                <c:pt idx="122">
                  <c:v>4195</c:v>
                </c:pt>
                <c:pt idx="123">
                  <c:v>4195</c:v>
                </c:pt>
                <c:pt idx="124">
                  <c:v>4195</c:v>
                </c:pt>
                <c:pt idx="125">
                  <c:v>4195</c:v>
                </c:pt>
                <c:pt idx="126">
                  <c:v>4195</c:v>
                </c:pt>
                <c:pt idx="127">
                  <c:v>4195</c:v>
                </c:pt>
                <c:pt idx="128">
                  <c:v>4195</c:v>
                </c:pt>
                <c:pt idx="129">
                  <c:v>4195</c:v>
                </c:pt>
                <c:pt idx="130">
                  <c:v>4195</c:v>
                </c:pt>
                <c:pt idx="131">
                  <c:v>4195</c:v>
                </c:pt>
                <c:pt idx="132">
                  <c:v>4195</c:v>
                </c:pt>
                <c:pt idx="133">
                  <c:v>4195</c:v>
                </c:pt>
                <c:pt idx="134">
                  <c:v>4195</c:v>
                </c:pt>
                <c:pt idx="135">
                  <c:v>4195</c:v>
                </c:pt>
                <c:pt idx="136">
                  <c:v>4195</c:v>
                </c:pt>
                <c:pt idx="137">
                  <c:v>4195</c:v>
                </c:pt>
                <c:pt idx="138">
                  <c:v>4195</c:v>
                </c:pt>
                <c:pt idx="139">
                  <c:v>4195</c:v>
                </c:pt>
                <c:pt idx="140">
                  <c:v>4195</c:v>
                </c:pt>
                <c:pt idx="141">
                  <c:v>4195</c:v>
                </c:pt>
                <c:pt idx="142">
                  <c:v>4195</c:v>
                </c:pt>
                <c:pt idx="143">
                  <c:v>4195</c:v>
                </c:pt>
                <c:pt idx="144">
                  <c:v>4195</c:v>
                </c:pt>
                <c:pt idx="145">
                  <c:v>4195</c:v>
                </c:pt>
                <c:pt idx="146">
                  <c:v>4195</c:v>
                </c:pt>
                <c:pt idx="147">
                  <c:v>4195</c:v>
                </c:pt>
                <c:pt idx="148">
                  <c:v>4195</c:v>
                </c:pt>
                <c:pt idx="149">
                  <c:v>4195</c:v>
                </c:pt>
                <c:pt idx="150">
                  <c:v>4195</c:v>
                </c:pt>
                <c:pt idx="151">
                  <c:v>4195</c:v>
                </c:pt>
                <c:pt idx="152">
                  <c:v>4195</c:v>
                </c:pt>
                <c:pt idx="153">
                  <c:v>4195</c:v>
                </c:pt>
                <c:pt idx="154">
                  <c:v>4195</c:v>
                </c:pt>
                <c:pt idx="155">
                  <c:v>4195</c:v>
                </c:pt>
                <c:pt idx="156">
                  <c:v>4195</c:v>
                </c:pt>
                <c:pt idx="157">
                  <c:v>4195</c:v>
                </c:pt>
                <c:pt idx="158">
                  <c:v>4195</c:v>
                </c:pt>
                <c:pt idx="159">
                  <c:v>4195</c:v>
                </c:pt>
                <c:pt idx="160">
                  <c:v>4195</c:v>
                </c:pt>
                <c:pt idx="161">
                  <c:v>4195</c:v>
                </c:pt>
                <c:pt idx="162">
                  <c:v>4195</c:v>
                </c:pt>
                <c:pt idx="163">
                  <c:v>4195</c:v>
                </c:pt>
                <c:pt idx="164">
                  <c:v>4195</c:v>
                </c:pt>
                <c:pt idx="165">
                  <c:v>4195</c:v>
                </c:pt>
                <c:pt idx="166">
                  <c:v>4195</c:v>
                </c:pt>
                <c:pt idx="167">
                  <c:v>4195</c:v>
                </c:pt>
                <c:pt idx="168">
                  <c:v>4195</c:v>
                </c:pt>
                <c:pt idx="169">
                  <c:v>4195</c:v>
                </c:pt>
                <c:pt idx="170">
                  <c:v>4195</c:v>
                </c:pt>
                <c:pt idx="171">
                  <c:v>4195</c:v>
                </c:pt>
                <c:pt idx="172">
                  <c:v>4195</c:v>
                </c:pt>
                <c:pt idx="173">
                  <c:v>4195</c:v>
                </c:pt>
                <c:pt idx="174">
                  <c:v>4195</c:v>
                </c:pt>
                <c:pt idx="175">
                  <c:v>4195</c:v>
                </c:pt>
                <c:pt idx="176">
                  <c:v>4195</c:v>
                </c:pt>
                <c:pt idx="177">
                  <c:v>4195</c:v>
                </c:pt>
                <c:pt idx="178">
                  <c:v>4195</c:v>
                </c:pt>
                <c:pt idx="179">
                  <c:v>4195</c:v>
                </c:pt>
                <c:pt idx="180">
                  <c:v>4195</c:v>
                </c:pt>
                <c:pt idx="181">
                  <c:v>4195</c:v>
                </c:pt>
                <c:pt idx="182">
                  <c:v>4195</c:v>
                </c:pt>
                <c:pt idx="183">
                  <c:v>4195</c:v>
                </c:pt>
                <c:pt idx="184">
                  <c:v>4195</c:v>
                </c:pt>
                <c:pt idx="185">
                  <c:v>4195</c:v>
                </c:pt>
                <c:pt idx="186">
                  <c:v>4195</c:v>
                </c:pt>
                <c:pt idx="187">
                  <c:v>4195</c:v>
                </c:pt>
                <c:pt idx="188">
                  <c:v>4195</c:v>
                </c:pt>
                <c:pt idx="189">
                  <c:v>4195</c:v>
                </c:pt>
                <c:pt idx="190">
                  <c:v>4195</c:v>
                </c:pt>
                <c:pt idx="191">
                  <c:v>4195</c:v>
                </c:pt>
                <c:pt idx="192">
                  <c:v>4195</c:v>
                </c:pt>
                <c:pt idx="193">
                  <c:v>4195</c:v>
                </c:pt>
                <c:pt idx="194">
                  <c:v>4195</c:v>
                </c:pt>
                <c:pt idx="195">
                  <c:v>4195</c:v>
                </c:pt>
                <c:pt idx="196">
                  <c:v>4195</c:v>
                </c:pt>
                <c:pt idx="197">
                  <c:v>4195</c:v>
                </c:pt>
                <c:pt idx="198">
                  <c:v>4195</c:v>
                </c:pt>
                <c:pt idx="199">
                  <c:v>4195</c:v>
                </c:pt>
                <c:pt idx="200">
                  <c:v>4195</c:v>
                </c:pt>
                <c:pt idx="201">
                  <c:v>4195</c:v>
                </c:pt>
                <c:pt idx="202">
                  <c:v>4195</c:v>
                </c:pt>
                <c:pt idx="203">
                  <c:v>4195</c:v>
                </c:pt>
                <c:pt idx="204">
                  <c:v>4195</c:v>
                </c:pt>
                <c:pt idx="205">
                  <c:v>4195</c:v>
                </c:pt>
                <c:pt idx="206">
                  <c:v>4195</c:v>
                </c:pt>
                <c:pt idx="207">
                  <c:v>4195</c:v>
                </c:pt>
                <c:pt idx="208">
                  <c:v>4195</c:v>
                </c:pt>
                <c:pt idx="209">
                  <c:v>4195</c:v>
                </c:pt>
                <c:pt idx="210">
                  <c:v>4195</c:v>
                </c:pt>
                <c:pt idx="211">
                  <c:v>4195</c:v>
                </c:pt>
                <c:pt idx="212">
                  <c:v>4195</c:v>
                </c:pt>
                <c:pt idx="213">
                  <c:v>4195</c:v>
                </c:pt>
                <c:pt idx="214">
                  <c:v>4195</c:v>
                </c:pt>
                <c:pt idx="215">
                  <c:v>4195</c:v>
                </c:pt>
                <c:pt idx="216">
                  <c:v>4195</c:v>
                </c:pt>
                <c:pt idx="217">
                  <c:v>4195</c:v>
                </c:pt>
                <c:pt idx="218">
                  <c:v>4195</c:v>
                </c:pt>
                <c:pt idx="219">
                  <c:v>4195</c:v>
                </c:pt>
                <c:pt idx="220">
                  <c:v>4195</c:v>
                </c:pt>
                <c:pt idx="221">
                  <c:v>4195</c:v>
                </c:pt>
                <c:pt idx="222">
                  <c:v>4195</c:v>
                </c:pt>
                <c:pt idx="223">
                  <c:v>4195</c:v>
                </c:pt>
                <c:pt idx="224">
                  <c:v>4195</c:v>
                </c:pt>
                <c:pt idx="225">
                  <c:v>4195</c:v>
                </c:pt>
                <c:pt idx="226">
                  <c:v>4195</c:v>
                </c:pt>
                <c:pt idx="227">
                  <c:v>4195</c:v>
                </c:pt>
                <c:pt idx="228">
                  <c:v>4195</c:v>
                </c:pt>
                <c:pt idx="229">
                  <c:v>4195</c:v>
                </c:pt>
                <c:pt idx="230">
                  <c:v>4195</c:v>
                </c:pt>
                <c:pt idx="231">
                  <c:v>4195</c:v>
                </c:pt>
                <c:pt idx="232">
                  <c:v>4195</c:v>
                </c:pt>
                <c:pt idx="233">
                  <c:v>4195</c:v>
                </c:pt>
                <c:pt idx="234">
                  <c:v>4195</c:v>
                </c:pt>
                <c:pt idx="235">
                  <c:v>4195</c:v>
                </c:pt>
                <c:pt idx="236">
                  <c:v>4195</c:v>
                </c:pt>
                <c:pt idx="237">
                  <c:v>4195</c:v>
                </c:pt>
                <c:pt idx="238">
                  <c:v>4195</c:v>
                </c:pt>
                <c:pt idx="239">
                  <c:v>4195</c:v>
                </c:pt>
                <c:pt idx="240">
                  <c:v>4195</c:v>
                </c:pt>
                <c:pt idx="241">
                  <c:v>4195</c:v>
                </c:pt>
                <c:pt idx="242">
                  <c:v>4195</c:v>
                </c:pt>
                <c:pt idx="243">
                  <c:v>4195</c:v>
                </c:pt>
                <c:pt idx="244">
                  <c:v>4195</c:v>
                </c:pt>
                <c:pt idx="245">
                  <c:v>4195</c:v>
                </c:pt>
                <c:pt idx="246">
                  <c:v>4195</c:v>
                </c:pt>
                <c:pt idx="247">
                  <c:v>4195</c:v>
                </c:pt>
                <c:pt idx="248">
                  <c:v>4195</c:v>
                </c:pt>
                <c:pt idx="249">
                  <c:v>4195</c:v>
                </c:pt>
                <c:pt idx="250">
                  <c:v>4195</c:v>
                </c:pt>
                <c:pt idx="251">
                  <c:v>4195</c:v>
                </c:pt>
                <c:pt idx="252">
                  <c:v>4195</c:v>
                </c:pt>
                <c:pt idx="253">
                  <c:v>4195</c:v>
                </c:pt>
                <c:pt idx="254">
                  <c:v>4195</c:v>
                </c:pt>
                <c:pt idx="255">
                  <c:v>4195</c:v>
                </c:pt>
                <c:pt idx="256">
                  <c:v>4195</c:v>
                </c:pt>
                <c:pt idx="257">
                  <c:v>4195</c:v>
                </c:pt>
                <c:pt idx="258">
                  <c:v>4195</c:v>
                </c:pt>
                <c:pt idx="259">
                  <c:v>4195</c:v>
                </c:pt>
                <c:pt idx="260">
                  <c:v>4195</c:v>
                </c:pt>
                <c:pt idx="261">
                  <c:v>4195</c:v>
                </c:pt>
                <c:pt idx="262">
                  <c:v>4195</c:v>
                </c:pt>
                <c:pt idx="263">
                  <c:v>4195</c:v>
                </c:pt>
                <c:pt idx="264">
                  <c:v>4195</c:v>
                </c:pt>
                <c:pt idx="265">
                  <c:v>4195</c:v>
                </c:pt>
                <c:pt idx="266">
                  <c:v>4195</c:v>
                </c:pt>
                <c:pt idx="267">
                  <c:v>4195</c:v>
                </c:pt>
                <c:pt idx="268">
                  <c:v>4195</c:v>
                </c:pt>
                <c:pt idx="269">
                  <c:v>4195</c:v>
                </c:pt>
                <c:pt idx="270">
                  <c:v>4195</c:v>
                </c:pt>
                <c:pt idx="271">
                  <c:v>4195</c:v>
                </c:pt>
                <c:pt idx="272">
                  <c:v>4195</c:v>
                </c:pt>
                <c:pt idx="273">
                  <c:v>4195</c:v>
                </c:pt>
                <c:pt idx="274">
                  <c:v>4195</c:v>
                </c:pt>
                <c:pt idx="275">
                  <c:v>4195</c:v>
                </c:pt>
                <c:pt idx="276">
                  <c:v>4195</c:v>
                </c:pt>
                <c:pt idx="277">
                  <c:v>4195</c:v>
                </c:pt>
                <c:pt idx="278">
                  <c:v>4195</c:v>
                </c:pt>
                <c:pt idx="279">
                  <c:v>4195</c:v>
                </c:pt>
                <c:pt idx="280">
                  <c:v>4195</c:v>
                </c:pt>
                <c:pt idx="281">
                  <c:v>4195</c:v>
                </c:pt>
                <c:pt idx="282">
                  <c:v>4195</c:v>
                </c:pt>
                <c:pt idx="283">
                  <c:v>4195</c:v>
                </c:pt>
                <c:pt idx="284">
                  <c:v>4195</c:v>
                </c:pt>
                <c:pt idx="285">
                  <c:v>4195</c:v>
                </c:pt>
                <c:pt idx="286">
                  <c:v>4195</c:v>
                </c:pt>
                <c:pt idx="287">
                  <c:v>4195</c:v>
                </c:pt>
                <c:pt idx="288">
                  <c:v>4195</c:v>
                </c:pt>
                <c:pt idx="289">
                  <c:v>4195</c:v>
                </c:pt>
                <c:pt idx="290">
                  <c:v>4195</c:v>
                </c:pt>
                <c:pt idx="291">
                  <c:v>4195</c:v>
                </c:pt>
                <c:pt idx="292">
                  <c:v>4195</c:v>
                </c:pt>
                <c:pt idx="293">
                  <c:v>4195</c:v>
                </c:pt>
                <c:pt idx="294">
                  <c:v>4195</c:v>
                </c:pt>
                <c:pt idx="295">
                  <c:v>4195</c:v>
                </c:pt>
                <c:pt idx="296">
                  <c:v>4195</c:v>
                </c:pt>
                <c:pt idx="297">
                  <c:v>4195</c:v>
                </c:pt>
                <c:pt idx="298">
                  <c:v>4195</c:v>
                </c:pt>
                <c:pt idx="299">
                  <c:v>4195</c:v>
                </c:pt>
                <c:pt idx="300">
                  <c:v>4195</c:v>
                </c:pt>
                <c:pt idx="301">
                  <c:v>4195</c:v>
                </c:pt>
                <c:pt idx="302">
                  <c:v>4195</c:v>
                </c:pt>
                <c:pt idx="303">
                  <c:v>4195</c:v>
                </c:pt>
                <c:pt idx="304">
                  <c:v>4195</c:v>
                </c:pt>
                <c:pt idx="305">
                  <c:v>4195</c:v>
                </c:pt>
                <c:pt idx="306">
                  <c:v>4195</c:v>
                </c:pt>
                <c:pt idx="307">
                  <c:v>4195</c:v>
                </c:pt>
                <c:pt idx="308">
                  <c:v>4195</c:v>
                </c:pt>
                <c:pt idx="309">
                  <c:v>4195</c:v>
                </c:pt>
                <c:pt idx="310">
                  <c:v>4195</c:v>
                </c:pt>
                <c:pt idx="311">
                  <c:v>4195</c:v>
                </c:pt>
                <c:pt idx="312">
                  <c:v>4195</c:v>
                </c:pt>
                <c:pt idx="313">
                  <c:v>4195</c:v>
                </c:pt>
                <c:pt idx="314">
                  <c:v>4195</c:v>
                </c:pt>
                <c:pt idx="315">
                  <c:v>4195</c:v>
                </c:pt>
                <c:pt idx="316">
                  <c:v>4195</c:v>
                </c:pt>
                <c:pt idx="317">
                  <c:v>4195</c:v>
                </c:pt>
                <c:pt idx="318">
                  <c:v>4195</c:v>
                </c:pt>
                <c:pt idx="319">
                  <c:v>4195</c:v>
                </c:pt>
                <c:pt idx="320">
                  <c:v>4195</c:v>
                </c:pt>
                <c:pt idx="321">
                  <c:v>4195</c:v>
                </c:pt>
                <c:pt idx="322">
                  <c:v>4195</c:v>
                </c:pt>
                <c:pt idx="323">
                  <c:v>4195</c:v>
                </c:pt>
                <c:pt idx="324">
                  <c:v>4195</c:v>
                </c:pt>
                <c:pt idx="325">
                  <c:v>4195</c:v>
                </c:pt>
                <c:pt idx="326">
                  <c:v>4195</c:v>
                </c:pt>
                <c:pt idx="327">
                  <c:v>4195</c:v>
                </c:pt>
                <c:pt idx="328">
                  <c:v>4195</c:v>
                </c:pt>
                <c:pt idx="329">
                  <c:v>4195</c:v>
                </c:pt>
                <c:pt idx="330">
                  <c:v>4195</c:v>
                </c:pt>
                <c:pt idx="331">
                  <c:v>4195</c:v>
                </c:pt>
                <c:pt idx="332">
                  <c:v>4195</c:v>
                </c:pt>
                <c:pt idx="333">
                  <c:v>4195</c:v>
                </c:pt>
                <c:pt idx="334">
                  <c:v>4195</c:v>
                </c:pt>
                <c:pt idx="335">
                  <c:v>4195</c:v>
                </c:pt>
                <c:pt idx="336">
                  <c:v>4195</c:v>
                </c:pt>
                <c:pt idx="337">
                  <c:v>4195</c:v>
                </c:pt>
                <c:pt idx="338">
                  <c:v>4195</c:v>
                </c:pt>
                <c:pt idx="339">
                  <c:v>4195</c:v>
                </c:pt>
                <c:pt idx="340">
                  <c:v>4195</c:v>
                </c:pt>
                <c:pt idx="341">
                  <c:v>4195</c:v>
                </c:pt>
                <c:pt idx="342">
                  <c:v>4195</c:v>
                </c:pt>
                <c:pt idx="343">
                  <c:v>4195</c:v>
                </c:pt>
                <c:pt idx="344">
                  <c:v>4195</c:v>
                </c:pt>
                <c:pt idx="345">
                  <c:v>4195</c:v>
                </c:pt>
                <c:pt idx="346">
                  <c:v>4195</c:v>
                </c:pt>
                <c:pt idx="347">
                  <c:v>4195</c:v>
                </c:pt>
                <c:pt idx="348">
                  <c:v>4195</c:v>
                </c:pt>
                <c:pt idx="349">
                  <c:v>4195</c:v>
                </c:pt>
                <c:pt idx="350">
                  <c:v>4195</c:v>
                </c:pt>
                <c:pt idx="351">
                  <c:v>4195</c:v>
                </c:pt>
                <c:pt idx="352">
                  <c:v>4195</c:v>
                </c:pt>
                <c:pt idx="353">
                  <c:v>4195</c:v>
                </c:pt>
                <c:pt idx="354">
                  <c:v>4195</c:v>
                </c:pt>
                <c:pt idx="355">
                  <c:v>4195</c:v>
                </c:pt>
                <c:pt idx="356">
                  <c:v>4195</c:v>
                </c:pt>
                <c:pt idx="357">
                  <c:v>4195</c:v>
                </c:pt>
                <c:pt idx="358">
                  <c:v>4195</c:v>
                </c:pt>
                <c:pt idx="359">
                  <c:v>4195</c:v>
                </c:pt>
                <c:pt idx="360">
                  <c:v>4195</c:v>
                </c:pt>
                <c:pt idx="361">
                  <c:v>4195</c:v>
                </c:pt>
                <c:pt idx="362">
                  <c:v>4195</c:v>
                </c:pt>
                <c:pt idx="363">
                  <c:v>4195</c:v>
                </c:pt>
                <c:pt idx="364">
                  <c:v>4195</c:v>
                </c:pt>
                <c:pt idx="365">
                  <c:v>4195</c:v>
                </c:pt>
                <c:pt idx="366">
                  <c:v>4195</c:v>
                </c:pt>
                <c:pt idx="367">
                  <c:v>4195</c:v>
                </c:pt>
                <c:pt idx="368">
                  <c:v>4195</c:v>
                </c:pt>
                <c:pt idx="369">
                  <c:v>4195</c:v>
                </c:pt>
                <c:pt idx="370">
                  <c:v>4195</c:v>
                </c:pt>
                <c:pt idx="371">
                  <c:v>4195</c:v>
                </c:pt>
                <c:pt idx="372">
                  <c:v>4195</c:v>
                </c:pt>
                <c:pt idx="373">
                  <c:v>4195</c:v>
                </c:pt>
                <c:pt idx="374">
                  <c:v>4195</c:v>
                </c:pt>
                <c:pt idx="375">
                  <c:v>4195</c:v>
                </c:pt>
                <c:pt idx="376">
                  <c:v>4195</c:v>
                </c:pt>
                <c:pt idx="377">
                  <c:v>4195</c:v>
                </c:pt>
                <c:pt idx="378">
                  <c:v>4195</c:v>
                </c:pt>
                <c:pt idx="379">
                  <c:v>4195</c:v>
                </c:pt>
                <c:pt idx="380">
                  <c:v>4195</c:v>
                </c:pt>
                <c:pt idx="381">
                  <c:v>4195</c:v>
                </c:pt>
                <c:pt idx="382">
                  <c:v>4195</c:v>
                </c:pt>
                <c:pt idx="383">
                  <c:v>4195</c:v>
                </c:pt>
                <c:pt idx="384">
                  <c:v>4195</c:v>
                </c:pt>
                <c:pt idx="385">
                  <c:v>4195</c:v>
                </c:pt>
                <c:pt idx="386">
                  <c:v>4195</c:v>
                </c:pt>
                <c:pt idx="387">
                  <c:v>4195</c:v>
                </c:pt>
                <c:pt idx="388">
                  <c:v>4195</c:v>
                </c:pt>
                <c:pt idx="389">
                  <c:v>4195</c:v>
                </c:pt>
                <c:pt idx="390">
                  <c:v>4195</c:v>
                </c:pt>
                <c:pt idx="391">
                  <c:v>4195</c:v>
                </c:pt>
                <c:pt idx="392">
                  <c:v>4195</c:v>
                </c:pt>
                <c:pt idx="393">
                  <c:v>4195</c:v>
                </c:pt>
                <c:pt idx="394">
                  <c:v>4195</c:v>
                </c:pt>
                <c:pt idx="395">
                  <c:v>4195</c:v>
                </c:pt>
                <c:pt idx="396">
                  <c:v>4195</c:v>
                </c:pt>
                <c:pt idx="397">
                  <c:v>4195</c:v>
                </c:pt>
                <c:pt idx="398">
                  <c:v>4195</c:v>
                </c:pt>
                <c:pt idx="399">
                  <c:v>4195</c:v>
                </c:pt>
                <c:pt idx="400">
                  <c:v>4195</c:v>
                </c:pt>
                <c:pt idx="401">
                  <c:v>4195</c:v>
                </c:pt>
                <c:pt idx="402">
                  <c:v>4195</c:v>
                </c:pt>
                <c:pt idx="403">
                  <c:v>4195</c:v>
                </c:pt>
                <c:pt idx="404">
                  <c:v>4195</c:v>
                </c:pt>
                <c:pt idx="405">
                  <c:v>4195</c:v>
                </c:pt>
                <c:pt idx="406">
                  <c:v>4195</c:v>
                </c:pt>
                <c:pt idx="407">
                  <c:v>4195</c:v>
                </c:pt>
                <c:pt idx="408">
                  <c:v>4195</c:v>
                </c:pt>
                <c:pt idx="409">
                  <c:v>4195</c:v>
                </c:pt>
                <c:pt idx="410">
                  <c:v>4195</c:v>
                </c:pt>
                <c:pt idx="411">
                  <c:v>4195</c:v>
                </c:pt>
                <c:pt idx="412">
                  <c:v>4195</c:v>
                </c:pt>
                <c:pt idx="413">
                  <c:v>4195</c:v>
                </c:pt>
                <c:pt idx="414">
                  <c:v>4195</c:v>
                </c:pt>
                <c:pt idx="415">
                  <c:v>4195</c:v>
                </c:pt>
                <c:pt idx="416">
                  <c:v>4195</c:v>
                </c:pt>
                <c:pt idx="417">
                  <c:v>4195</c:v>
                </c:pt>
                <c:pt idx="418">
                  <c:v>4195</c:v>
                </c:pt>
                <c:pt idx="419">
                  <c:v>4195</c:v>
                </c:pt>
                <c:pt idx="420">
                  <c:v>4195</c:v>
                </c:pt>
                <c:pt idx="421">
                  <c:v>4195</c:v>
                </c:pt>
                <c:pt idx="422">
                  <c:v>4195</c:v>
                </c:pt>
                <c:pt idx="423">
                  <c:v>4195</c:v>
                </c:pt>
                <c:pt idx="424">
                  <c:v>4195</c:v>
                </c:pt>
                <c:pt idx="425">
                  <c:v>4195</c:v>
                </c:pt>
                <c:pt idx="426">
                  <c:v>4195</c:v>
                </c:pt>
                <c:pt idx="427">
                  <c:v>4195</c:v>
                </c:pt>
                <c:pt idx="428">
                  <c:v>4195</c:v>
                </c:pt>
                <c:pt idx="429">
                  <c:v>4195</c:v>
                </c:pt>
                <c:pt idx="430">
                  <c:v>4195</c:v>
                </c:pt>
                <c:pt idx="431">
                  <c:v>4195</c:v>
                </c:pt>
                <c:pt idx="432">
                  <c:v>4195</c:v>
                </c:pt>
                <c:pt idx="433">
                  <c:v>4195</c:v>
                </c:pt>
                <c:pt idx="434">
                  <c:v>4195</c:v>
                </c:pt>
                <c:pt idx="435">
                  <c:v>4195</c:v>
                </c:pt>
                <c:pt idx="436">
                  <c:v>4195</c:v>
                </c:pt>
                <c:pt idx="437">
                  <c:v>4195</c:v>
                </c:pt>
                <c:pt idx="438">
                  <c:v>4195</c:v>
                </c:pt>
                <c:pt idx="439">
                  <c:v>4195</c:v>
                </c:pt>
                <c:pt idx="440">
                  <c:v>4195</c:v>
                </c:pt>
                <c:pt idx="441">
                  <c:v>4195</c:v>
                </c:pt>
                <c:pt idx="442">
                  <c:v>4195</c:v>
                </c:pt>
                <c:pt idx="443">
                  <c:v>4195</c:v>
                </c:pt>
                <c:pt idx="444">
                  <c:v>4195</c:v>
                </c:pt>
                <c:pt idx="445">
                  <c:v>4195</c:v>
                </c:pt>
                <c:pt idx="446">
                  <c:v>4195</c:v>
                </c:pt>
                <c:pt idx="447">
                  <c:v>4195</c:v>
                </c:pt>
                <c:pt idx="448">
                  <c:v>4195</c:v>
                </c:pt>
                <c:pt idx="449">
                  <c:v>4195</c:v>
                </c:pt>
                <c:pt idx="450">
                  <c:v>4195</c:v>
                </c:pt>
                <c:pt idx="451">
                  <c:v>4195</c:v>
                </c:pt>
                <c:pt idx="452">
                  <c:v>4195</c:v>
                </c:pt>
                <c:pt idx="453">
                  <c:v>4195</c:v>
                </c:pt>
                <c:pt idx="454">
                  <c:v>4195</c:v>
                </c:pt>
                <c:pt idx="455">
                  <c:v>4195</c:v>
                </c:pt>
                <c:pt idx="456">
                  <c:v>4195</c:v>
                </c:pt>
                <c:pt idx="457">
                  <c:v>4195</c:v>
                </c:pt>
                <c:pt idx="458">
                  <c:v>4195</c:v>
                </c:pt>
                <c:pt idx="459">
                  <c:v>4195</c:v>
                </c:pt>
                <c:pt idx="460">
                  <c:v>4195</c:v>
                </c:pt>
                <c:pt idx="461">
                  <c:v>4195</c:v>
                </c:pt>
                <c:pt idx="462">
                  <c:v>4195</c:v>
                </c:pt>
                <c:pt idx="463">
                  <c:v>4195</c:v>
                </c:pt>
                <c:pt idx="464">
                  <c:v>4195</c:v>
                </c:pt>
                <c:pt idx="465">
                  <c:v>4195</c:v>
                </c:pt>
                <c:pt idx="466">
                  <c:v>4195</c:v>
                </c:pt>
                <c:pt idx="467">
                  <c:v>4195</c:v>
                </c:pt>
                <c:pt idx="468">
                  <c:v>4195</c:v>
                </c:pt>
                <c:pt idx="469">
                  <c:v>4195</c:v>
                </c:pt>
                <c:pt idx="470">
                  <c:v>4195</c:v>
                </c:pt>
                <c:pt idx="471">
                  <c:v>4195</c:v>
                </c:pt>
                <c:pt idx="472">
                  <c:v>4195</c:v>
                </c:pt>
                <c:pt idx="473">
                  <c:v>4195</c:v>
                </c:pt>
                <c:pt idx="474">
                  <c:v>4195</c:v>
                </c:pt>
                <c:pt idx="475">
                  <c:v>4195</c:v>
                </c:pt>
                <c:pt idx="476">
                  <c:v>4195</c:v>
                </c:pt>
                <c:pt idx="477">
                  <c:v>4195</c:v>
                </c:pt>
                <c:pt idx="478">
                  <c:v>4195</c:v>
                </c:pt>
                <c:pt idx="479">
                  <c:v>4195</c:v>
                </c:pt>
                <c:pt idx="480">
                  <c:v>4195</c:v>
                </c:pt>
                <c:pt idx="481">
                  <c:v>4195</c:v>
                </c:pt>
                <c:pt idx="482">
                  <c:v>4195</c:v>
                </c:pt>
                <c:pt idx="483">
                  <c:v>4195</c:v>
                </c:pt>
                <c:pt idx="484">
                  <c:v>4195</c:v>
                </c:pt>
                <c:pt idx="485">
                  <c:v>4195</c:v>
                </c:pt>
                <c:pt idx="486">
                  <c:v>4195</c:v>
                </c:pt>
                <c:pt idx="487">
                  <c:v>4195</c:v>
                </c:pt>
                <c:pt idx="488">
                  <c:v>4195</c:v>
                </c:pt>
                <c:pt idx="489">
                  <c:v>4195</c:v>
                </c:pt>
                <c:pt idx="490">
                  <c:v>4195</c:v>
                </c:pt>
                <c:pt idx="491">
                  <c:v>4195</c:v>
                </c:pt>
                <c:pt idx="492">
                  <c:v>4195</c:v>
                </c:pt>
                <c:pt idx="493">
                  <c:v>4195</c:v>
                </c:pt>
                <c:pt idx="494">
                  <c:v>4195</c:v>
                </c:pt>
                <c:pt idx="495">
                  <c:v>4195</c:v>
                </c:pt>
                <c:pt idx="496">
                  <c:v>4195</c:v>
                </c:pt>
                <c:pt idx="497">
                  <c:v>4195</c:v>
                </c:pt>
                <c:pt idx="498">
                  <c:v>4195</c:v>
                </c:pt>
                <c:pt idx="499">
                  <c:v>4195</c:v>
                </c:pt>
                <c:pt idx="500">
                  <c:v>4195</c:v>
                </c:pt>
                <c:pt idx="501">
                  <c:v>4195</c:v>
                </c:pt>
                <c:pt idx="502">
                  <c:v>4195</c:v>
                </c:pt>
                <c:pt idx="503">
                  <c:v>4195</c:v>
                </c:pt>
                <c:pt idx="504">
                  <c:v>4195</c:v>
                </c:pt>
                <c:pt idx="505">
                  <c:v>4195</c:v>
                </c:pt>
                <c:pt idx="506">
                  <c:v>4195</c:v>
                </c:pt>
                <c:pt idx="507">
                  <c:v>4195</c:v>
                </c:pt>
                <c:pt idx="508">
                  <c:v>4195</c:v>
                </c:pt>
                <c:pt idx="509">
                  <c:v>4195</c:v>
                </c:pt>
                <c:pt idx="510">
                  <c:v>4195</c:v>
                </c:pt>
                <c:pt idx="511">
                  <c:v>4195</c:v>
                </c:pt>
                <c:pt idx="512">
                  <c:v>4195</c:v>
                </c:pt>
                <c:pt idx="513">
                  <c:v>4195</c:v>
                </c:pt>
                <c:pt idx="514">
                  <c:v>4195</c:v>
                </c:pt>
                <c:pt idx="515">
                  <c:v>4195</c:v>
                </c:pt>
                <c:pt idx="516">
                  <c:v>4195</c:v>
                </c:pt>
                <c:pt idx="517">
                  <c:v>4195</c:v>
                </c:pt>
                <c:pt idx="518">
                  <c:v>4195</c:v>
                </c:pt>
                <c:pt idx="519">
                  <c:v>4195</c:v>
                </c:pt>
                <c:pt idx="520">
                  <c:v>4195</c:v>
                </c:pt>
                <c:pt idx="521">
                  <c:v>4195</c:v>
                </c:pt>
                <c:pt idx="522">
                  <c:v>4195</c:v>
                </c:pt>
                <c:pt idx="523">
                  <c:v>4195</c:v>
                </c:pt>
                <c:pt idx="524">
                  <c:v>4195</c:v>
                </c:pt>
                <c:pt idx="525">
                  <c:v>4195</c:v>
                </c:pt>
                <c:pt idx="526">
                  <c:v>4195</c:v>
                </c:pt>
                <c:pt idx="527">
                  <c:v>4195</c:v>
                </c:pt>
                <c:pt idx="528">
                  <c:v>4195</c:v>
                </c:pt>
                <c:pt idx="529">
                  <c:v>4195</c:v>
                </c:pt>
                <c:pt idx="530">
                  <c:v>4195</c:v>
                </c:pt>
                <c:pt idx="531">
                  <c:v>4195</c:v>
                </c:pt>
                <c:pt idx="532">
                  <c:v>4195</c:v>
                </c:pt>
                <c:pt idx="533">
                  <c:v>4195</c:v>
                </c:pt>
                <c:pt idx="534">
                  <c:v>4195</c:v>
                </c:pt>
                <c:pt idx="535">
                  <c:v>4195</c:v>
                </c:pt>
                <c:pt idx="536">
                  <c:v>4195</c:v>
                </c:pt>
                <c:pt idx="537">
                  <c:v>4195</c:v>
                </c:pt>
                <c:pt idx="538">
                  <c:v>4195</c:v>
                </c:pt>
                <c:pt idx="539">
                  <c:v>4195</c:v>
                </c:pt>
                <c:pt idx="540">
                  <c:v>4195</c:v>
                </c:pt>
                <c:pt idx="541">
                  <c:v>4195</c:v>
                </c:pt>
                <c:pt idx="542">
                  <c:v>4195</c:v>
                </c:pt>
                <c:pt idx="543">
                  <c:v>4195</c:v>
                </c:pt>
                <c:pt idx="544">
                  <c:v>4195</c:v>
                </c:pt>
                <c:pt idx="545">
                  <c:v>4195</c:v>
                </c:pt>
                <c:pt idx="546">
                  <c:v>4195</c:v>
                </c:pt>
                <c:pt idx="547">
                  <c:v>4195</c:v>
                </c:pt>
                <c:pt idx="548">
                  <c:v>4195</c:v>
                </c:pt>
                <c:pt idx="549">
                  <c:v>4195</c:v>
                </c:pt>
                <c:pt idx="550">
                  <c:v>4195</c:v>
                </c:pt>
                <c:pt idx="551">
                  <c:v>4195</c:v>
                </c:pt>
                <c:pt idx="552">
                  <c:v>4195</c:v>
                </c:pt>
                <c:pt idx="553">
                  <c:v>4195</c:v>
                </c:pt>
                <c:pt idx="554">
                  <c:v>4195</c:v>
                </c:pt>
                <c:pt idx="555">
                  <c:v>4195</c:v>
                </c:pt>
                <c:pt idx="556">
                  <c:v>4195</c:v>
                </c:pt>
                <c:pt idx="557">
                  <c:v>4195</c:v>
                </c:pt>
                <c:pt idx="558">
                  <c:v>4195</c:v>
                </c:pt>
                <c:pt idx="559">
                  <c:v>4195</c:v>
                </c:pt>
                <c:pt idx="560">
                  <c:v>4195</c:v>
                </c:pt>
                <c:pt idx="561">
                  <c:v>4195</c:v>
                </c:pt>
                <c:pt idx="562">
                  <c:v>4195</c:v>
                </c:pt>
                <c:pt idx="563">
                  <c:v>4195</c:v>
                </c:pt>
                <c:pt idx="564">
                  <c:v>4195</c:v>
                </c:pt>
                <c:pt idx="565">
                  <c:v>4195</c:v>
                </c:pt>
                <c:pt idx="566">
                  <c:v>4195</c:v>
                </c:pt>
                <c:pt idx="567">
                  <c:v>4195</c:v>
                </c:pt>
                <c:pt idx="568">
                  <c:v>4195</c:v>
                </c:pt>
                <c:pt idx="569">
                  <c:v>4195</c:v>
                </c:pt>
                <c:pt idx="570">
                  <c:v>4195</c:v>
                </c:pt>
                <c:pt idx="571">
                  <c:v>4195</c:v>
                </c:pt>
                <c:pt idx="572">
                  <c:v>4195</c:v>
                </c:pt>
                <c:pt idx="573">
                  <c:v>4195</c:v>
                </c:pt>
                <c:pt idx="574">
                  <c:v>4195</c:v>
                </c:pt>
                <c:pt idx="575">
                  <c:v>4195</c:v>
                </c:pt>
                <c:pt idx="576">
                  <c:v>4195</c:v>
                </c:pt>
                <c:pt idx="577">
                  <c:v>4195</c:v>
                </c:pt>
                <c:pt idx="578">
                  <c:v>4195</c:v>
                </c:pt>
                <c:pt idx="579">
                  <c:v>4195</c:v>
                </c:pt>
                <c:pt idx="580">
                  <c:v>4195</c:v>
                </c:pt>
                <c:pt idx="581">
                  <c:v>4195</c:v>
                </c:pt>
                <c:pt idx="582">
                  <c:v>4195</c:v>
                </c:pt>
                <c:pt idx="583">
                  <c:v>4195</c:v>
                </c:pt>
                <c:pt idx="584">
                  <c:v>4195</c:v>
                </c:pt>
                <c:pt idx="585">
                  <c:v>4195</c:v>
                </c:pt>
                <c:pt idx="586">
                  <c:v>4195</c:v>
                </c:pt>
                <c:pt idx="587">
                  <c:v>4195</c:v>
                </c:pt>
                <c:pt idx="588">
                  <c:v>4195</c:v>
                </c:pt>
                <c:pt idx="589">
                  <c:v>4195</c:v>
                </c:pt>
                <c:pt idx="590">
                  <c:v>4195</c:v>
                </c:pt>
                <c:pt idx="591">
                  <c:v>4195</c:v>
                </c:pt>
                <c:pt idx="592">
                  <c:v>4195</c:v>
                </c:pt>
                <c:pt idx="593">
                  <c:v>4195</c:v>
                </c:pt>
                <c:pt idx="594">
                  <c:v>4195</c:v>
                </c:pt>
                <c:pt idx="595">
                  <c:v>4195</c:v>
                </c:pt>
                <c:pt idx="596">
                  <c:v>4195</c:v>
                </c:pt>
                <c:pt idx="597">
                  <c:v>4195</c:v>
                </c:pt>
                <c:pt idx="598">
                  <c:v>4195</c:v>
                </c:pt>
                <c:pt idx="599">
                  <c:v>4195</c:v>
                </c:pt>
                <c:pt idx="600">
                  <c:v>4195</c:v>
                </c:pt>
                <c:pt idx="601">
                  <c:v>4195</c:v>
                </c:pt>
                <c:pt idx="602">
                  <c:v>4195</c:v>
                </c:pt>
                <c:pt idx="603">
                  <c:v>4195</c:v>
                </c:pt>
                <c:pt idx="604">
                  <c:v>4195</c:v>
                </c:pt>
                <c:pt idx="605">
                  <c:v>4195</c:v>
                </c:pt>
                <c:pt idx="606">
                  <c:v>4195</c:v>
                </c:pt>
                <c:pt idx="607">
                  <c:v>4195</c:v>
                </c:pt>
                <c:pt idx="608">
                  <c:v>4195</c:v>
                </c:pt>
                <c:pt idx="609">
                  <c:v>4195</c:v>
                </c:pt>
                <c:pt idx="610">
                  <c:v>4195</c:v>
                </c:pt>
                <c:pt idx="611">
                  <c:v>4195</c:v>
                </c:pt>
                <c:pt idx="612">
                  <c:v>4195</c:v>
                </c:pt>
                <c:pt idx="613">
                  <c:v>4195</c:v>
                </c:pt>
                <c:pt idx="614">
                  <c:v>4195</c:v>
                </c:pt>
                <c:pt idx="615">
                  <c:v>4195</c:v>
                </c:pt>
                <c:pt idx="616">
                  <c:v>4195</c:v>
                </c:pt>
                <c:pt idx="617">
                  <c:v>4195</c:v>
                </c:pt>
                <c:pt idx="618">
                  <c:v>4195</c:v>
                </c:pt>
                <c:pt idx="619">
                  <c:v>4195</c:v>
                </c:pt>
                <c:pt idx="620">
                  <c:v>4195</c:v>
                </c:pt>
                <c:pt idx="621">
                  <c:v>4195</c:v>
                </c:pt>
                <c:pt idx="622">
                  <c:v>4195</c:v>
                </c:pt>
                <c:pt idx="623">
                  <c:v>4195</c:v>
                </c:pt>
                <c:pt idx="624">
                  <c:v>4195</c:v>
                </c:pt>
                <c:pt idx="625">
                  <c:v>4195</c:v>
                </c:pt>
                <c:pt idx="626">
                  <c:v>4195</c:v>
                </c:pt>
                <c:pt idx="627">
                  <c:v>4195</c:v>
                </c:pt>
                <c:pt idx="628">
                  <c:v>4195</c:v>
                </c:pt>
                <c:pt idx="629">
                  <c:v>4195</c:v>
                </c:pt>
                <c:pt idx="630">
                  <c:v>4195</c:v>
                </c:pt>
                <c:pt idx="631">
                  <c:v>4195</c:v>
                </c:pt>
                <c:pt idx="632">
                  <c:v>4195</c:v>
                </c:pt>
                <c:pt idx="633">
                  <c:v>4195</c:v>
                </c:pt>
                <c:pt idx="634">
                  <c:v>4195</c:v>
                </c:pt>
                <c:pt idx="635">
                  <c:v>4195</c:v>
                </c:pt>
                <c:pt idx="636">
                  <c:v>4195</c:v>
                </c:pt>
                <c:pt idx="637">
                  <c:v>4195</c:v>
                </c:pt>
                <c:pt idx="638">
                  <c:v>4195</c:v>
                </c:pt>
                <c:pt idx="639">
                  <c:v>4195</c:v>
                </c:pt>
                <c:pt idx="640">
                  <c:v>4195</c:v>
                </c:pt>
                <c:pt idx="641">
                  <c:v>4195</c:v>
                </c:pt>
                <c:pt idx="642">
                  <c:v>4195</c:v>
                </c:pt>
                <c:pt idx="643">
                  <c:v>4195</c:v>
                </c:pt>
                <c:pt idx="644">
                  <c:v>4195</c:v>
                </c:pt>
                <c:pt idx="645">
                  <c:v>4195</c:v>
                </c:pt>
                <c:pt idx="646">
                  <c:v>4195</c:v>
                </c:pt>
                <c:pt idx="647">
                  <c:v>4195</c:v>
                </c:pt>
                <c:pt idx="648">
                  <c:v>4195</c:v>
                </c:pt>
                <c:pt idx="649">
                  <c:v>4195</c:v>
                </c:pt>
                <c:pt idx="650">
                  <c:v>4195</c:v>
                </c:pt>
                <c:pt idx="651">
                  <c:v>4195</c:v>
                </c:pt>
                <c:pt idx="652">
                  <c:v>4195</c:v>
                </c:pt>
                <c:pt idx="653">
                  <c:v>4195</c:v>
                </c:pt>
                <c:pt idx="654">
                  <c:v>4195</c:v>
                </c:pt>
                <c:pt idx="655">
                  <c:v>4195</c:v>
                </c:pt>
                <c:pt idx="656">
                  <c:v>4195</c:v>
                </c:pt>
                <c:pt idx="657">
                  <c:v>4195</c:v>
                </c:pt>
                <c:pt idx="658">
                  <c:v>4195</c:v>
                </c:pt>
                <c:pt idx="659">
                  <c:v>4195</c:v>
                </c:pt>
                <c:pt idx="660">
                  <c:v>4195</c:v>
                </c:pt>
                <c:pt idx="661">
                  <c:v>4195</c:v>
                </c:pt>
                <c:pt idx="662">
                  <c:v>4195</c:v>
                </c:pt>
                <c:pt idx="663">
                  <c:v>4195</c:v>
                </c:pt>
                <c:pt idx="664">
                  <c:v>4195</c:v>
                </c:pt>
                <c:pt idx="665">
                  <c:v>4195</c:v>
                </c:pt>
                <c:pt idx="666">
                  <c:v>4195</c:v>
                </c:pt>
                <c:pt idx="667">
                  <c:v>4195</c:v>
                </c:pt>
                <c:pt idx="668">
                  <c:v>4195</c:v>
                </c:pt>
                <c:pt idx="669">
                  <c:v>4195</c:v>
                </c:pt>
                <c:pt idx="670">
                  <c:v>4195</c:v>
                </c:pt>
                <c:pt idx="671">
                  <c:v>4195</c:v>
                </c:pt>
                <c:pt idx="672">
                  <c:v>4195</c:v>
                </c:pt>
                <c:pt idx="673">
                  <c:v>4195</c:v>
                </c:pt>
                <c:pt idx="674">
                  <c:v>4195</c:v>
                </c:pt>
                <c:pt idx="675">
                  <c:v>4195</c:v>
                </c:pt>
                <c:pt idx="676">
                  <c:v>4195</c:v>
                </c:pt>
                <c:pt idx="677">
                  <c:v>4195</c:v>
                </c:pt>
                <c:pt idx="678">
                  <c:v>4195</c:v>
                </c:pt>
                <c:pt idx="679">
                  <c:v>4195</c:v>
                </c:pt>
                <c:pt idx="680">
                  <c:v>4195</c:v>
                </c:pt>
                <c:pt idx="681">
                  <c:v>4195</c:v>
                </c:pt>
                <c:pt idx="682">
                  <c:v>4195</c:v>
                </c:pt>
                <c:pt idx="683">
                  <c:v>4195</c:v>
                </c:pt>
                <c:pt idx="684">
                  <c:v>4195</c:v>
                </c:pt>
                <c:pt idx="685">
                  <c:v>4195</c:v>
                </c:pt>
                <c:pt idx="686">
                  <c:v>4195</c:v>
                </c:pt>
                <c:pt idx="687">
                  <c:v>4195</c:v>
                </c:pt>
                <c:pt idx="688">
                  <c:v>4195</c:v>
                </c:pt>
                <c:pt idx="689">
                  <c:v>4195</c:v>
                </c:pt>
                <c:pt idx="690">
                  <c:v>4195</c:v>
                </c:pt>
                <c:pt idx="691">
                  <c:v>4195</c:v>
                </c:pt>
                <c:pt idx="692">
                  <c:v>4195</c:v>
                </c:pt>
                <c:pt idx="693">
                  <c:v>4195</c:v>
                </c:pt>
                <c:pt idx="694">
                  <c:v>4195</c:v>
                </c:pt>
                <c:pt idx="695">
                  <c:v>4195</c:v>
                </c:pt>
                <c:pt idx="696">
                  <c:v>4195</c:v>
                </c:pt>
                <c:pt idx="697">
                  <c:v>4195</c:v>
                </c:pt>
                <c:pt idx="698">
                  <c:v>4195</c:v>
                </c:pt>
                <c:pt idx="699">
                  <c:v>4195</c:v>
                </c:pt>
                <c:pt idx="700">
                  <c:v>4195</c:v>
                </c:pt>
                <c:pt idx="701">
                  <c:v>4195</c:v>
                </c:pt>
                <c:pt idx="702">
                  <c:v>4195</c:v>
                </c:pt>
                <c:pt idx="703">
                  <c:v>4195</c:v>
                </c:pt>
                <c:pt idx="704">
                  <c:v>4195</c:v>
                </c:pt>
                <c:pt idx="705">
                  <c:v>4195</c:v>
                </c:pt>
                <c:pt idx="706">
                  <c:v>4195</c:v>
                </c:pt>
                <c:pt idx="707">
                  <c:v>4195</c:v>
                </c:pt>
                <c:pt idx="708">
                  <c:v>4195</c:v>
                </c:pt>
                <c:pt idx="709">
                  <c:v>4195</c:v>
                </c:pt>
                <c:pt idx="710">
                  <c:v>4195</c:v>
                </c:pt>
                <c:pt idx="711">
                  <c:v>4195</c:v>
                </c:pt>
                <c:pt idx="712">
                  <c:v>4195</c:v>
                </c:pt>
                <c:pt idx="713">
                  <c:v>4195</c:v>
                </c:pt>
                <c:pt idx="714">
                  <c:v>4195</c:v>
                </c:pt>
                <c:pt idx="715">
                  <c:v>4195</c:v>
                </c:pt>
                <c:pt idx="716">
                  <c:v>4195</c:v>
                </c:pt>
                <c:pt idx="717">
                  <c:v>4195</c:v>
                </c:pt>
                <c:pt idx="718">
                  <c:v>4195</c:v>
                </c:pt>
                <c:pt idx="719">
                  <c:v>4195</c:v>
                </c:pt>
                <c:pt idx="720">
                  <c:v>4195</c:v>
                </c:pt>
                <c:pt idx="721">
                  <c:v>4195</c:v>
                </c:pt>
                <c:pt idx="722">
                  <c:v>4195</c:v>
                </c:pt>
                <c:pt idx="723">
                  <c:v>4195</c:v>
                </c:pt>
                <c:pt idx="724">
                  <c:v>4195</c:v>
                </c:pt>
                <c:pt idx="725">
                  <c:v>4195</c:v>
                </c:pt>
                <c:pt idx="726">
                  <c:v>4195</c:v>
                </c:pt>
                <c:pt idx="727">
                  <c:v>4195</c:v>
                </c:pt>
                <c:pt idx="728">
                  <c:v>4195</c:v>
                </c:pt>
                <c:pt idx="729">
                  <c:v>4195</c:v>
                </c:pt>
                <c:pt idx="730">
                  <c:v>4195</c:v>
                </c:pt>
                <c:pt idx="731">
                  <c:v>4195</c:v>
                </c:pt>
                <c:pt idx="732">
                  <c:v>4195</c:v>
                </c:pt>
                <c:pt idx="733">
                  <c:v>4195</c:v>
                </c:pt>
                <c:pt idx="734">
                  <c:v>4195</c:v>
                </c:pt>
                <c:pt idx="735">
                  <c:v>4195</c:v>
                </c:pt>
                <c:pt idx="736">
                  <c:v>4195</c:v>
                </c:pt>
                <c:pt idx="737">
                  <c:v>4195</c:v>
                </c:pt>
                <c:pt idx="738">
                  <c:v>4195</c:v>
                </c:pt>
                <c:pt idx="739">
                  <c:v>4195</c:v>
                </c:pt>
                <c:pt idx="740">
                  <c:v>4195</c:v>
                </c:pt>
                <c:pt idx="741">
                  <c:v>4195</c:v>
                </c:pt>
                <c:pt idx="742">
                  <c:v>4195</c:v>
                </c:pt>
                <c:pt idx="743">
                  <c:v>4195</c:v>
                </c:pt>
                <c:pt idx="744">
                  <c:v>4195</c:v>
                </c:pt>
                <c:pt idx="745">
                  <c:v>4195</c:v>
                </c:pt>
                <c:pt idx="746">
                  <c:v>4195</c:v>
                </c:pt>
                <c:pt idx="747">
                  <c:v>4195</c:v>
                </c:pt>
                <c:pt idx="748">
                  <c:v>4195</c:v>
                </c:pt>
                <c:pt idx="749">
                  <c:v>4195</c:v>
                </c:pt>
                <c:pt idx="750">
                  <c:v>4195</c:v>
                </c:pt>
                <c:pt idx="751">
                  <c:v>4195</c:v>
                </c:pt>
                <c:pt idx="752">
                  <c:v>4195</c:v>
                </c:pt>
                <c:pt idx="753">
                  <c:v>4195</c:v>
                </c:pt>
                <c:pt idx="754">
                  <c:v>4195</c:v>
                </c:pt>
                <c:pt idx="755">
                  <c:v>4195</c:v>
                </c:pt>
                <c:pt idx="756">
                  <c:v>4195</c:v>
                </c:pt>
                <c:pt idx="757">
                  <c:v>4195</c:v>
                </c:pt>
                <c:pt idx="758">
                  <c:v>4195</c:v>
                </c:pt>
                <c:pt idx="759">
                  <c:v>4195</c:v>
                </c:pt>
                <c:pt idx="760">
                  <c:v>4195</c:v>
                </c:pt>
                <c:pt idx="761">
                  <c:v>4195</c:v>
                </c:pt>
                <c:pt idx="762">
                  <c:v>4195</c:v>
                </c:pt>
                <c:pt idx="763">
                  <c:v>4195</c:v>
                </c:pt>
                <c:pt idx="764">
                  <c:v>4195</c:v>
                </c:pt>
                <c:pt idx="765">
                  <c:v>4195</c:v>
                </c:pt>
                <c:pt idx="766">
                  <c:v>4195</c:v>
                </c:pt>
                <c:pt idx="767">
                  <c:v>4195</c:v>
                </c:pt>
                <c:pt idx="768">
                  <c:v>4195</c:v>
                </c:pt>
                <c:pt idx="769">
                  <c:v>4195</c:v>
                </c:pt>
                <c:pt idx="770">
                  <c:v>4195</c:v>
                </c:pt>
                <c:pt idx="771">
                  <c:v>4195</c:v>
                </c:pt>
                <c:pt idx="772">
                  <c:v>4195</c:v>
                </c:pt>
                <c:pt idx="773">
                  <c:v>4195</c:v>
                </c:pt>
                <c:pt idx="774">
                  <c:v>4195</c:v>
                </c:pt>
                <c:pt idx="775">
                  <c:v>4195</c:v>
                </c:pt>
                <c:pt idx="776">
                  <c:v>4195</c:v>
                </c:pt>
                <c:pt idx="777">
                  <c:v>4195</c:v>
                </c:pt>
                <c:pt idx="778">
                  <c:v>4195</c:v>
                </c:pt>
                <c:pt idx="779">
                  <c:v>4195</c:v>
                </c:pt>
                <c:pt idx="780">
                  <c:v>4195</c:v>
                </c:pt>
                <c:pt idx="781">
                  <c:v>4195</c:v>
                </c:pt>
                <c:pt idx="782">
                  <c:v>4195</c:v>
                </c:pt>
                <c:pt idx="783">
                  <c:v>4195</c:v>
                </c:pt>
                <c:pt idx="784">
                  <c:v>4195</c:v>
                </c:pt>
                <c:pt idx="785">
                  <c:v>4195</c:v>
                </c:pt>
                <c:pt idx="786">
                  <c:v>4195</c:v>
                </c:pt>
                <c:pt idx="787">
                  <c:v>4195</c:v>
                </c:pt>
                <c:pt idx="788">
                  <c:v>4195</c:v>
                </c:pt>
                <c:pt idx="789">
                  <c:v>4195</c:v>
                </c:pt>
                <c:pt idx="790">
                  <c:v>4195</c:v>
                </c:pt>
                <c:pt idx="791">
                  <c:v>4195</c:v>
                </c:pt>
                <c:pt idx="792">
                  <c:v>4195</c:v>
                </c:pt>
                <c:pt idx="793">
                  <c:v>4195</c:v>
                </c:pt>
                <c:pt idx="794">
                  <c:v>4195</c:v>
                </c:pt>
                <c:pt idx="795">
                  <c:v>4195</c:v>
                </c:pt>
                <c:pt idx="796">
                  <c:v>4195</c:v>
                </c:pt>
                <c:pt idx="797">
                  <c:v>4195</c:v>
                </c:pt>
                <c:pt idx="798">
                  <c:v>4195</c:v>
                </c:pt>
                <c:pt idx="799">
                  <c:v>4195</c:v>
                </c:pt>
                <c:pt idx="800">
                  <c:v>4195</c:v>
                </c:pt>
                <c:pt idx="801">
                  <c:v>4195</c:v>
                </c:pt>
                <c:pt idx="802">
                  <c:v>4195</c:v>
                </c:pt>
                <c:pt idx="803">
                  <c:v>4195</c:v>
                </c:pt>
                <c:pt idx="804">
                  <c:v>4195</c:v>
                </c:pt>
                <c:pt idx="805">
                  <c:v>4195</c:v>
                </c:pt>
                <c:pt idx="806">
                  <c:v>4195</c:v>
                </c:pt>
                <c:pt idx="807">
                  <c:v>4195</c:v>
                </c:pt>
                <c:pt idx="808">
                  <c:v>4195</c:v>
                </c:pt>
                <c:pt idx="809">
                  <c:v>4195</c:v>
                </c:pt>
                <c:pt idx="810">
                  <c:v>4195</c:v>
                </c:pt>
                <c:pt idx="811">
                  <c:v>4195</c:v>
                </c:pt>
                <c:pt idx="812">
                  <c:v>4195</c:v>
                </c:pt>
                <c:pt idx="813">
                  <c:v>4195</c:v>
                </c:pt>
                <c:pt idx="814">
                  <c:v>4195</c:v>
                </c:pt>
                <c:pt idx="815">
                  <c:v>4195</c:v>
                </c:pt>
                <c:pt idx="816">
                  <c:v>4195</c:v>
                </c:pt>
                <c:pt idx="817">
                  <c:v>4195</c:v>
                </c:pt>
                <c:pt idx="818">
                  <c:v>4195</c:v>
                </c:pt>
                <c:pt idx="819">
                  <c:v>4195</c:v>
                </c:pt>
                <c:pt idx="820">
                  <c:v>4195</c:v>
                </c:pt>
                <c:pt idx="821">
                  <c:v>4195</c:v>
                </c:pt>
                <c:pt idx="822">
                  <c:v>4195</c:v>
                </c:pt>
                <c:pt idx="823">
                  <c:v>4195</c:v>
                </c:pt>
                <c:pt idx="824">
                  <c:v>4195</c:v>
                </c:pt>
                <c:pt idx="825">
                  <c:v>4195</c:v>
                </c:pt>
                <c:pt idx="826">
                  <c:v>4195</c:v>
                </c:pt>
                <c:pt idx="827">
                  <c:v>4195</c:v>
                </c:pt>
                <c:pt idx="828">
                  <c:v>4195</c:v>
                </c:pt>
                <c:pt idx="829">
                  <c:v>4195</c:v>
                </c:pt>
                <c:pt idx="830">
                  <c:v>4195</c:v>
                </c:pt>
                <c:pt idx="831">
                  <c:v>4195</c:v>
                </c:pt>
                <c:pt idx="832">
                  <c:v>4195</c:v>
                </c:pt>
                <c:pt idx="833">
                  <c:v>4195</c:v>
                </c:pt>
                <c:pt idx="834">
                  <c:v>4195</c:v>
                </c:pt>
                <c:pt idx="835">
                  <c:v>4195</c:v>
                </c:pt>
                <c:pt idx="836">
                  <c:v>4195</c:v>
                </c:pt>
                <c:pt idx="837">
                  <c:v>4195</c:v>
                </c:pt>
                <c:pt idx="838">
                  <c:v>4195</c:v>
                </c:pt>
                <c:pt idx="839">
                  <c:v>4195</c:v>
                </c:pt>
                <c:pt idx="840">
                  <c:v>4195</c:v>
                </c:pt>
                <c:pt idx="841">
                  <c:v>4195</c:v>
                </c:pt>
                <c:pt idx="842">
                  <c:v>4195</c:v>
                </c:pt>
                <c:pt idx="843">
                  <c:v>4195</c:v>
                </c:pt>
                <c:pt idx="844">
                  <c:v>4195</c:v>
                </c:pt>
                <c:pt idx="845">
                  <c:v>4195</c:v>
                </c:pt>
                <c:pt idx="846">
                  <c:v>4195</c:v>
                </c:pt>
                <c:pt idx="847">
                  <c:v>4195</c:v>
                </c:pt>
                <c:pt idx="848">
                  <c:v>4195</c:v>
                </c:pt>
                <c:pt idx="849">
                  <c:v>4195</c:v>
                </c:pt>
                <c:pt idx="850">
                  <c:v>4195</c:v>
                </c:pt>
                <c:pt idx="851">
                  <c:v>4195</c:v>
                </c:pt>
                <c:pt idx="852">
                  <c:v>4195</c:v>
                </c:pt>
                <c:pt idx="853">
                  <c:v>4195</c:v>
                </c:pt>
                <c:pt idx="854">
                  <c:v>4195</c:v>
                </c:pt>
                <c:pt idx="855">
                  <c:v>4195</c:v>
                </c:pt>
                <c:pt idx="856">
                  <c:v>4195</c:v>
                </c:pt>
                <c:pt idx="857">
                  <c:v>4195</c:v>
                </c:pt>
                <c:pt idx="858">
                  <c:v>4195</c:v>
                </c:pt>
                <c:pt idx="859">
                  <c:v>4195</c:v>
                </c:pt>
                <c:pt idx="860">
                  <c:v>4195</c:v>
                </c:pt>
                <c:pt idx="861">
                  <c:v>4195</c:v>
                </c:pt>
                <c:pt idx="862">
                  <c:v>4195</c:v>
                </c:pt>
                <c:pt idx="863">
                  <c:v>4195</c:v>
                </c:pt>
                <c:pt idx="864">
                  <c:v>4195</c:v>
                </c:pt>
                <c:pt idx="865">
                  <c:v>4195</c:v>
                </c:pt>
                <c:pt idx="866">
                  <c:v>4195</c:v>
                </c:pt>
                <c:pt idx="867">
                  <c:v>4195</c:v>
                </c:pt>
                <c:pt idx="868">
                  <c:v>4195</c:v>
                </c:pt>
                <c:pt idx="869">
                  <c:v>4195</c:v>
                </c:pt>
                <c:pt idx="870">
                  <c:v>4195</c:v>
                </c:pt>
                <c:pt idx="871">
                  <c:v>4195</c:v>
                </c:pt>
                <c:pt idx="872">
                  <c:v>4195</c:v>
                </c:pt>
                <c:pt idx="873">
                  <c:v>4195</c:v>
                </c:pt>
                <c:pt idx="874">
                  <c:v>4195</c:v>
                </c:pt>
                <c:pt idx="875">
                  <c:v>4195</c:v>
                </c:pt>
                <c:pt idx="876">
                  <c:v>4195</c:v>
                </c:pt>
                <c:pt idx="877">
                  <c:v>4195</c:v>
                </c:pt>
                <c:pt idx="878">
                  <c:v>4195</c:v>
                </c:pt>
                <c:pt idx="879">
                  <c:v>4195</c:v>
                </c:pt>
                <c:pt idx="880">
                  <c:v>4195</c:v>
                </c:pt>
                <c:pt idx="881">
                  <c:v>4195</c:v>
                </c:pt>
                <c:pt idx="882">
                  <c:v>4195</c:v>
                </c:pt>
                <c:pt idx="883">
                  <c:v>4195</c:v>
                </c:pt>
                <c:pt idx="884">
                  <c:v>4195</c:v>
                </c:pt>
                <c:pt idx="885">
                  <c:v>4195</c:v>
                </c:pt>
                <c:pt idx="886">
                  <c:v>4195</c:v>
                </c:pt>
                <c:pt idx="887">
                  <c:v>4195</c:v>
                </c:pt>
                <c:pt idx="888">
                  <c:v>4195</c:v>
                </c:pt>
                <c:pt idx="889">
                  <c:v>4195</c:v>
                </c:pt>
                <c:pt idx="890">
                  <c:v>4195</c:v>
                </c:pt>
                <c:pt idx="891">
                  <c:v>4195</c:v>
                </c:pt>
                <c:pt idx="892">
                  <c:v>4195</c:v>
                </c:pt>
                <c:pt idx="893">
                  <c:v>4195</c:v>
                </c:pt>
                <c:pt idx="894">
                  <c:v>4195</c:v>
                </c:pt>
                <c:pt idx="895">
                  <c:v>4195</c:v>
                </c:pt>
                <c:pt idx="896">
                  <c:v>4195</c:v>
                </c:pt>
                <c:pt idx="897">
                  <c:v>4195</c:v>
                </c:pt>
                <c:pt idx="898">
                  <c:v>4195</c:v>
                </c:pt>
                <c:pt idx="899">
                  <c:v>4195</c:v>
                </c:pt>
                <c:pt idx="900">
                  <c:v>4195</c:v>
                </c:pt>
                <c:pt idx="901">
                  <c:v>4195</c:v>
                </c:pt>
                <c:pt idx="902">
                  <c:v>4195</c:v>
                </c:pt>
                <c:pt idx="903">
                  <c:v>4195</c:v>
                </c:pt>
                <c:pt idx="904">
                  <c:v>4195</c:v>
                </c:pt>
                <c:pt idx="905">
                  <c:v>4195</c:v>
                </c:pt>
                <c:pt idx="906">
                  <c:v>4195</c:v>
                </c:pt>
                <c:pt idx="907">
                  <c:v>4195</c:v>
                </c:pt>
                <c:pt idx="908">
                  <c:v>4195</c:v>
                </c:pt>
                <c:pt idx="909">
                  <c:v>4195</c:v>
                </c:pt>
                <c:pt idx="910">
                  <c:v>4195</c:v>
                </c:pt>
                <c:pt idx="911">
                  <c:v>4195</c:v>
                </c:pt>
                <c:pt idx="912">
                  <c:v>4195</c:v>
                </c:pt>
                <c:pt idx="913">
                  <c:v>4195</c:v>
                </c:pt>
                <c:pt idx="914">
                  <c:v>4195</c:v>
                </c:pt>
                <c:pt idx="915">
                  <c:v>4195</c:v>
                </c:pt>
                <c:pt idx="916">
                  <c:v>4195</c:v>
                </c:pt>
                <c:pt idx="917">
                  <c:v>4195</c:v>
                </c:pt>
                <c:pt idx="918">
                  <c:v>4195</c:v>
                </c:pt>
                <c:pt idx="919">
                  <c:v>4195</c:v>
                </c:pt>
                <c:pt idx="920">
                  <c:v>4195</c:v>
                </c:pt>
                <c:pt idx="921">
                  <c:v>4195</c:v>
                </c:pt>
                <c:pt idx="922">
                  <c:v>4195</c:v>
                </c:pt>
                <c:pt idx="923">
                  <c:v>4195</c:v>
                </c:pt>
                <c:pt idx="924">
                  <c:v>4195</c:v>
                </c:pt>
                <c:pt idx="925">
                  <c:v>4195</c:v>
                </c:pt>
                <c:pt idx="926">
                  <c:v>4195</c:v>
                </c:pt>
                <c:pt idx="927">
                  <c:v>4195</c:v>
                </c:pt>
                <c:pt idx="928">
                  <c:v>4195</c:v>
                </c:pt>
                <c:pt idx="929">
                  <c:v>4195</c:v>
                </c:pt>
                <c:pt idx="930">
                  <c:v>4195</c:v>
                </c:pt>
                <c:pt idx="931">
                  <c:v>4195</c:v>
                </c:pt>
                <c:pt idx="932">
                  <c:v>4195</c:v>
                </c:pt>
                <c:pt idx="933">
                  <c:v>4195</c:v>
                </c:pt>
                <c:pt idx="934">
                  <c:v>4195</c:v>
                </c:pt>
                <c:pt idx="935">
                  <c:v>4195</c:v>
                </c:pt>
                <c:pt idx="936">
                  <c:v>4195</c:v>
                </c:pt>
                <c:pt idx="937">
                  <c:v>4195</c:v>
                </c:pt>
                <c:pt idx="938">
                  <c:v>4195</c:v>
                </c:pt>
                <c:pt idx="939">
                  <c:v>4195</c:v>
                </c:pt>
                <c:pt idx="940">
                  <c:v>4195</c:v>
                </c:pt>
                <c:pt idx="941">
                  <c:v>4195</c:v>
                </c:pt>
                <c:pt idx="942">
                  <c:v>4195</c:v>
                </c:pt>
                <c:pt idx="943">
                  <c:v>4195</c:v>
                </c:pt>
                <c:pt idx="944">
                  <c:v>4195</c:v>
                </c:pt>
                <c:pt idx="945">
                  <c:v>4195</c:v>
                </c:pt>
                <c:pt idx="946">
                  <c:v>4195</c:v>
                </c:pt>
                <c:pt idx="947">
                  <c:v>4195</c:v>
                </c:pt>
                <c:pt idx="948">
                  <c:v>4195</c:v>
                </c:pt>
                <c:pt idx="949">
                  <c:v>4195</c:v>
                </c:pt>
                <c:pt idx="950">
                  <c:v>4195</c:v>
                </c:pt>
                <c:pt idx="951">
                  <c:v>4195</c:v>
                </c:pt>
                <c:pt idx="952">
                  <c:v>4195</c:v>
                </c:pt>
                <c:pt idx="953">
                  <c:v>4195</c:v>
                </c:pt>
                <c:pt idx="954">
                  <c:v>4195</c:v>
                </c:pt>
                <c:pt idx="955">
                  <c:v>4195</c:v>
                </c:pt>
                <c:pt idx="956">
                  <c:v>4195</c:v>
                </c:pt>
                <c:pt idx="957">
                  <c:v>4195</c:v>
                </c:pt>
                <c:pt idx="958">
                  <c:v>4195</c:v>
                </c:pt>
                <c:pt idx="959">
                  <c:v>4195</c:v>
                </c:pt>
                <c:pt idx="960">
                  <c:v>4195</c:v>
                </c:pt>
                <c:pt idx="961">
                  <c:v>4195</c:v>
                </c:pt>
                <c:pt idx="962">
                  <c:v>4195</c:v>
                </c:pt>
                <c:pt idx="963">
                  <c:v>4195</c:v>
                </c:pt>
                <c:pt idx="964">
                  <c:v>4195</c:v>
                </c:pt>
                <c:pt idx="965">
                  <c:v>4195</c:v>
                </c:pt>
                <c:pt idx="966">
                  <c:v>4195</c:v>
                </c:pt>
                <c:pt idx="967">
                  <c:v>4195</c:v>
                </c:pt>
                <c:pt idx="968">
                  <c:v>4195</c:v>
                </c:pt>
                <c:pt idx="969">
                  <c:v>4195</c:v>
                </c:pt>
                <c:pt idx="970">
                  <c:v>4195</c:v>
                </c:pt>
                <c:pt idx="971">
                  <c:v>4195</c:v>
                </c:pt>
                <c:pt idx="972">
                  <c:v>4195</c:v>
                </c:pt>
                <c:pt idx="973">
                  <c:v>4195</c:v>
                </c:pt>
                <c:pt idx="974">
                  <c:v>4195</c:v>
                </c:pt>
                <c:pt idx="975">
                  <c:v>4195</c:v>
                </c:pt>
                <c:pt idx="976">
                  <c:v>4195</c:v>
                </c:pt>
                <c:pt idx="977">
                  <c:v>4195</c:v>
                </c:pt>
                <c:pt idx="978">
                  <c:v>4195</c:v>
                </c:pt>
                <c:pt idx="979">
                  <c:v>4195</c:v>
                </c:pt>
                <c:pt idx="980">
                  <c:v>4195</c:v>
                </c:pt>
                <c:pt idx="981">
                  <c:v>4195</c:v>
                </c:pt>
                <c:pt idx="982">
                  <c:v>4195</c:v>
                </c:pt>
                <c:pt idx="983">
                  <c:v>4195</c:v>
                </c:pt>
                <c:pt idx="984">
                  <c:v>4195</c:v>
                </c:pt>
                <c:pt idx="985">
                  <c:v>4195</c:v>
                </c:pt>
                <c:pt idx="986">
                  <c:v>4195</c:v>
                </c:pt>
                <c:pt idx="987">
                  <c:v>4195</c:v>
                </c:pt>
                <c:pt idx="988">
                  <c:v>4195</c:v>
                </c:pt>
                <c:pt idx="989">
                  <c:v>4195</c:v>
                </c:pt>
                <c:pt idx="990">
                  <c:v>4195</c:v>
                </c:pt>
                <c:pt idx="991">
                  <c:v>4195</c:v>
                </c:pt>
                <c:pt idx="992">
                  <c:v>4195</c:v>
                </c:pt>
                <c:pt idx="993">
                  <c:v>4195</c:v>
                </c:pt>
                <c:pt idx="994">
                  <c:v>4195</c:v>
                </c:pt>
                <c:pt idx="995">
                  <c:v>4195</c:v>
                </c:pt>
                <c:pt idx="996">
                  <c:v>4195</c:v>
                </c:pt>
                <c:pt idx="997">
                  <c:v>4195</c:v>
                </c:pt>
                <c:pt idx="998">
                  <c:v>4195</c:v>
                </c:pt>
                <c:pt idx="999">
                  <c:v>4195</c:v>
                </c:pt>
                <c:pt idx="1000">
                  <c:v>4195</c:v>
                </c:pt>
                <c:pt idx="1001">
                  <c:v>4195</c:v>
                </c:pt>
                <c:pt idx="1002">
                  <c:v>4195</c:v>
                </c:pt>
                <c:pt idx="1003">
                  <c:v>4195</c:v>
                </c:pt>
                <c:pt idx="1004">
                  <c:v>4195</c:v>
                </c:pt>
                <c:pt idx="1005">
                  <c:v>4195</c:v>
                </c:pt>
                <c:pt idx="1006">
                  <c:v>4195</c:v>
                </c:pt>
                <c:pt idx="1007">
                  <c:v>4195</c:v>
                </c:pt>
                <c:pt idx="1008">
                  <c:v>4195</c:v>
                </c:pt>
                <c:pt idx="1009">
                  <c:v>4195</c:v>
                </c:pt>
                <c:pt idx="1010">
                  <c:v>4195</c:v>
                </c:pt>
                <c:pt idx="1011">
                  <c:v>4195</c:v>
                </c:pt>
                <c:pt idx="1012">
                  <c:v>4195</c:v>
                </c:pt>
                <c:pt idx="1013">
                  <c:v>4195</c:v>
                </c:pt>
                <c:pt idx="1014">
                  <c:v>4195</c:v>
                </c:pt>
                <c:pt idx="1015">
                  <c:v>4195</c:v>
                </c:pt>
                <c:pt idx="1016">
                  <c:v>4195</c:v>
                </c:pt>
                <c:pt idx="1017">
                  <c:v>4195</c:v>
                </c:pt>
                <c:pt idx="1018">
                  <c:v>4195</c:v>
                </c:pt>
                <c:pt idx="1019">
                  <c:v>4195</c:v>
                </c:pt>
                <c:pt idx="1020">
                  <c:v>4195</c:v>
                </c:pt>
                <c:pt idx="1021">
                  <c:v>4195</c:v>
                </c:pt>
                <c:pt idx="1022">
                  <c:v>4195</c:v>
                </c:pt>
                <c:pt idx="1023">
                  <c:v>4195</c:v>
                </c:pt>
                <c:pt idx="1024">
                  <c:v>4195</c:v>
                </c:pt>
                <c:pt idx="1025">
                  <c:v>4195</c:v>
                </c:pt>
                <c:pt idx="1026">
                  <c:v>4195</c:v>
                </c:pt>
                <c:pt idx="1027">
                  <c:v>4195</c:v>
                </c:pt>
                <c:pt idx="1028">
                  <c:v>4195</c:v>
                </c:pt>
                <c:pt idx="1029">
                  <c:v>4195</c:v>
                </c:pt>
                <c:pt idx="1030">
                  <c:v>4195</c:v>
                </c:pt>
                <c:pt idx="1031">
                  <c:v>4195</c:v>
                </c:pt>
                <c:pt idx="1032">
                  <c:v>4195</c:v>
                </c:pt>
                <c:pt idx="1033">
                  <c:v>4195</c:v>
                </c:pt>
                <c:pt idx="1034">
                  <c:v>4195</c:v>
                </c:pt>
                <c:pt idx="1035">
                  <c:v>4195</c:v>
                </c:pt>
                <c:pt idx="1036">
                  <c:v>4195</c:v>
                </c:pt>
                <c:pt idx="1037">
                  <c:v>4195</c:v>
                </c:pt>
                <c:pt idx="1038">
                  <c:v>4195</c:v>
                </c:pt>
                <c:pt idx="1039">
                  <c:v>4195</c:v>
                </c:pt>
                <c:pt idx="1040">
                  <c:v>4195</c:v>
                </c:pt>
                <c:pt idx="1041">
                  <c:v>4195</c:v>
                </c:pt>
                <c:pt idx="1042">
                  <c:v>4195</c:v>
                </c:pt>
                <c:pt idx="1043">
                  <c:v>4195</c:v>
                </c:pt>
                <c:pt idx="1044">
                  <c:v>4195</c:v>
                </c:pt>
                <c:pt idx="1045">
                  <c:v>4195</c:v>
                </c:pt>
                <c:pt idx="1046">
                  <c:v>4195</c:v>
                </c:pt>
                <c:pt idx="1047">
                  <c:v>4195</c:v>
                </c:pt>
                <c:pt idx="1048">
                  <c:v>4195</c:v>
                </c:pt>
                <c:pt idx="1049">
                  <c:v>4195</c:v>
                </c:pt>
                <c:pt idx="1050">
                  <c:v>4195</c:v>
                </c:pt>
                <c:pt idx="1051">
                  <c:v>4195</c:v>
                </c:pt>
                <c:pt idx="1052">
                  <c:v>4195</c:v>
                </c:pt>
                <c:pt idx="1053">
                  <c:v>4195</c:v>
                </c:pt>
                <c:pt idx="1054">
                  <c:v>4195</c:v>
                </c:pt>
                <c:pt idx="1055">
                  <c:v>4195</c:v>
                </c:pt>
                <c:pt idx="1056">
                  <c:v>4195</c:v>
                </c:pt>
                <c:pt idx="1057">
                  <c:v>4195</c:v>
                </c:pt>
                <c:pt idx="1058">
                  <c:v>4195</c:v>
                </c:pt>
                <c:pt idx="1059">
                  <c:v>4195</c:v>
                </c:pt>
                <c:pt idx="1060">
                  <c:v>4195</c:v>
                </c:pt>
                <c:pt idx="1061">
                  <c:v>4195</c:v>
                </c:pt>
                <c:pt idx="1062">
                  <c:v>4195</c:v>
                </c:pt>
                <c:pt idx="1063">
                  <c:v>4195</c:v>
                </c:pt>
                <c:pt idx="1064">
                  <c:v>4195</c:v>
                </c:pt>
                <c:pt idx="1065">
                  <c:v>4195</c:v>
                </c:pt>
                <c:pt idx="1066">
                  <c:v>4195</c:v>
                </c:pt>
                <c:pt idx="1067">
                  <c:v>4195</c:v>
                </c:pt>
                <c:pt idx="1068">
                  <c:v>4195</c:v>
                </c:pt>
                <c:pt idx="1069">
                  <c:v>4195</c:v>
                </c:pt>
                <c:pt idx="1070">
                  <c:v>4195</c:v>
                </c:pt>
                <c:pt idx="1071">
                  <c:v>4195</c:v>
                </c:pt>
                <c:pt idx="1072">
                  <c:v>4195</c:v>
                </c:pt>
                <c:pt idx="1073">
                  <c:v>4195</c:v>
                </c:pt>
                <c:pt idx="1074">
                  <c:v>4195</c:v>
                </c:pt>
                <c:pt idx="1075">
                  <c:v>4195</c:v>
                </c:pt>
                <c:pt idx="1076">
                  <c:v>4195</c:v>
                </c:pt>
                <c:pt idx="1077">
                  <c:v>4195</c:v>
                </c:pt>
                <c:pt idx="1078">
                  <c:v>4195</c:v>
                </c:pt>
                <c:pt idx="1079">
                  <c:v>4195</c:v>
                </c:pt>
                <c:pt idx="1080">
                  <c:v>4195</c:v>
                </c:pt>
                <c:pt idx="1081">
                  <c:v>4195</c:v>
                </c:pt>
                <c:pt idx="1082">
                  <c:v>4195</c:v>
                </c:pt>
                <c:pt idx="1083">
                  <c:v>4195</c:v>
                </c:pt>
                <c:pt idx="1084">
                  <c:v>4195</c:v>
                </c:pt>
                <c:pt idx="1085">
                  <c:v>4195</c:v>
                </c:pt>
                <c:pt idx="1086">
                  <c:v>4195</c:v>
                </c:pt>
                <c:pt idx="1087">
                  <c:v>4195</c:v>
                </c:pt>
                <c:pt idx="1088">
                  <c:v>4195</c:v>
                </c:pt>
                <c:pt idx="1089">
                  <c:v>4195</c:v>
                </c:pt>
                <c:pt idx="1090">
                  <c:v>4195</c:v>
                </c:pt>
                <c:pt idx="1091">
                  <c:v>4195</c:v>
                </c:pt>
                <c:pt idx="1092">
                  <c:v>4195</c:v>
                </c:pt>
                <c:pt idx="1093">
                  <c:v>4195</c:v>
                </c:pt>
                <c:pt idx="1094">
                  <c:v>4195</c:v>
                </c:pt>
                <c:pt idx="1095">
                  <c:v>4195</c:v>
                </c:pt>
                <c:pt idx="1096">
                  <c:v>4195</c:v>
                </c:pt>
                <c:pt idx="1097">
                  <c:v>4195</c:v>
                </c:pt>
                <c:pt idx="1098">
                  <c:v>4195</c:v>
                </c:pt>
                <c:pt idx="1099">
                  <c:v>4195</c:v>
                </c:pt>
                <c:pt idx="1100">
                  <c:v>4195</c:v>
                </c:pt>
                <c:pt idx="1101">
                  <c:v>4195</c:v>
                </c:pt>
                <c:pt idx="1102">
                  <c:v>4195</c:v>
                </c:pt>
                <c:pt idx="1103">
                  <c:v>4195</c:v>
                </c:pt>
                <c:pt idx="1104">
                  <c:v>4195</c:v>
                </c:pt>
                <c:pt idx="1105">
                  <c:v>4195</c:v>
                </c:pt>
                <c:pt idx="1106">
                  <c:v>4195</c:v>
                </c:pt>
                <c:pt idx="1107">
                  <c:v>4195</c:v>
                </c:pt>
                <c:pt idx="1108">
                  <c:v>4195</c:v>
                </c:pt>
                <c:pt idx="1109">
                  <c:v>4195</c:v>
                </c:pt>
                <c:pt idx="1110">
                  <c:v>4195</c:v>
                </c:pt>
                <c:pt idx="1111">
                  <c:v>4195</c:v>
                </c:pt>
                <c:pt idx="1112">
                  <c:v>4195</c:v>
                </c:pt>
                <c:pt idx="1113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B-4398-A07C-8480D969FF4D}"/>
            </c:ext>
          </c:extLst>
        </c:ser>
        <c:ser>
          <c:idx val="2"/>
          <c:order val="3"/>
          <c:tx>
            <c:strRef>
              <c:f>Pages!$F$1</c:f>
              <c:strCache>
                <c:ptCount val="1"/>
                <c:pt idx="0">
                  <c:v>Cumulative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[0]!PagesCum2024All</c:f>
              <c:numCache>
                <c:formatCode>General</c:formatCode>
                <c:ptCount val="4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255</c:v>
                </c:pt>
                <c:pt idx="83">
                  <c:v>394</c:v>
                </c:pt>
                <c:pt idx="84">
                  <c:v>430</c:v>
                </c:pt>
                <c:pt idx="85">
                  <c:v>450</c:v>
                </c:pt>
                <c:pt idx="86">
                  <c:v>450</c:v>
                </c:pt>
                <c:pt idx="87">
                  <c:v>450</c:v>
                </c:pt>
                <c:pt idx="88">
                  <c:v>477</c:v>
                </c:pt>
                <c:pt idx="89">
                  <c:v>496</c:v>
                </c:pt>
                <c:pt idx="90">
                  <c:v>496</c:v>
                </c:pt>
                <c:pt idx="91">
                  <c:v>496</c:v>
                </c:pt>
                <c:pt idx="92">
                  <c:v>532</c:v>
                </c:pt>
                <c:pt idx="93">
                  <c:v>532</c:v>
                </c:pt>
                <c:pt idx="94">
                  <c:v>583</c:v>
                </c:pt>
                <c:pt idx="95">
                  <c:v>620</c:v>
                </c:pt>
                <c:pt idx="96">
                  <c:v>661</c:v>
                </c:pt>
                <c:pt idx="97">
                  <c:v>749</c:v>
                </c:pt>
                <c:pt idx="98">
                  <c:v>803</c:v>
                </c:pt>
                <c:pt idx="99">
                  <c:v>803</c:v>
                </c:pt>
                <c:pt idx="100">
                  <c:v>803</c:v>
                </c:pt>
                <c:pt idx="101">
                  <c:v>917</c:v>
                </c:pt>
                <c:pt idx="102">
                  <c:v>917</c:v>
                </c:pt>
                <c:pt idx="103">
                  <c:v>917</c:v>
                </c:pt>
                <c:pt idx="104">
                  <c:v>917</c:v>
                </c:pt>
                <c:pt idx="105">
                  <c:v>917</c:v>
                </c:pt>
                <c:pt idx="106">
                  <c:v>935</c:v>
                </c:pt>
                <c:pt idx="107">
                  <c:v>935</c:v>
                </c:pt>
                <c:pt idx="108">
                  <c:v>951</c:v>
                </c:pt>
                <c:pt idx="109">
                  <c:v>1023</c:v>
                </c:pt>
                <c:pt idx="110">
                  <c:v>1101</c:v>
                </c:pt>
                <c:pt idx="111">
                  <c:v>1319</c:v>
                </c:pt>
                <c:pt idx="112">
                  <c:v>1319</c:v>
                </c:pt>
                <c:pt idx="113">
                  <c:v>1319</c:v>
                </c:pt>
                <c:pt idx="114">
                  <c:v>1356</c:v>
                </c:pt>
                <c:pt idx="115">
                  <c:v>1356</c:v>
                </c:pt>
                <c:pt idx="116">
                  <c:v>1563</c:v>
                </c:pt>
                <c:pt idx="117">
                  <c:v>1563</c:v>
                </c:pt>
                <c:pt idx="118">
                  <c:v>1605</c:v>
                </c:pt>
                <c:pt idx="119">
                  <c:v>1605</c:v>
                </c:pt>
                <c:pt idx="120">
                  <c:v>1605</c:v>
                </c:pt>
                <c:pt idx="121">
                  <c:v>1605</c:v>
                </c:pt>
                <c:pt idx="122">
                  <c:v>1605</c:v>
                </c:pt>
                <c:pt idx="123">
                  <c:v>1638</c:v>
                </c:pt>
                <c:pt idx="124">
                  <c:v>1681</c:v>
                </c:pt>
                <c:pt idx="125">
                  <c:v>1746</c:v>
                </c:pt>
                <c:pt idx="126">
                  <c:v>1746</c:v>
                </c:pt>
                <c:pt idx="127">
                  <c:v>1746</c:v>
                </c:pt>
                <c:pt idx="128">
                  <c:v>1746</c:v>
                </c:pt>
                <c:pt idx="129">
                  <c:v>1746</c:v>
                </c:pt>
                <c:pt idx="130">
                  <c:v>1746</c:v>
                </c:pt>
                <c:pt idx="131">
                  <c:v>1746</c:v>
                </c:pt>
                <c:pt idx="132">
                  <c:v>1746</c:v>
                </c:pt>
                <c:pt idx="133">
                  <c:v>1746</c:v>
                </c:pt>
                <c:pt idx="134">
                  <c:v>1746</c:v>
                </c:pt>
                <c:pt idx="135">
                  <c:v>1746</c:v>
                </c:pt>
                <c:pt idx="136">
                  <c:v>1746</c:v>
                </c:pt>
                <c:pt idx="137">
                  <c:v>1746</c:v>
                </c:pt>
                <c:pt idx="138">
                  <c:v>1746</c:v>
                </c:pt>
                <c:pt idx="139">
                  <c:v>1746</c:v>
                </c:pt>
                <c:pt idx="140">
                  <c:v>1746</c:v>
                </c:pt>
                <c:pt idx="141">
                  <c:v>1746</c:v>
                </c:pt>
                <c:pt idx="142">
                  <c:v>1823</c:v>
                </c:pt>
                <c:pt idx="143">
                  <c:v>1823</c:v>
                </c:pt>
                <c:pt idx="144">
                  <c:v>1844</c:v>
                </c:pt>
                <c:pt idx="145">
                  <c:v>1844</c:v>
                </c:pt>
                <c:pt idx="146">
                  <c:v>1844</c:v>
                </c:pt>
                <c:pt idx="147">
                  <c:v>1844</c:v>
                </c:pt>
                <c:pt idx="148">
                  <c:v>1844</c:v>
                </c:pt>
                <c:pt idx="149">
                  <c:v>1844</c:v>
                </c:pt>
                <c:pt idx="150">
                  <c:v>1844</c:v>
                </c:pt>
                <c:pt idx="151">
                  <c:v>1844</c:v>
                </c:pt>
                <c:pt idx="152">
                  <c:v>1844</c:v>
                </c:pt>
                <c:pt idx="153">
                  <c:v>1844</c:v>
                </c:pt>
                <c:pt idx="154">
                  <c:v>1844</c:v>
                </c:pt>
                <c:pt idx="155">
                  <c:v>1844</c:v>
                </c:pt>
                <c:pt idx="156">
                  <c:v>1844</c:v>
                </c:pt>
                <c:pt idx="157">
                  <c:v>1844</c:v>
                </c:pt>
                <c:pt idx="158">
                  <c:v>1844</c:v>
                </c:pt>
                <c:pt idx="159">
                  <c:v>1844</c:v>
                </c:pt>
                <c:pt idx="160">
                  <c:v>1844</c:v>
                </c:pt>
                <c:pt idx="161">
                  <c:v>1844</c:v>
                </c:pt>
                <c:pt idx="162">
                  <c:v>1844</c:v>
                </c:pt>
                <c:pt idx="163">
                  <c:v>1844</c:v>
                </c:pt>
                <c:pt idx="164">
                  <c:v>1900</c:v>
                </c:pt>
                <c:pt idx="165">
                  <c:v>1900</c:v>
                </c:pt>
                <c:pt idx="166">
                  <c:v>1900</c:v>
                </c:pt>
                <c:pt idx="167">
                  <c:v>1949</c:v>
                </c:pt>
                <c:pt idx="168">
                  <c:v>1949</c:v>
                </c:pt>
                <c:pt idx="169">
                  <c:v>1949</c:v>
                </c:pt>
                <c:pt idx="170">
                  <c:v>1949</c:v>
                </c:pt>
                <c:pt idx="171">
                  <c:v>2024</c:v>
                </c:pt>
                <c:pt idx="172">
                  <c:v>2067</c:v>
                </c:pt>
                <c:pt idx="173">
                  <c:v>2067</c:v>
                </c:pt>
                <c:pt idx="174">
                  <c:v>2150</c:v>
                </c:pt>
                <c:pt idx="175">
                  <c:v>2150</c:v>
                </c:pt>
                <c:pt idx="176">
                  <c:v>2181</c:v>
                </c:pt>
                <c:pt idx="177">
                  <c:v>2206</c:v>
                </c:pt>
                <c:pt idx="178">
                  <c:v>2206</c:v>
                </c:pt>
                <c:pt idx="179">
                  <c:v>2206</c:v>
                </c:pt>
                <c:pt idx="180">
                  <c:v>2206</c:v>
                </c:pt>
                <c:pt idx="181">
                  <c:v>2238</c:v>
                </c:pt>
                <c:pt idx="182">
                  <c:v>2238</c:v>
                </c:pt>
                <c:pt idx="183">
                  <c:v>2238</c:v>
                </c:pt>
                <c:pt idx="184">
                  <c:v>2238</c:v>
                </c:pt>
                <c:pt idx="185">
                  <c:v>2238</c:v>
                </c:pt>
                <c:pt idx="186">
                  <c:v>2238</c:v>
                </c:pt>
                <c:pt idx="187">
                  <c:v>2238</c:v>
                </c:pt>
                <c:pt idx="188">
                  <c:v>2238</c:v>
                </c:pt>
                <c:pt idx="189">
                  <c:v>2274</c:v>
                </c:pt>
                <c:pt idx="190">
                  <c:v>2274</c:v>
                </c:pt>
                <c:pt idx="191">
                  <c:v>2274</c:v>
                </c:pt>
                <c:pt idx="192">
                  <c:v>2274</c:v>
                </c:pt>
                <c:pt idx="193">
                  <c:v>2386</c:v>
                </c:pt>
                <c:pt idx="194">
                  <c:v>2430</c:v>
                </c:pt>
                <c:pt idx="195">
                  <c:v>2467</c:v>
                </c:pt>
                <c:pt idx="196">
                  <c:v>2571</c:v>
                </c:pt>
                <c:pt idx="197">
                  <c:v>2650</c:v>
                </c:pt>
                <c:pt idx="198">
                  <c:v>2714</c:v>
                </c:pt>
                <c:pt idx="199">
                  <c:v>2778</c:v>
                </c:pt>
                <c:pt idx="200">
                  <c:v>2859</c:v>
                </c:pt>
                <c:pt idx="201">
                  <c:v>2913</c:v>
                </c:pt>
                <c:pt idx="202">
                  <c:v>2952</c:v>
                </c:pt>
                <c:pt idx="203">
                  <c:v>2952</c:v>
                </c:pt>
                <c:pt idx="204">
                  <c:v>2952</c:v>
                </c:pt>
                <c:pt idx="205">
                  <c:v>2952</c:v>
                </c:pt>
                <c:pt idx="206">
                  <c:v>2952</c:v>
                </c:pt>
                <c:pt idx="207">
                  <c:v>2996</c:v>
                </c:pt>
                <c:pt idx="208">
                  <c:v>3020</c:v>
                </c:pt>
                <c:pt idx="209">
                  <c:v>3021</c:v>
                </c:pt>
                <c:pt idx="210">
                  <c:v>3043</c:v>
                </c:pt>
                <c:pt idx="211">
                  <c:v>3043</c:v>
                </c:pt>
                <c:pt idx="212">
                  <c:v>3053</c:v>
                </c:pt>
                <c:pt idx="213">
                  <c:v>3053</c:v>
                </c:pt>
                <c:pt idx="214">
                  <c:v>3104</c:v>
                </c:pt>
                <c:pt idx="215">
                  <c:v>3224</c:v>
                </c:pt>
                <c:pt idx="216">
                  <c:v>3309</c:v>
                </c:pt>
                <c:pt idx="217">
                  <c:v>3519</c:v>
                </c:pt>
                <c:pt idx="218">
                  <c:v>3565</c:v>
                </c:pt>
                <c:pt idx="219">
                  <c:v>3648</c:v>
                </c:pt>
                <c:pt idx="220">
                  <c:v>3732</c:v>
                </c:pt>
                <c:pt idx="221">
                  <c:v>3872</c:v>
                </c:pt>
                <c:pt idx="222">
                  <c:v>3970</c:v>
                </c:pt>
                <c:pt idx="223">
                  <c:v>3997</c:v>
                </c:pt>
                <c:pt idx="224">
                  <c:v>3997</c:v>
                </c:pt>
                <c:pt idx="225">
                  <c:v>3998</c:v>
                </c:pt>
                <c:pt idx="226">
                  <c:v>3998</c:v>
                </c:pt>
                <c:pt idx="227">
                  <c:v>3998</c:v>
                </c:pt>
                <c:pt idx="228">
                  <c:v>3998</c:v>
                </c:pt>
                <c:pt idx="229">
                  <c:v>4001</c:v>
                </c:pt>
                <c:pt idx="230">
                  <c:v>4076</c:v>
                </c:pt>
                <c:pt idx="231">
                  <c:v>4076</c:v>
                </c:pt>
                <c:pt idx="232">
                  <c:v>4187</c:v>
                </c:pt>
                <c:pt idx="233">
                  <c:v>4187</c:v>
                </c:pt>
                <c:pt idx="234">
                  <c:v>4187</c:v>
                </c:pt>
                <c:pt idx="235">
                  <c:v>4187</c:v>
                </c:pt>
                <c:pt idx="236">
                  <c:v>4187</c:v>
                </c:pt>
                <c:pt idx="237">
                  <c:v>4188</c:v>
                </c:pt>
                <c:pt idx="238">
                  <c:v>4188</c:v>
                </c:pt>
                <c:pt idx="239">
                  <c:v>4188</c:v>
                </c:pt>
                <c:pt idx="240">
                  <c:v>4188</c:v>
                </c:pt>
                <c:pt idx="241">
                  <c:v>4188</c:v>
                </c:pt>
                <c:pt idx="242">
                  <c:v>4188</c:v>
                </c:pt>
                <c:pt idx="243">
                  <c:v>4188</c:v>
                </c:pt>
                <c:pt idx="244">
                  <c:v>4188</c:v>
                </c:pt>
                <c:pt idx="245">
                  <c:v>4188</c:v>
                </c:pt>
                <c:pt idx="246">
                  <c:v>4188</c:v>
                </c:pt>
                <c:pt idx="247">
                  <c:v>4188</c:v>
                </c:pt>
                <c:pt idx="248">
                  <c:v>4188</c:v>
                </c:pt>
                <c:pt idx="249">
                  <c:v>4189</c:v>
                </c:pt>
                <c:pt idx="250">
                  <c:v>4190</c:v>
                </c:pt>
                <c:pt idx="251">
                  <c:v>4190</c:v>
                </c:pt>
                <c:pt idx="252">
                  <c:v>4190</c:v>
                </c:pt>
                <c:pt idx="253">
                  <c:v>4190</c:v>
                </c:pt>
                <c:pt idx="254">
                  <c:v>4190</c:v>
                </c:pt>
                <c:pt idx="255">
                  <c:v>4190</c:v>
                </c:pt>
                <c:pt idx="256">
                  <c:v>4191</c:v>
                </c:pt>
                <c:pt idx="257">
                  <c:v>4192</c:v>
                </c:pt>
                <c:pt idx="258">
                  <c:v>4192</c:v>
                </c:pt>
                <c:pt idx="259">
                  <c:v>4192</c:v>
                </c:pt>
                <c:pt idx="260">
                  <c:v>4192</c:v>
                </c:pt>
                <c:pt idx="261">
                  <c:v>4192</c:v>
                </c:pt>
                <c:pt idx="262">
                  <c:v>4192</c:v>
                </c:pt>
                <c:pt idx="263">
                  <c:v>4192</c:v>
                </c:pt>
                <c:pt idx="264">
                  <c:v>4192</c:v>
                </c:pt>
                <c:pt idx="265">
                  <c:v>4192</c:v>
                </c:pt>
                <c:pt idx="266">
                  <c:v>4192</c:v>
                </c:pt>
                <c:pt idx="267">
                  <c:v>4192</c:v>
                </c:pt>
                <c:pt idx="268">
                  <c:v>4192</c:v>
                </c:pt>
                <c:pt idx="269">
                  <c:v>4192</c:v>
                </c:pt>
                <c:pt idx="270">
                  <c:v>4192</c:v>
                </c:pt>
                <c:pt idx="271">
                  <c:v>4196</c:v>
                </c:pt>
                <c:pt idx="272">
                  <c:v>4196</c:v>
                </c:pt>
                <c:pt idx="273">
                  <c:v>4196</c:v>
                </c:pt>
                <c:pt idx="274">
                  <c:v>4196</c:v>
                </c:pt>
                <c:pt idx="275">
                  <c:v>4196</c:v>
                </c:pt>
                <c:pt idx="276">
                  <c:v>4196</c:v>
                </c:pt>
                <c:pt idx="277">
                  <c:v>4196</c:v>
                </c:pt>
                <c:pt idx="278">
                  <c:v>4196</c:v>
                </c:pt>
                <c:pt idx="279">
                  <c:v>4196</c:v>
                </c:pt>
                <c:pt idx="280">
                  <c:v>4196</c:v>
                </c:pt>
                <c:pt idx="281">
                  <c:v>4196</c:v>
                </c:pt>
                <c:pt idx="282">
                  <c:v>4196</c:v>
                </c:pt>
                <c:pt idx="283">
                  <c:v>4196</c:v>
                </c:pt>
                <c:pt idx="284">
                  <c:v>4196</c:v>
                </c:pt>
                <c:pt idx="285">
                  <c:v>4200</c:v>
                </c:pt>
                <c:pt idx="286">
                  <c:v>4200</c:v>
                </c:pt>
                <c:pt idx="287">
                  <c:v>4200</c:v>
                </c:pt>
                <c:pt idx="288">
                  <c:v>4200</c:v>
                </c:pt>
                <c:pt idx="289">
                  <c:v>4200</c:v>
                </c:pt>
                <c:pt idx="290">
                  <c:v>4200</c:v>
                </c:pt>
                <c:pt idx="291">
                  <c:v>4205</c:v>
                </c:pt>
                <c:pt idx="292">
                  <c:v>4206</c:v>
                </c:pt>
                <c:pt idx="293">
                  <c:v>4206</c:v>
                </c:pt>
                <c:pt idx="294">
                  <c:v>4206</c:v>
                </c:pt>
                <c:pt idx="295">
                  <c:v>4206</c:v>
                </c:pt>
                <c:pt idx="296">
                  <c:v>4206</c:v>
                </c:pt>
                <c:pt idx="297">
                  <c:v>4206</c:v>
                </c:pt>
                <c:pt idx="298">
                  <c:v>4243</c:v>
                </c:pt>
                <c:pt idx="299">
                  <c:v>4243</c:v>
                </c:pt>
                <c:pt idx="300">
                  <c:v>4275</c:v>
                </c:pt>
                <c:pt idx="301">
                  <c:v>4275</c:v>
                </c:pt>
                <c:pt idx="302">
                  <c:v>4275</c:v>
                </c:pt>
                <c:pt idx="303">
                  <c:v>4275</c:v>
                </c:pt>
                <c:pt idx="304">
                  <c:v>4275</c:v>
                </c:pt>
                <c:pt idx="305">
                  <c:v>4321</c:v>
                </c:pt>
                <c:pt idx="306">
                  <c:v>4321</c:v>
                </c:pt>
                <c:pt idx="307">
                  <c:v>4321</c:v>
                </c:pt>
                <c:pt idx="308">
                  <c:v>4321</c:v>
                </c:pt>
                <c:pt idx="309">
                  <c:v>4321</c:v>
                </c:pt>
                <c:pt idx="310">
                  <c:v>4321</c:v>
                </c:pt>
                <c:pt idx="311">
                  <c:v>4321</c:v>
                </c:pt>
                <c:pt idx="312">
                  <c:v>4321</c:v>
                </c:pt>
                <c:pt idx="313">
                  <c:v>4321</c:v>
                </c:pt>
                <c:pt idx="314">
                  <c:v>4321</c:v>
                </c:pt>
                <c:pt idx="315">
                  <c:v>4321</c:v>
                </c:pt>
                <c:pt idx="316">
                  <c:v>4321</c:v>
                </c:pt>
                <c:pt idx="317">
                  <c:v>4321</c:v>
                </c:pt>
                <c:pt idx="318">
                  <c:v>4321</c:v>
                </c:pt>
                <c:pt idx="319">
                  <c:v>4356</c:v>
                </c:pt>
                <c:pt idx="320">
                  <c:v>4376</c:v>
                </c:pt>
                <c:pt idx="321">
                  <c:v>4435</c:v>
                </c:pt>
                <c:pt idx="322">
                  <c:v>4435</c:v>
                </c:pt>
                <c:pt idx="323">
                  <c:v>4435</c:v>
                </c:pt>
                <c:pt idx="324">
                  <c:v>4435</c:v>
                </c:pt>
                <c:pt idx="325">
                  <c:v>4562</c:v>
                </c:pt>
                <c:pt idx="326">
                  <c:v>4584</c:v>
                </c:pt>
                <c:pt idx="327">
                  <c:v>4654</c:v>
                </c:pt>
                <c:pt idx="328">
                  <c:v>4716</c:v>
                </c:pt>
                <c:pt idx="329">
                  <c:v>4723</c:v>
                </c:pt>
                <c:pt idx="330">
                  <c:v>4730</c:v>
                </c:pt>
                <c:pt idx="331">
                  <c:v>4731</c:v>
                </c:pt>
                <c:pt idx="332">
                  <c:v>4731</c:v>
                </c:pt>
                <c:pt idx="333">
                  <c:v>4731</c:v>
                </c:pt>
                <c:pt idx="334">
                  <c:v>4731</c:v>
                </c:pt>
                <c:pt idx="335">
                  <c:v>4731</c:v>
                </c:pt>
                <c:pt idx="336">
                  <c:v>4731</c:v>
                </c:pt>
                <c:pt idx="337">
                  <c:v>4731</c:v>
                </c:pt>
                <c:pt idx="338">
                  <c:v>4792</c:v>
                </c:pt>
                <c:pt idx="339">
                  <c:v>4800</c:v>
                </c:pt>
                <c:pt idx="340">
                  <c:v>4819</c:v>
                </c:pt>
                <c:pt idx="341">
                  <c:v>4871</c:v>
                </c:pt>
                <c:pt idx="342">
                  <c:v>4871</c:v>
                </c:pt>
                <c:pt idx="343">
                  <c:v>4871</c:v>
                </c:pt>
                <c:pt idx="344">
                  <c:v>4871</c:v>
                </c:pt>
                <c:pt idx="345">
                  <c:v>4871</c:v>
                </c:pt>
                <c:pt idx="346">
                  <c:v>4871</c:v>
                </c:pt>
                <c:pt idx="347">
                  <c:v>4931</c:v>
                </c:pt>
                <c:pt idx="348">
                  <c:v>4941</c:v>
                </c:pt>
                <c:pt idx="349">
                  <c:v>4989</c:v>
                </c:pt>
                <c:pt idx="350">
                  <c:v>4989</c:v>
                </c:pt>
                <c:pt idx="351">
                  <c:v>4989</c:v>
                </c:pt>
                <c:pt idx="352">
                  <c:v>4989</c:v>
                </c:pt>
                <c:pt idx="353">
                  <c:v>4989</c:v>
                </c:pt>
                <c:pt idx="354">
                  <c:v>4989</c:v>
                </c:pt>
                <c:pt idx="355">
                  <c:v>4989</c:v>
                </c:pt>
                <c:pt idx="356">
                  <c:v>5063</c:v>
                </c:pt>
                <c:pt idx="357">
                  <c:v>5211</c:v>
                </c:pt>
                <c:pt idx="358">
                  <c:v>5215</c:v>
                </c:pt>
                <c:pt idx="359">
                  <c:v>5239</c:v>
                </c:pt>
                <c:pt idx="360">
                  <c:v>5308</c:v>
                </c:pt>
                <c:pt idx="361">
                  <c:v>5325</c:v>
                </c:pt>
                <c:pt idx="362">
                  <c:v>5352</c:v>
                </c:pt>
                <c:pt idx="363">
                  <c:v>5403</c:v>
                </c:pt>
                <c:pt idx="364">
                  <c:v>5403</c:v>
                </c:pt>
                <c:pt idx="365">
                  <c:v>5440</c:v>
                </c:pt>
                <c:pt idx="366">
                  <c:v>5440</c:v>
                </c:pt>
                <c:pt idx="367">
                  <c:v>5518</c:v>
                </c:pt>
                <c:pt idx="368">
                  <c:v>5519</c:v>
                </c:pt>
                <c:pt idx="369">
                  <c:v>5519</c:v>
                </c:pt>
                <c:pt idx="370">
                  <c:v>5519</c:v>
                </c:pt>
                <c:pt idx="371">
                  <c:v>5519</c:v>
                </c:pt>
                <c:pt idx="372">
                  <c:v>5519</c:v>
                </c:pt>
                <c:pt idx="373">
                  <c:v>5519</c:v>
                </c:pt>
                <c:pt idx="374">
                  <c:v>5519</c:v>
                </c:pt>
                <c:pt idx="375">
                  <c:v>5519</c:v>
                </c:pt>
                <c:pt idx="376">
                  <c:v>5519</c:v>
                </c:pt>
                <c:pt idx="377">
                  <c:v>5519</c:v>
                </c:pt>
                <c:pt idx="378">
                  <c:v>5519</c:v>
                </c:pt>
                <c:pt idx="379">
                  <c:v>5519</c:v>
                </c:pt>
                <c:pt idx="380">
                  <c:v>5519</c:v>
                </c:pt>
                <c:pt idx="381">
                  <c:v>5519</c:v>
                </c:pt>
                <c:pt idx="382">
                  <c:v>5519</c:v>
                </c:pt>
                <c:pt idx="383">
                  <c:v>5519</c:v>
                </c:pt>
                <c:pt idx="384">
                  <c:v>5519</c:v>
                </c:pt>
                <c:pt idx="385">
                  <c:v>5519</c:v>
                </c:pt>
                <c:pt idx="386">
                  <c:v>5519</c:v>
                </c:pt>
                <c:pt idx="387">
                  <c:v>5519</c:v>
                </c:pt>
                <c:pt idx="388">
                  <c:v>5519</c:v>
                </c:pt>
                <c:pt idx="389">
                  <c:v>5540</c:v>
                </c:pt>
                <c:pt idx="390">
                  <c:v>5550</c:v>
                </c:pt>
                <c:pt idx="391">
                  <c:v>5592</c:v>
                </c:pt>
                <c:pt idx="392">
                  <c:v>5592</c:v>
                </c:pt>
                <c:pt idx="393">
                  <c:v>5688</c:v>
                </c:pt>
                <c:pt idx="394">
                  <c:v>5781</c:v>
                </c:pt>
                <c:pt idx="395">
                  <c:v>5793</c:v>
                </c:pt>
                <c:pt idx="396">
                  <c:v>5793</c:v>
                </c:pt>
                <c:pt idx="397">
                  <c:v>5793</c:v>
                </c:pt>
                <c:pt idx="398">
                  <c:v>5800</c:v>
                </c:pt>
                <c:pt idx="399">
                  <c:v>5800</c:v>
                </c:pt>
                <c:pt idx="400">
                  <c:v>5800</c:v>
                </c:pt>
                <c:pt idx="401">
                  <c:v>5800</c:v>
                </c:pt>
                <c:pt idx="402">
                  <c:v>5800</c:v>
                </c:pt>
                <c:pt idx="403">
                  <c:v>5800</c:v>
                </c:pt>
                <c:pt idx="404">
                  <c:v>5800</c:v>
                </c:pt>
                <c:pt idx="405">
                  <c:v>5800</c:v>
                </c:pt>
                <c:pt idx="406">
                  <c:v>5800</c:v>
                </c:pt>
                <c:pt idx="407">
                  <c:v>5800</c:v>
                </c:pt>
                <c:pt idx="408">
                  <c:v>5800</c:v>
                </c:pt>
                <c:pt idx="409">
                  <c:v>5800</c:v>
                </c:pt>
                <c:pt idx="410">
                  <c:v>5800</c:v>
                </c:pt>
                <c:pt idx="411">
                  <c:v>5800</c:v>
                </c:pt>
                <c:pt idx="412">
                  <c:v>5800</c:v>
                </c:pt>
                <c:pt idx="413">
                  <c:v>5800</c:v>
                </c:pt>
                <c:pt idx="414">
                  <c:v>5800</c:v>
                </c:pt>
                <c:pt idx="415">
                  <c:v>5800</c:v>
                </c:pt>
                <c:pt idx="416">
                  <c:v>5800</c:v>
                </c:pt>
                <c:pt idx="417">
                  <c:v>5800</c:v>
                </c:pt>
                <c:pt idx="418">
                  <c:v>5800</c:v>
                </c:pt>
                <c:pt idx="419">
                  <c:v>5800</c:v>
                </c:pt>
                <c:pt idx="420">
                  <c:v>5800</c:v>
                </c:pt>
                <c:pt idx="421">
                  <c:v>5800</c:v>
                </c:pt>
                <c:pt idx="422">
                  <c:v>5800</c:v>
                </c:pt>
                <c:pt idx="423">
                  <c:v>5800</c:v>
                </c:pt>
                <c:pt idx="424">
                  <c:v>5800</c:v>
                </c:pt>
                <c:pt idx="425">
                  <c:v>5800</c:v>
                </c:pt>
                <c:pt idx="426">
                  <c:v>5800</c:v>
                </c:pt>
                <c:pt idx="427">
                  <c:v>5800</c:v>
                </c:pt>
                <c:pt idx="428">
                  <c:v>5800</c:v>
                </c:pt>
                <c:pt idx="429">
                  <c:v>5800</c:v>
                </c:pt>
                <c:pt idx="430">
                  <c:v>5800</c:v>
                </c:pt>
                <c:pt idx="431">
                  <c:v>5800</c:v>
                </c:pt>
                <c:pt idx="432">
                  <c:v>5800</c:v>
                </c:pt>
                <c:pt idx="433">
                  <c:v>5800</c:v>
                </c:pt>
                <c:pt idx="434">
                  <c:v>5800</c:v>
                </c:pt>
                <c:pt idx="435">
                  <c:v>5800</c:v>
                </c:pt>
                <c:pt idx="436">
                  <c:v>5800</c:v>
                </c:pt>
                <c:pt idx="437">
                  <c:v>5800</c:v>
                </c:pt>
                <c:pt idx="438">
                  <c:v>5800</c:v>
                </c:pt>
                <c:pt idx="439">
                  <c:v>5800</c:v>
                </c:pt>
                <c:pt idx="440">
                  <c:v>5831</c:v>
                </c:pt>
                <c:pt idx="441">
                  <c:v>5831</c:v>
                </c:pt>
                <c:pt idx="442">
                  <c:v>5831</c:v>
                </c:pt>
                <c:pt idx="443">
                  <c:v>5831</c:v>
                </c:pt>
                <c:pt idx="444">
                  <c:v>5831</c:v>
                </c:pt>
                <c:pt idx="445">
                  <c:v>5831</c:v>
                </c:pt>
                <c:pt idx="446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E5-4018-88DA-878B98C31113}"/>
            </c:ext>
          </c:extLst>
        </c:ser>
        <c:ser>
          <c:idx val="6"/>
          <c:order val="4"/>
          <c:tx>
            <c:strRef>
              <c:f>Pages!$G$1</c:f>
              <c:strCache>
                <c:ptCount val="1"/>
                <c:pt idx="0">
                  <c:v>Max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[0]!PagesMax2024</c:f>
              <c:numCache>
                <c:formatCode>General</c:formatCode>
                <c:ptCount val="1114"/>
                <c:pt idx="0">
                  <c:v>5831</c:v>
                </c:pt>
                <c:pt idx="1">
                  <c:v>5831</c:v>
                </c:pt>
                <c:pt idx="2">
                  <c:v>5831</c:v>
                </c:pt>
                <c:pt idx="3">
                  <c:v>5831</c:v>
                </c:pt>
                <c:pt idx="4">
                  <c:v>5831</c:v>
                </c:pt>
                <c:pt idx="5">
                  <c:v>5831</c:v>
                </c:pt>
                <c:pt idx="6">
                  <c:v>5831</c:v>
                </c:pt>
                <c:pt idx="7">
                  <c:v>5831</c:v>
                </c:pt>
                <c:pt idx="8">
                  <c:v>5831</c:v>
                </c:pt>
                <c:pt idx="9">
                  <c:v>5831</c:v>
                </c:pt>
                <c:pt idx="10">
                  <c:v>5831</c:v>
                </c:pt>
                <c:pt idx="11">
                  <c:v>5831</c:v>
                </c:pt>
                <c:pt idx="12">
                  <c:v>5831</c:v>
                </c:pt>
                <c:pt idx="13">
                  <c:v>5831</c:v>
                </c:pt>
                <c:pt idx="14">
                  <c:v>5831</c:v>
                </c:pt>
                <c:pt idx="15">
                  <c:v>5831</c:v>
                </c:pt>
                <c:pt idx="16">
                  <c:v>5831</c:v>
                </c:pt>
                <c:pt idx="17">
                  <c:v>5831</c:v>
                </c:pt>
                <c:pt idx="18">
                  <c:v>5831</c:v>
                </c:pt>
                <c:pt idx="19">
                  <c:v>5831</c:v>
                </c:pt>
                <c:pt idx="20">
                  <c:v>5831</c:v>
                </c:pt>
                <c:pt idx="21">
                  <c:v>5831</c:v>
                </c:pt>
                <c:pt idx="22">
                  <c:v>5831</c:v>
                </c:pt>
                <c:pt idx="23">
                  <c:v>5831</c:v>
                </c:pt>
                <c:pt idx="24">
                  <c:v>5831</c:v>
                </c:pt>
                <c:pt idx="25">
                  <c:v>5831</c:v>
                </c:pt>
                <c:pt idx="26">
                  <c:v>5831</c:v>
                </c:pt>
                <c:pt idx="27">
                  <c:v>5831</c:v>
                </c:pt>
                <c:pt idx="28">
                  <c:v>5831</c:v>
                </c:pt>
                <c:pt idx="29">
                  <c:v>5831</c:v>
                </c:pt>
                <c:pt idx="30">
                  <c:v>5831</c:v>
                </c:pt>
                <c:pt idx="31">
                  <c:v>5831</c:v>
                </c:pt>
                <c:pt idx="32">
                  <c:v>5831</c:v>
                </c:pt>
                <c:pt idx="33">
                  <c:v>5831</c:v>
                </c:pt>
                <c:pt idx="34">
                  <c:v>5831</c:v>
                </c:pt>
                <c:pt idx="35">
                  <c:v>5831</c:v>
                </c:pt>
                <c:pt idx="36">
                  <c:v>5831</c:v>
                </c:pt>
                <c:pt idx="37">
                  <c:v>5831</c:v>
                </c:pt>
                <c:pt idx="38">
                  <c:v>5831</c:v>
                </c:pt>
                <c:pt idx="39">
                  <c:v>5831</c:v>
                </c:pt>
                <c:pt idx="40">
                  <c:v>5831</c:v>
                </c:pt>
                <c:pt idx="41">
                  <c:v>5831</c:v>
                </c:pt>
                <c:pt idx="42">
                  <c:v>5831</c:v>
                </c:pt>
                <c:pt idx="43">
                  <c:v>5831</c:v>
                </c:pt>
                <c:pt idx="44">
                  <c:v>5831</c:v>
                </c:pt>
                <c:pt idx="45">
                  <c:v>5831</c:v>
                </c:pt>
                <c:pt idx="46">
                  <c:v>5831</c:v>
                </c:pt>
                <c:pt idx="47">
                  <c:v>5831</c:v>
                </c:pt>
                <c:pt idx="48">
                  <c:v>5831</c:v>
                </c:pt>
                <c:pt idx="49">
                  <c:v>5831</c:v>
                </c:pt>
                <c:pt idx="50">
                  <c:v>5831</c:v>
                </c:pt>
                <c:pt idx="51">
                  <c:v>5831</c:v>
                </c:pt>
                <c:pt idx="52">
                  <c:v>5831</c:v>
                </c:pt>
                <c:pt idx="53">
                  <c:v>5831</c:v>
                </c:pt>
                <c:pt idx="54">
                  <c:v>5831</c:v>
                </c:pt>
                <c:pt idx="55">
                  <c:v>5831</c:v>
                </c:pt>
                <c:pt idx="56">
                  <c:v>5831</c:v>
                </c:pt>
                <c:pt idx="57">
                  <c:v>5831</c:v>
                </c:pt>
                <c:pt idx="58">
                  <c:v>5831</c:v>
                </c:pt>
                <c:pt idx="59">
                  <c:v>5831</c:v>
                </c:pt>
                <c:pt idx="60">
                  <c:v>5831</c:v>
                </c:pt>
                <c:pt idx="61">
                  <c:v>5831</c:v>
                </c:pt>
                <c:pt idx="62">
                  <c:v>5831</c:v>
                </c:pt>
                <c:pt idx="63">
                  <c:v>5831</c:v>
                </c:pt>
                <c:pt idx="64">
                  <c:v>5831</c:v>
                </c:pt>
                <c:pt idx="65">
                  <c:v>5831</c:v>
                </c:pt>
                <c:pt idx="66">
                  <c:v>5831</c:v>
                </c:pt>
                <c:pt idx="67">
                  <c:v>5831</c:v>
                </c:pt>
                <c:pt idx="68">
                  <c:v>5831</c:v>
                </c:pt>
                <c:pt idx="69">
                  <c:v>5831</c:v>
                </c:pt>
                <c:pt idx="70">
                  <c:v>5831</c:v>
                </c:pt>
                <c:pt idx="71">
                  <c:v>5831</c:v>
                </c:pt>
                <c:pt idx="72">
                  <c:v>5831</c:v>
                </c:pt>
                <c:pt idx="73">
                  <c:v>5831</c:v>
                </c:pt>
                <c:pt idx="74">
                  <c:v>5831</c:v>
                </c:pt>
                <c:pt idx="75">
                  <c:v>5831</c:v>
                </c:pt>
                <c:pt idx="76">
                  <c:v>5831</c:v>
                </c:pt>
                <c:pt idx="77">
                  <c:v>5831</c:v>
                </c:pt>
                <c:pt idx="78">
                  <c:v>5831</c:v>
                </c:pt>
                <c:pt idx="79">
                  <c:v>5831</c:v>
                </c:pt>
                <c:pt idx="80">
                  <c:v>5831</c:v>
                </c:pt>
                <c:pt idx="81">
                  <c:v>5831</c:v>
                </c:pt>
                <c:pt idx="82">
                  <c:v>5831</c:v>
                </c:pt>
                <c:pt idx="83">
                  <c:v>5831</c:v>
                </c:pt>
                <c:pt idx="84">
                  <c:v>5831</c:v>
                </c:pt>
                <c:pt idx="85">
                  <c:v>5831</c:v>
                </c:pt>
                <c:pt idx="86">
                  <c:v>5831</c:v>
                </c:pt>
                <c:pt idx="87">
                  <c:v>5831</c:v>
                </c:pt>
                <c:pt idx="88">
                  <c:v>5831</c:v>
                </c:pt>
                <c:pt idx="89">
                  <c:v>5831</c:v>
                </c:pt>
                <c:pt idx="90">
                  <c:v>5831</c:v>
                </c:pt>
                <c:pt idx="91">
                  <c:v>5831</c:v>
                </c:pt>
                <c:pt idx="92">
                  <c:v>5831</c:v>
                </c:pt>
                <c:pt idx="93">
                  <c:v>5831</c:v>
                </c:pt>
                <c:pt idx="94">
                  <c:v>5831</c:v>
                </c:pt>
                <c:pt idx="95">
                  <c:v>5831</c:v>
                </c:pt>
                <c:pt idx="96">
                  <c:v>5831</c:v>
                </c:pt>
                <c:pt idx="97">
                  <c:v>5831</c:v>
                </c:pt>
                <c:pt idx="98">
                  <c:v>5831</c:v>
                </c:pt>
                <c:pt idx="99">
                  <c:v>5831</c:v>
                </c:pt>
                <c:pt idx="100">
                  <c:v>5831</c:v>
                </c:pt>
                <c:pt idx="101">
                  <c:v>5831</c:v>
                </c:pt>
                <c:pt idx="102">
                  <c:v>5831</c:v>
                </c:pt>
                <c:pt idx="103">
                  <c:v>5831</c:v>
                </c:pt>
                <c:pt idx="104">
                  <c:v>5831</c:v>
                </c:pt>
                <c:pt idx="105">
                  <c:v>5831</c:v>
                </c:pt>
                <c:pt idx="106">
                  <c:v>5831</c:v>
                </c:pt>
                <c:pt idx="107">
                  <c:v>5831</c:v>
                </c:pt>
                <c:pt idx="108">
                  <c:v>5831</c:v>
                </c:pt>
                <c:pt idx="109">
                  <c:v>5831</c:v>
                </c:pt>
                <c:pt idx="110">
                  <c:v>5831</c:v>
                </c:pt>
                <c:pt idx="111">
                  <c:v>5831</c:v>
                </c:pt>
                <c:pt idx="112">
                  <c:v>5831</c:v>
                </c:pt>
                <c:pt idx="113">
                  <c:v>5831</c:v>
                </c:pt>
                <c:pt idx="114">
                  <c:v>5831</c:v>
                </c:pt>
                <c:pt idx="115">
                  <c:v>5831</c:v>
                </c:pt>
                <c:pt idx="116">
                  <c:v>5831</c:v>
                </c:pt>
                <c:pt idx="117">
                  <c:v>5831</c:v>
                </c:pt>
                <c:pt idx="118">
                  <c:v>5831</c:v>
                </c:pt>
                <c:pt idx="119">
                  <c:v>5831</c:v>
                </c:pt>
                <c:pt idx="120">
                  <c:v>5831</c:v>
                </c:pt>
                <c:pt idx="121">
                  <c:v>5831</c:v>
                </c:pt>
                <c:pt idx="122">
                  <c:v>5831</c:v>
                </c:pt>
                <c:pt idx="123">
                  <c:v>5831</c:v>
                </c:pt>
                <c:pt idx="124">
                  <c:v>5831</c:v>
                </c:pt>
                <c:pt idx="125">
                  <c:v>5831</c:v>
                </c:pt>
                <c:pt idx="126">
                  <c:v>5831</c:v>
                </c:pt>
                <c:pt idx="127">
                  <c:v>5831</c:v>
                </c:pt>
                <c:pt idx="128">
                  <c:v>5831</c:v>
                </c:pt>
                <c:pt idx="129">
                  <c:v>5831</c:v>
                </c:pt>
                <c:pt idx="130">
                  <c:v>5831</c:v>
                </c:pt>
                <c:pt idx="131">
                  <c:v>5831</c:v>
                </c:pt>
                <c:pt idx="132">
                  <c:v>5831</c:v>
                </c:pt>
                <c:pt idx="133">
                  <c:v>5831</c:v>
                </c:pt>
                <c:pt idx="134">
                  <c:v>5831</c:v>
                </c:pt>
                <c:pt idx="135">
                  <c:v>5831</c:v>
                </c:pt>
                <c:pt idx="136">
                  <c:v>5831</c:v>
                </c:pt>
                <c:pt idx="137">
                  <c:v>5831</c:v>
                </c:pt>
                <c:pt idx="138">
                  <c:v>5831</c:v>
                </c:pt>
                <c:pt idx="139">
                  <c:v>5831</c:v>
                </c:pt>
                <c:pt idx="140">
                  <c:v>5831</c:v>
                </c:pt>
                <c:pt idx="141">
                  <c:v>5831</c:v>
                </c:pt>
                <c:pt idx="142">
                  <c:v>5831</c:v>
                </c:pt>
                <c:pt idx="143">
                  <c:v>5831</c:v>
                </c:pt>
                <c:pt idx="144">
                  <c:v>5831</c:v>
                </c:pt>
                <c:pt idx="145">
                  <c:v>5831</c:v>
                </c:pt>
                <c:pt idx="146">
                  <c:v>5831</c:v>
                </c:pt>
                <c:pt idx="147">
                  <c:v>5831</c:v>
                </c:pt>
                <c:pt idx="148">
                  <c:v>5831</c:v>
                </c:pt>
                <c:pt idx="149">
                  <c:v>5831</c:v>
                </c:pt>
                <c:pt idx="150">
                  <c:v>5831</c:v>
                </c:pt>
                <c:pt idx="151">
                  <c:v>5831</c:v>
                </c:pt>
                <c:pt idx="152">
                  <c:v>5831</c:v>
                </c:pt>
                <c:pt idx="153">
                  <c:v>5831</c:v>
                </c:pt>
                <c:pt idx="154">
                  <c:v>5831</c:v>
                </c:pt>
                <c:pt idx="155">
                  <c:v>5831</c:v>
                </c:pt>
                <c:pt idx="156">
                  <c:v>5831</c:v>
                </c:pt>
                <c:pt idx="157">
                  <c:v>5831</c:v>
                </c:pt>
                <c:pt idx="158">
                  <c:v>5831</c:v>
                </c:pt>
                <c:pt idx="159">
                  <c:v>5831</c:v>
                </c:pt>
                <c:pt idx="160">
                  <c:v>5831</c:v>
                </c:pt>
                <c:pt idx="161">
                  <c:v>5831</c:v>
                </c:pt>
                <c:pt idx="162">
                  <c:v>5831</c:v>
                </c:pt>
                <c:pt idx="163">
                  <c:v>5831</c:v>
                </c:pt>
                <c:pt idx="164">
                  <c:v>5831</c:v>
                </c:pt>
                <c:pt idx="165">
                  <c:v>5831</c:v>
                </c:pt>
                <c:pt idx="166">
                  <c:v>5831</c:v>
                </c:pt>
                <c:pt idx="167">
                  <c:v>5831</c:v>
                </c:pt>
                <c:pt idx="168">
                  <c:v>5831</c:v>
                </c:pt>
                <c:pt idx="169">
                  <c:v>5831</c:v>
                </c:pt>
                <c:pt idx="170">
                  <c:v>5831</c:v>
                </c:pt>
                <c:pt idx="171">
                  <c:v>5831</c:v>
                </c:pt>
                <c:pt idx="172">
                  <c:v>5831</c:v>
                </c:pt>
                <c:pt idx="173">
                  <c:v>5831</c:v>
                </c:pt>
                <c:pt idx="174">
                  <c:v>5831</c:v>
                </c:pt>
                <c:pt idx="175">
                  <c:v>5831</c:v>
                </c:pt>
                <c:pt idx="176">
                  <c:v>5831</c:v>
                </c:pt>
                <c:pt idx="177">
                  <c:v>5831</c:v>
                </c:pt>
                <c:pt idx="178">
                  <c:v>5831</c:v>
                </c:pt>
                <c:pt idx="179">
                  <c:v>5831</c:v>
                </c:pt>
                <c:pt idx="180">
                  <c:v>5831</c:v>
                </c:pt>
                <c:pt idx="181">
                  <c:v>5831</c:v>
                </c:pt>
                <c:pt idx="182">
                  <c:v>5831</c:v>
                </c:pt>
                <c:pt idx="183">
                  <c:v>5831</c:v>
                </c:pt>
                <c:pt idx="184">
                  <c:v>5831</c:v>
                </c:pt>
                <c:pt idx="185">
                  <c:v>5831</c:v>
                </c:pt>
                <c:pt idx="186">
                  <c:v>5831</c:v>
                </c:pt>
                <c:pt idx="187">
                  <c:v>5831</c:v>
                </c:pt>
                <c:pt idx="188">
                  <c:v>5831</c:v>
                </c:pt>
                <c:pt idx="189">
                  <c:v>5831</c:v>
                </c:pt>
                <c:pt idx="190">
                  <c:v>5831</c:v>
                </c:pt>
                <c:pt idx="191">
                  <c:v>5831</c:v>
                </c:pt>
                <c:pt idx="192">
                  <c:v>5831</c:v>
                </c:pt>
                <c:pt idx="193">
                  <c:v>5831</c:v>
                </c:pt>
                <c:pt idx="194">
                  <c:v>5831</c:v>
                </c:pt>
                <c:pt idx="195">
                  <c:v>5831</c:v>
                </c:pt>
                <c:pt idx="196">
                  <c:v>5831</c:v>
                </c:pt>
                <c:pt idx="197">
                  <c:v>5831</c:v>
                </c:pt>
                <c:pt idx="198">
                  <c:v>5831</c:v>
                </c:pt>
                <c:pt idx="199">
                  <c:v>5831</c:v>
                </c:pt>
                <c:pt idx="200">
                  <c:v>5831</c:v>
                </c:pt>
                <c:pt idx="201">
                  <c:v>5831</c:v>
                </c:pt>
                <c:pt idx="202">
                  <c:v>5831</c:v>
                </c:pt>
                <c:pt idx="203">
                  <c:v>5831</c:v>
                </c:pt>
                <c:pt idx="204">
                  <c:v>5831</c:v>
                </c:pt>
                <c:pt idx="205">
                  <c:v>5831</c:v>
                </c:pt>
                <c:pt idx="206">
                  <c:v>5831</c:v>
                </c:pt>
                <c:pt idx="207">
                  <c:v>5831</c:v>
                </c:pt>
                <c:pt idx="208">
                  <c:v>5831</c:v>
                </c:pt>
                <c:pt idx="209">
                  <c:v>5831</c:v>
                </c:pt>
                <c:pt idx="210">
                  <c:v>5831</c:v>
                </c:pt>
                <c:pt idx="211">
                  <c:v>5831</c:v>
                </c:pt>
                <c:pt idx="212">
                  <c:v>5831</c:v>
                </c:pt>
                <c:pt idx="213">
                  <c:v>5831</c:v>
                </c:pt>
                <c:pt idx="214">
                  <c:v>5831</c:v>
                </c:pt>
                <c:pt idx="215">
                  <c:v>5831</c:v>
                </c:pt>
                <c:pt idx="216">
                  <c:v>5831</c:v>
                </c:pt>
                <c:pt idx="217">
                  <c:v>5831</c:v>
                </c:pt>
                <c:pt idx="218">
                  <c:v>5831</c:v>
                </c:pt>
                <c:pt idx="219">
                  <c:v>5831</c:v>
                </c:pt>
                <c:pt idx="220">
                  <c:v>5831</c:v>
                </c:pt>
                <c:pt idx="221">
                  <c:v>5831</c:v>
                </c:pt>
                <c:pt idx="222">
                  <c:v>5831</c:v>
                </c:pt>
                <c:pt idx="223">
                  <c:v>5831</c:v>
                </c:pt>
                <c:pt idx="224">
                  <c:v>5831</c:v>
                </c:pt>
                <c:pt idx="225">
                  <c:v>5831</c:v>
                </c:pt>
                <c:pt idx="226">
                  <c:v>5831</c:v>
                </c:pt>
                <c:pt idx="227">
                  <c:v>5831</c:v>
                </c:pt>
                <c:pt idx="228">
                  <c:v>5831</c:v>
                </c:pt>
                <c:pt idx="229">
                  <c:v>5831</c:v>
                </c:pt>
                <c:pt idx="230">
                  <c:v>5831</c:v>
                </c:pt>
                <c:pt idx="231">
                  <c:v>5831</c:v>
                </c:pt>
                <c:pt idx="232">
                  <c:v>5831</c:v>
                </c:pt>
                <c:pt idx="233">
                  <c:v>5831</c:v>
                </c:pt>
                <c:pt idx="234">
                  <c:v>5831</c:v>
                </c:pt>
                <c:pt idx="235">
                  <c:v>5831</c:v>
                </c:pt>
                <c:pt idx="236">
                  <c:v>5831</c:v>
                </c:pt>
                <c:pt idx="237">
                  <c:v>5831</c:v>
                </c:pt>
                <c:pt idx="238">
                  <c:v>5831</c:v>
                </c:pt>
                <c:pt idx="239">
                  <c:v>5831</c:v>
                </c:pt>
                <c:pt idx="240">
                  <c:v>5831</c:v>
                </c:pt>
                <c:pt idx="241">
                  <c:v>5831</c:v>
                </c:pt>
                <c:pt idx="242">
                  <c:v>5831</c:v>
                </c:pt>
                <c:pt idx="243">
                  <c:v>5831</c:v>
                </c:pt>
                <c:pt idx="244">
                  <c:v>5831</c:v>
                </c:pt>
                <c:pt idx="245">
                  <c:v>5831</c:v>
                </c:pt>
                <c:pt idx="246">
                  <c:v>5831</c:v>
                </c:pt>
                <c:pt idx="247">
                  <c:v>5831</c:v>
                </c:pt>
                <c:pt idx="248">
                  <c:v>5831</c:v>
                </c:pt>
                <c:pt idx="249">
                  <c:v>5831</c:v>
                </c:pt>
                <c:pt idx="250">
                  <c:v>5831</c:v>
                </c:pt>
                <c:pt idx="251">
                  <c:v>5831</c:v>
                </c:pt>
                <c:pt idx="252">
                  <c:v>5831</c:v>
                </c:pt>
                <c:pt idx="253">
                  <c:v>5831</c:v>
                </c:pt>
                <c:pt idx="254">
                  <c:v>5831</c:v>
                </c:pt>
                <c:pt idx="255">
                  <c:v>5831</c:v>
                </c:pt>
                <c:pt idx="256">
                  <c:v>5831</c:v>
                </c:pt>
                <c:pt idx="257">
                  <c:v>5831</c:v>
                </c:pt>
                <c:pt idx="258">
                  <c:v>5831</c:v>
                </c:pt>
                <c:pt idx="259">
                  <c:v>5831</c:v>
                </c:pt>
                <c:pt idx="260">
                  <c:v>5831</c:v>
                </c:pt>
                <c:pt idx="261">
                  <c:v>5831</c:v>
                </c:pt>
                <c:pt idx="262">
                  <c:v>5831</c:v>
                </c:pt>
                <c:pt idx="263">
                  <c:v>5831</c:v>
                </c:pt>
                <c:pt idx="264">
                  <c:v>5831</c:v>
                </c:pt>
                <c:pt idx="265">
                  <c:v>5831</c:v>
                </c:pt>
                <c:pt idx="266">
                  <c:v>5831</c:v>
                </c:pt>
                <c:pt idx="267">
                  <c:v>5831</c:v>
                </c:pt>
                <c:pt idx="268">
                  <c:v>5831</c:v>
                </c:pt>
                <c:pt idx="269">
                  <c:v>5831</c:v>
                </c:pt>
                <c:pt idx="270">
                  <c:v>5831</c:v>
                </c:pt>
                <c:pt idx="271">
                  <c:v>5831</c:v>
                </c:pt>
                <c:pt idx="272">
                  <c:v>5831</c:v>
                </c:pt>
                <c:pt idx="273">
                  <c:v>5831</c:v>
                </c:pt>
                <c:pt idx="274">
                  <c:v>5831</c:v>
                </c:pt>
                <c:pt idx="275">
                  <c:v>5831</c:v>
                </c:pt>
                <c:pt idx="276">
                  <c:v>5831</c:v>
                </c:pt>
                <c:pt idx="277">
                  <c:v>5831</c:v>
                </c:pt>
                <c:pt idx="278">
                  <c:v>5831</c:v>
                </c:pt>
                <c:pt idx="279">
                  <c:v>5831</c:v>
                </c:pt>
                <c:pt idx="280">
                  <c:v>5831</c:v>
                </c:pt>
                <c:pt idx="281">
                  <c:v>5831</c:v>
                </c:pt>
                <c:pt idx="282">
                  <c:v>5831</c:v>
                </c:pt>
                <c:pt idx="283">
                  <c:v>5831</c:v>
                </c:pt>
                <c:pt idx="284">
                  <c:v>5831</c:v>
                </c:pt>
                <c:pt idx="285">
                  <c:v>5831</c:v>
                </c:pt>
                <c:pt idx="286">
                  <c:v>5831</c:v>
                </c:pt>
                <c:pt idx="287">
                  <c:v>5831</c:v>
                </c:pt>
                <c:pt idx="288">
                  <c:v>5831</c:v>
                </c:pt>
                <c:pt idx="289">
                  <c:v>5831</c:v>
                </c:pt>
                <c:pt idx="290">
                  <c:v>5831</c:v>
                </c:pt>
                <c:pt idx="291">
                  <c:v>5831</c:v>
                </c:pt>
                <c:pt idx="292">
                  <c:v>5831</c:v>
                </c:pt>
                <c:pt idx="293">
                  <c:v>5831</c:v>
                </c:pt>
                <c:pt idx="294">
                  <c:v>5831</c:v>
                </c:pt>
                <c:pt idx="295">
                  <c:v>5831</c:v>
                </c:pt>
                <c:pt idx="296">
                  <c:v>5831</c:v>
                </c:pt>
                <c:pt idx="297">
                  <c:v>5831</c:v>
                </c:pt>
                <c:pt idx="298">
                  <c:v>5831</c:v>
                </c:pt>
                <c:pt idx="299">
                  <c:v>5831</c:v>
                </c:pt>
                <c:pt idx="300">
                  <c:v>5831</c:v>
                </c:pt>
                <c:pt idx="301">
                  <c:v>5831</c:v>
                </c:pt>
                <c:pt idx="302">
                  <c:v>5831</c:v>
                </c:pt>
                <c:pt idx="303">
                  <c:v>5831</c:v>
                </c:pt>
                <c:pt idx="304">
                  <c:v>5831</c:v>
                </c:pt>
                <c:pt idx="305">
                  <c:v>5831</c:v>
                </c:pt>
                <c:pt idx="306">
                  <c:v>5831</c:v>
                </c:pt>
                <c:pt idx="307">
                  <c:v>5831</c:v>
                </c:pt>
                <c:pt idx="308">
                  <c:v>5831</c:v>
                </c:pt>
                <c:pt idx="309">
                  <c:v>5831</c:v>
                </c:pt>
                <c:pt idx="310">
                  <c:v>5831</c:v>
                </c:pt>
                <c:pt idx="311">
                  <c:v>5831</c:v>
                </c:pt>
                <c:pt idx="312">
                  <c:v>5831</c:v>
                </c:pt>
                <c:pt idx="313">
                  <c:v>5831</c:v>
                </c:pt>
                <c:pt idx="314">
                  <c:v>5831</c:v>
                </c:pt>
                <c:pt idx="315">
                  <c:v>5831</c:v>
                </c:pt>
                <c:pt idx="316">
                  <c:v>5831</c:v>
                </c:pt>
                <c:pt idx="317">
                  <c:v>5831</c:v>
                </c:pt>
                <c:pt idx="318">
                  <c:v>5831</c:v>
                </c:pt>
                <c:pt idx="319">
                  <c:v>5831</c:v>
                </c:pt>
                <c:pt idx="320">
                  <c:v>5831</c:v>
                </c:pt>
                <c:pt idx="321">
                  <c:v>5831</c:v>
                </c:pt>
                <c:pt idx="322">
                  <c:v>5831</c:v>
                </c:pt>
                <c:pt idx="323">
                  <c:v>5831</c:v>
                </c:pt>
                <c:pt idx="324">
                  <c:v>5831</c:v>
                </c:pt>
                <c:pt idx="325">
                  <c:v>5831</c:v>
                </c:pt>
                <c:pt idx="326">
                  <c:v>5831</c:v>
                </c:pt>
                <c:pt idx="327">
                  <c:v>5831</c:v>
                </c:pt>
                <c:pt idx="328">
                  <c:v>5831</c:v>
                </c:pt>
                <c:pt idx="329">
                  <c:v>5831</c:v>
                </c:pt>
                <c:pt idx="330">
                  <c:v>5831</c:v>
                </c:pt>
                <c:pt idx="331">
                  <c:v>5831</c:v>
                </c:pt>
                <c:pt idx="332">
                  <c:v>5831</c:v>
                </c:pt>
                <c:pt idx="333">
                  <c:v>5831</c:v>
                </c:pt>
                <c:pt idx="334">
                  <c:v>5831</c:v>
                </c:pt>
                <c:pt idx="335">
                  <c:v>5831</c:v>
                </c:pt>
                <c:pt idx="336">
                  <c:v>5831</c:v>
                </c:pt>
                <c:pt idx="337">
                  <c:v>5831</c:v>
                </c:pt>
                <c:pt idx="338">
                  <c:v>5831</c:v>
                </c:pt>
                <c:pt idx="339">
                  <c:v>5831</c:v>
                </c:pt>
                <c:pt idx="340">
                  <c:v>5831</c:v>
                </c:pt>
                <c:pt idx="341">
                  <c:v>5831</c:v>
                </c:pt>
                <c:pt idx="342">
                  <c:v>5831</c:v>
                </c:pt>
                <c:pt idx="343">
                  <c:v>5831</c:v>
                </c:pt>
                <c:pt idx="344">
                  <c:v>5831</c:v>
                </c:pt>
                <c:pt idx="345">
                  <c:v>5831</c:v>
                </c:pt>
                <c:pt idx="346">
                  <c:v>5831</c:v>
                </c:pt>
                <c:pt idx="347">
                  <c:v>5831</c:v>
                </c:pt>
                <c:pt idx="348">
                  <c:v>5831</c:v>
                </c:pt>
                <c:pt idx="349">
                  <c:v>5831</c:v>
                </c:pt>
                <c:pt idx="350">
                  <c:v>5831</c:v>
                </c:pt>
                <c:pt idx="351">
                  <c:v>5831</c:v>
                </c:pt>
                <c:pt idx="352">
                  <c:v>5831</c:v>
                </c:pt>
                <c:pt idx="353">
                  <c:v>5831</c:v>
                </c:pt>
                <c:pt idx="354">
                  <c:v>5831</c:v>
                </c:pt>
                <c:pt idx="355">
                  <c:v>5831</c:v>
                </c:pt>
                <c:pt idx="356">
                  <c:v>5831</c:v>
                </c:pt>
                <c:pt idx="357">
                  <c:v>5831</c:v>
                </c:pt>
                <c:pt idx="358">
                  <c:v>5831</c:v>
                </c:pt>
                <c:pt idx="359">
                  <c:v>5831</c:v>
                </c:pt>
                <c:pt idx="360">
                  <c:v>5831</c:v>
                </c:pt>
                <c:pt idx="361">
                  <c:v>5831</c:v>
                </c:pt>
                <c:pt idx="362">
                  <c:v>5831</c:v>
                </c:pt>
                <c:pt idx="363">
                  <c:v>5831</c:v>
                </c:pt>
                <c:pt idx="364">
                  <c:v>5831</c:v>
                </c:pt>
                <c:pt idx="365">
                  <c:v>5831</c:v>
                </c:pt>
                <c:pt idx="366">
                  <c:v>5831</c:v>
                </c:pt>
                <c:pt idx="367">
                  <c:v>5831</c:v>
                </c:pt>
                <c:pt idx="368">
                  <c:v>5831</c:v>
                </c:pt>
                <c:pt idx="369">
                  <c:v>5831</c:v>
                </c:pt>
                <c:pt idx="370">
                  <c:v>5831</c:v>
                </c:pt>
                <c:pt idx="371">
                  <c:v>5831</c:v>
                </c:pt>
                <c:pt idx="372">
                  <c:v>5831</c:v>
                </c:pt>
                <c:pt idx="373">
                  <c:v>5831</c:v>
                </c:pt>
                <c:pt idx="374">
                  <c:v>5831</c:v>
                </c:pt>
                <c:pt idx="375">
                  <c:v>5831</c:v>
                </c:pt>
                <c:pt idx="376">
                  <c:v>5831</c:v>
                </c:pt>
                <c:pt idx="377">
                  <c:v>5831</c:v>
                </c:pt>
                <c:pt idx="378">
                  <c:v>5831</c:v>
                </c:pt>
                <c:pt idx="379">
                  <c:v>5831</c:v>
                </c:pt>
                <c:pt idx="380">
                  <c:v>5831</c:v>
                </c:pt>
                <c:pt idx="381">
                  <c:v>5831</c:v>
                </c:pt>
                <c:pt idx="382">
                  <c:v>5831</c:v>
                </c:pt>
                <c:pt idx="383">
                  <c:v>5831</c:v>
                </c:pt>
                <c:pt idx="384">
                  <c:v>5831</c:v>
                </c:pt>
                <c:pt idx="385">
                  <c:v>5831</c:v>
                </c:pt>
                <c:pt idx="386">
                  <c:v>5831</c:v>
                </c:pt>
                <c:pt idx="387">
                  <c:v>5831</c:v>
                </c:pt>
                <c:pt idx="388">
                  <c:v>5831</c:v>
                </c:pt>
                <c:pt idx="389">
                  <c:v>5831</c:v>
                </c:pt>
                <c:pt idx="390">
                  <c:v>5831</c:v>
                </c:pt>
                <c:pt idx="391">
                  <c:v>5831</c:v>
                </c:pt>
                <c:pt idx="392">
                  <c:v>5831</c:v>
                </c:pt>
                <c:pt idx="393">
                  <c:v>5831</c:v>
                </c:pt>
                <c:pt idx="394">
                  <c:v>5831</c:v>
                </c:pt>
                <c:pt idx="395">
                  <c:v>5831</c:v>
                </c:pt>
                <c:pt idx="396">
                  <c:v>5831</c:v>
                </c:pt>
                <c:pt idx="397">
                  <c:v>5831</c:v>
                </c:pt>
                <c:pt idx="398">
                  <c:v>5831</c:v>
                </c:pt>
                <c:pt idx="399">
                  <c:v>5831</c:v>
                </c:pt>
                <c:pt idx="400">
                  <c:v>5831</c:v>
                </c:pt>
                <c:pt idx="401">
                  <c:v>5831</c:v>
                </c:pt>
                <c:pt idx="402">
                  <c:v>5831</c:v>
                </c:pt>
                <c:pt idx="403">
                  <c:v>5831</c:v>
                </c:pt>
                <c:pt idx="404">
                  <c:v>5831</c:v>
                </c:pt>
                <c:pt idx="405">
                  <c:v>5831</c:v>
                </c:pt>
                <c:pt idx="406">
                  <c:v>5831</c:v>
                </c:pt>
                <c:pt idx="407">
                  <c:v>5831</c:v>
                </c:pt>
                <c:pt idx="408">
                  <c:v>5831</c:v>
                </c:pt>
                <c:pt idx="409">
                  <c:v>5831</c:v>
                </c:pt>
                <c:pt idx="410">
                  <c:v>5831</c:v>
                </c:pt>
                <c:pt idx="411">
                  <c:v>5831</c:v>
                </c:pt>
                <c:pt idx="412">
                  <c:v>5831</c:v>
                </c:pt>
                <c:pt idx="413">
                  <c:v>5831</c:v>
                </c:pt>
                <c:pt idx="414">
                  <c:v>5831</c:v>
                </c:pt>
                <c:pt idx="415">
                  <c:v>5831</c:v>
                </c:pt>
                <c:pt idx="416">
                  <c:v>5831</c:v>
                </c:pt>
                <c:pt idx="417">
                  <c:v>5831</c:v>
                </c:pt>
                <c:pt idx="418">
                  <c:v>5831</c:v>
                </c:pt>
                <c:pt idx="419">
                  <c:v>5831</c:v>
                </c:pt>
                <c:pt idx="420">
                  <c:v>5831</c:v>
                </c:pt>
                <c:pt idx="421">
                  <c:v>5831</c:v>
                </c:pt>
                <c:pt idx="422">
                  <c:v>5831</c:v>
                </c:pt>
                <c:pt idx="423">
                  <c:v>5831</c:v>
                </c:pt>
                <c:pt idx="424">
                  <c:v>5831</c:v>
                </c:pt>
                <c:pt idx="425">
                  <c:v>5831</c:v>
                </c:pt>
                <c:pt idx="426">
                  <c:v>5831</c:v>
                </c:pt>
                <c:pt idx="427">
                  <c:v>5831</c:v>
                </c:pt>
                <c:pt idx="428">
                  <c:v>5831</c:v>
                </c:pt>
                <c:pt idx="429">
                  <c:v>5831</c:v>
                </c:pt>
                <c:pt idx="430">
                  <c:v>5831</c:v>
                </c:pt>
                <c:pt idx="431">
                  <c:v>5831</c:v>
                </c:pt>
                <c:pt idx="432">
                  <c:v>5831</c:v>
                </c:pt>
                <c:pt idx="433">
                  <c:v>5831</c:v>
                </c:pt>
                <c:pt idx="434">
                  <c:v>5831</c:v>
                </c:pt>
                <c:pt idx="435">
                  <c:v>5831</c:v>
                </c:pt>
                <c:pt idx="436">
                  <c:v>5831</c:v>
                </c:pt>
                <c:pt idx="437">
                  <c:v>5831</c:v>
                </c:pt>
                <c:pt idx="438">
                  <c:v>5831</c:v>
                </c:pt>
                <c:pt idx="439">
                  <c:v>5831</c:v>
                </c:pt>
                <c:pt idx="440">
                  <c:v>5831</c:v>
                </c:pt>
                <c:pt idx="441">
                  <c:v>5831</c:v>
                </c:pt>
                <c:pt idx="442">
                  <c:v>5831</c:v>
                </c:pt>
                <c:pt idx="443">
                  <c:v>5831</c:v>
                </c:pt>
                <c:pt idx="444">
                  <c:v>5831</c:v>
                </c:pt>
                <c:pt idx="445">
                  <c:v>5831</c:v>
                </c:pt>
                <c:pt idx="446">
                  <c:v>5831</c:v>
                </c:pt>
                <c:pt idx="447">
                  <c:v>5831</c:v>
                </c:pt>
                <c:pt idx="448">
                  <c:v>5831</c:v>
                </c:pt>
                <c:pt idx="449">
                  <c:v>5831</c:v>
                </c:pt>
                <c:pt idx="450">
                  <c:v>5831</c:v>
                </c:pt>
                <c:pt idx="451">
                  <c:v>5831</c:v>
                </c:pt>
                <c:pt idx="452">
                  <c:v>5831</c:v>
                </c:pt>
                <c:pt idx="453">
                  <c:v>5831</c:v>
                </c:pt>
                <c:pt idx="454">
                  <c:v>5831</c:v>
                </c:pt>
                <c:pt idx="455">
                  <c:v>5831</c:v>
                </c:pt>
                <c:pt idx="456">
                  <c:v>5831</c:v>
                </c:pt>
                <c:pt idx="457">
                  <c:v>5831</c:v>
                </c:pt>
                <c:pt idx="458">
                  <c:v>5831</c:v>
                </c:pt>
                <c:pt idx="459">
                  <c:v>5831</c:v>
                </c:pt>
                <c:pt idx="460">
                  <c:v>5831</c:v>
                </c:pt>
                <c:pt idx="461">
                  <c:v>5831</c:v>
                </c:pt>
                <c:pt idx="462">
                  <c:v>5831</c:v>
                </c:pt>
                <c:pt idx="463">
                  <c:v>5831</c:v>
                </c:pt>
                <c:pt idx="464">
                  <c:v>5831</c:v>
                </c:pt>
                <c:pt idx="465">
                  <c:v>5831</c:v>
                </c:pt>
                <c:pt idx="466">
                  <c:v>5831</c:v>
                </c:pt>
                <c:pt idx="467">
                  <c:v>5831</c:v>
                </c:pt>
                <c:pt idx="468">
                  <c:v>5831</c:v>
                </c:pt>
                <c:pt idx="469">
                  <c:v>5831</c:v>
                </c:pt>
                <c:pt idx="470">
                  <c:v>5831</c:v>
                </c:pt>
                <c:pt idx="471">
                  <c:v>5831</c:v>
                </c:pt>
                <c:pt idx="472">
                  <c:v>5831</c:v>
                </c:pt>
                <c:pt idx="473">
                  <c:v>5831</c:v>
                </c:pt>
                <c:pt idx="474">
                  <c:v>5831</c:v>
                </c:pt>
                <c:pt idx="475">
                  <c:v>5831</c:v>
                </c:pt>
                <c:pt idx="476">
                  <c:v>5831</c:v>
                </c:pt>
                <c:pt idx="477">
                  <c:v>5831</c:v>
                </c:pt>
                <c:pt idx="478">
                  <c:v>5831</c:v>
                </c:pt>
                <c:pt idx="479">
                  <c:v>5831</c:v>
                </c:pt>
                <c:pt idx="480">
                  <c:v>5831</c:v>
                </c:pt>
                <c:pt idx="481">
                  <c:v>5831</c:v>
                </c:pt>
                <c:pt idx="482">
                  <c:v>5831</c:v>
                </c:pt>
                <c:pt idx="483">
                  <c:v>5831</c:v>
                </c:pt>
                <c:pt idx="484">
                  <c:v>5831</c:v>
                </c:pt>
                <c:pt idx="485">
                  <c:v>5831</c:v>
                </c:pt>
                <c:pt idx="486">
                  <c:v>5831</c:v>
                </c:pt>
                <c:pt idx="487">
                  <c:v>5831</c:v>
                </c:pt>
                <c:pt idx="488">
                  <c:v>5831</c:v>
                </c:pt>
                <c:pt idx="489">
                  <c:v>5831</c:v>
                </c:pt>
                <c:pt idx="490">
                  <c:v>5831</c:v>
                </c:pt>
                <c:pt idx="491">
                  <c:v>5831</c:v>
                </c:pt>
                <c:pt idx="492">
                  <c:v>5831</c:v>
                </c:pt>
                <c:pt idx="493">
                  <c:v>5831</c:v>
                </c:pt>
                <c:pt idx="494">
                  <c:v>5831</c:v>
                </c:pt>
                <c:pt idx="495">
                  <c:v>5831</c:v>
                </c:pt>
                <c:pt idx="496">
                  <c:v>5831</c:v>
                </c:pt>
                <c:pt idx="497">
                  <c:v>5831</c:v>
                </c:pt>
                <c:pt idx="498">
                  <c:v>5831</c:v>
                </c:pt>
                <c:pt idx="499">
                  <c:v>5831</c:v>
                </c:pt>
                <c:pt idx="500">
                  <c:v>5831</c:v>
                </c:pt>
                <c:pt idx="501">
                  <c:v>5831</c:v>
                </c:pt>
                <c:pt idx="502">
                  <c:v>5831</c:v>
                </c:pt>
                <c:pt idx="503">
                  <c:v>5831</c:v>
                </c:pt>
                <c:pt idx="504">
                  <c:v>5831</c:v>
                </c:pt>
                <c:pt idx="505">
                  <c:v>5831</c:v>
                </c:pt>
                <c:pt idx="506">
                  <c:v>5831</c:v>
                </c:pt>
                <c:pt idx="507">
                  <c:v>5831</c:v>
                </c:pt>
                <c:pt idx="508">
                  <c:v>5831</c:v>
                </c:pt>
                <c:pt idx="509">
                  <c:v>5831</c:v>
                </c:pt>
                <c:pt idx="510">
                  <c:v>5831</c:v>
                </c:pt>
                <c:pt idx="511">
                  <c:v>5831</c:v>
                </c:pt>
                <c:pt idx="512">
                  <c:v>5831</c:v>
                </c:pt>
                <c:pt idx="513">
                  <c:v>5831</c:v>
                </c:pt>
                <c:pt idx="514">
                  <c:v>5831</c:v>
                </c:pt>
                <c:pt idx="515">
                  <c:v>5831</c:v>
                </c:pt>
                <c:pt idx="516">
                  <c:v>5831</c:v>
                </c:pt>
                <c:pt idx="517">
                  <c:v>5831</c:v>
                </c:pt>
                <c:pt idx="518">
                  <c:v>5831</c:v>
                </c:pt>
                <c:pt idx="519">
                  <c:v>5831</c:v>
                </c:pt>
                <c:pt idx="520">
                  <c:v>5831</c:v>
                </c:pt>
                <c:pt idx="521">
                  <c:v>5831</c:v>
                </c:pt>
                <c:pt idx="522">
                  <c:v>5831</c:v>
                </c:pt>
                <c:pt idx="523">
                  <c:v>5831</c:v>
                </c:pt>
                <c:pt idx="524">
                  <c:v>5831</c:v>
                </c:pt>
                <c:pt idx="525">
                  <c:v>5831</c:v>
                </c:pt>
                <c:pt idx="526">
                  <c:v>5831</c:v>
                </c:pt>
                <c:pt idx="527">
                  <c:v>5831</c:v>
                </c:pt>
                <c:pt idx="528">
                  <c:v>5831</c:v>
                </c:pt>
                <c:pt idx="529">
                  <c:v>5831</c:v>
                </c:pt>
                <c:pt idx="530">
                  <c:v>5831</c:v>
                </c:pt>
                <c:pt idx="531">
                  <c:v>5831</c:v>
                </c:pt>
                <c:pt idx="532">
                  <c:v>5831</c:v>
                </c:pt>
                <c:pt idx="533">
                  <c:v>5831</c:v>
                </c:pt>
                <c:pt idx="534">
                  <c:v>5831</c:v>
                </c:pt>
                <c:pt idx="535">
                  <c:v>5831</c:v>
                </c:pt>
                <c:pt idx="536">
                  <c:v>5831</c:v>
                </c:pt>
                <c:pt idx="537">
                  <c:v>5831</c:v>
                </c:pt>
                <c:pt idx="538">
                  <c:v>5831</c:v>
                </c:pt>
                <c:pt idx="539">
                  <c:v>5831</c:v>
                </c:pt>
                <c:pt idx="540">
                  <c:v>5831</c:v>
                </c:pt>
                <c:pt idx="541">
                  <c:v>5831</c:v>
                </c:pt>
                <c:pt idx="542">
                  <c:v>5831</c:v>
                </c:pt>
                <c:pt idx="543">
                  <c:v>5831</c:v>
                </c:pt>
                <c:pt idx="544">
                  <c:v>5831</c:v>
                </c:pt>
                <c:pt idx="545">
                  <c:v>5831</c:v>
                </c:pt>
                <c:pt idx="546">
                  <c:v>5831</c:v>
                </c:pt>
                <c:pt idx="547">
                  <c:v>5831</c:v>
                </c:pt>
                <c:pt idx="548">
                  <c:v>5831</c:v>
                </c:pt>
                <c:pt idx="549">
                  <c:v>5831</c:v>
                </c:pt>
                <c:pt idx="550">
                  <c:v>5831</c:v>
                </c:pt>
                <c:pt idx="551">
                  <c:v>5831</c:v>
                </c:pt>
                <c:pt idx="552">
                  <c:v>5831</c:v>
                </c:pt>
                <c:pt idx="553">
                  <c:v>5831</c:v>
                </c:pt>
                <c:pt idx="554">
                  <c:v>5831</c:v>
                </c:pt>
                <c:pt idx="555">
                  <c:v>5831</c:v>
                </c:pt>
                <c:pt idx="556">
                  <c:v>5831</c:v>
                </c:pt>
                <c:pt idx="557">
                  <c:v>5831</c:v>
                </c:pt>
                <c:pt idx="558">
                  <c:v>5831</c:v>
                </c:pt>
                <c:pt idx="559">
                  <c:v>5831</c:v>
                </c:pt>
                <c:pt idx="560">
                  <c:v>5831</c:v>
                </c:pt>
                <c:pt idx="561">
                  <c:v>5831</c:v>
                </c:pt>
                <c:pt idx="562">
                  <c:v>5831</c:v>
                </c:pt>
                <c:pt idx="563">
                  <c:v>5831</c:v>
                </c:pt>
                <c:pt idx="564">
                  <c:v>5831</c:v>
                </c:pt>
                <c:pt idx="565">
                  <c:v>5831</c:v>
                </c:pt>
                <c:pt idx="566">
                  <c:v>5831</c:v>
                </c:pt>
                <c:pt idx="567">
                  <c:v>5831</c:v>
                </c:pt>
                <c:pt idx="568">
                  <c:v>5831</c:v>
                </c:pt>
                <c:pt idx="569">
                  <c:v>5831</c:v>
                </c:pt>
                <c:pt idx="570">
                  <c:v>5831</c:v>
                </c:pt>
                <c:pt idx="571">
                  <c:v>5831</c:v>
                </c:pt>
                <c:pt idx="572">
                  <c:v>5831</c:v>
                </c:pt>
                <c:pt idx="573">
                  <c:v>5831</c:v>
                </c:pt>
                <c:pt idx="574">
                  <c:v>5831</c:v>
                </c:pt>
                <c:pt idx="575">
                  <c:v>5831</c:v>
                </c:pt>
                <c:pt idx="576">
                  <c:v>5831</c:v>
                </c:pt>
                <c:pt idx="577">
                  <c:v>5831</c:v>
                </c:pt>
                <c:pt idx="578">
                  <c:v>5831</c:v>
                </c:pt>
                <c:pt idx="579">
                  <c:v>5831</c:v>
                </c:pt>
                <c:pt idx="580">
                  <c:v>5831</c:v>
                </c:pt>
                <c:pt idx="581">
                  <c:v>5831</c:v>
                </c:pt>
                <c:pt idx="582">
                  <c:v>5831</c:v>
                </c:pt>
                <c:pt idx="583">
                  <c:v>5831</c:v>
                </c:pt>
                <c:pt idx="584">
                  <c:v>5831</c:v>
                </c:pt>
                <c:pt idx="585">
                  <c:v>5831</c:v>
                </c:pt>
                <c:pt idx="586">
                  <c:v>5831</c:v>
                </c:pt>
                <c:pt idx="587">
                  <c:v>5831</c:v>
                </c:pt>
                <c:pt idx="588">
                  <c:v>5831</c:v>
                </c:pt>
                <c:pt idx="589">
                  <c:v>5831</c:v>
                </c:pt>
                <c:pt idx="590">
                  <c:v>5831</c:v>
                </c:pt>
                <c:pt idx="591">
                  <c:v>5831</c:v>
                </c:pt>
                <c:pt idx="592">
                  <c:v>5831</c:v>
                </c:pt>
                <c:pt idx="593">
                  <c:v>5831</c:v>
                </c:pt>
                <c:pt idx="594">
                  <c:v>5831</c:v>
                </c:pt>
                <c:pt idx="595">
                  <c:v>5831</c:v>
                </c:pt>
                <c:pt idx="596">
                  <c:v>5831</c:v>
                </c:pt>
                <c:pt idx="597">
                  <c:v>5831</c:v>
                </c:pt>
                <c:pt idx="598">
                  <c:v>5831</c:v>
                </c:pt>
                <c:pt idx="599">
                  <c:v>5831</c:v>
                </c:pt>
                <c:pt idx="600">
                  <c:v>5831</c:v>
                </c:pt>
                <c:pt idx="601">
                  <c:v>5831</c:v>
                </c:pt>
                <c:pt idx="602">
                  <c:v>5831</c:v>
                </c:pt>
                <c:pt idx="603">
                  <c:v>5831</c:v>
                </c:pt>
                <c:pt idx="604">
                  <c:v>5831</c:v>
                </c:pt>
                <c:pt idx="605">
                  <c:v>5831</c:v>
                </c:pt>
                <c:pt idx="606">
                  <c:v>5831</c:v>
                </c:pt>
                <c:pt idx="607">
                  <c:v>5831</c:v>
                </c:pt>
                <c:pt idx="608">
                  <c:v>5831</c:v>
                </c:pt>
                <c:pt idx="609">
                  <c:v>5831</c:v>
                </c:pt>
                <c:pt idx="610">
                  <c:v>5831</c:v>
                </c:pt>
                <c:pt idx="611">
                  <c:v>5831</c:v>
                </c:pt>
                <c:pt idx="612">
                  <c:v>5831</c:v>
                </c:pt>
                <c:pt idx="613">
                  <c:v>5831</c:v>
                </c:pt>
                <c:pt idx="614">
                  <c:v>5831</c:v>
                </c:pt>
                <c:pt idx="615">
                  <c:v>5831</c:v>
                </c:pt>
                <c:pt idx="616">
                  <c:v>5831</c:v>
                </c:pt>
                <c:pt idx="617">
                  <c:v>5831</c:v>
                </c:pt>
                <c:pt idx="618">
                  <c:v>5831</c:v>
                </c:pt>
                <c:pt idx="619">
                  <c:v>5831</c:v>
                </c:pt>
                <c:pt idx="620">
                  <c:v>5831</c:v>
                </c:pt>
                <c:pt idx="621">
                  <c:v>5831</c:v>
                </c:pt>
                <c:pt idx="622">
                  <c:v>5831</c:v>
                </c:pt>
                <c:pt idx="623">
                  <c:v>5831</c:v>
                </c:pt>
                <c:pt idx="624">
                  <c:v>5831</c:v>
                </c:pt>
                <c:pt idx="625">
                  <c:v>5831</c:v>
                </c:pt>
                <c:pt idx="626">
                  <c:v>5831</c:v>
                </c:pt>
                <c:pt idx="627">
                  <c:v>5831</c:v>
                </c:pt>
                <c:pt idx="628">
                  <c:v>5831</c:v>
                </c:pt>
                <c:pt idx="629">
                  <c:v>5831</c:v>
                </c:pt>
                <c:pt idx="630">
                  <c:v>5831</c:v>
                </c:pt>
                <c:pt idx="631">
                  <c:v>5831</c:v>
                </c:pt>
                <c:pt idx="632">
                  <c:v>5831</c:v>
                </c:pt>
                <c:pt idx="633">
                  <c:v>5831</c:v>
                </c:pt>
                <c:pt idx="634">
                  <c:v>5831</c:v>
                </c:pt>
                <c:pt idx="635">
                  <c:v>5831</c:v>
                </c:pt>
                <c:pt idx="636">
                  <c:v>5831</c:v>
                </c:pt>
                <c:pt idx="637">
                  <c:v>5831</c:v>
                </c:pt>
                <c:pt idx="638">
                  <c:v>5831</c:v>
                </c:pt>
                <c:pt idx="639">
                  <c:v>5831</c:v>
                </c:pt>
                <c:pt idx="640">
                  <c:v>5831</c:v>
                </c:pt>
                <c:pt idx="641">
                  <c:v>5831</c:v>
                </c:pt>
                <c:pt idx="642">
                  <c:v>5831</c:v>
                </c:pt>
                <c:pt idx="643">
                  <c:v>5831</c:v>
                </c:pt>
                <c:pt idx="644">
                  <c:v>5831</c:v>
                </c:pt>
                <c:pt idx="645">
                  <c:v>5831</c:v>
                </c:pt>
                <c:pt idx="646">
                  <c:v>5831</c:v>
                </c:pt>
                <c:pt idx="647">
                  <c:v>5831</c:v>
                </c:pt>
                <c:pt idx="648">
                  <c:v>5831</c:v>
                </c:pt>
                <c:pt idx="649">
                  <c:v>5831</c:v>
                </c:pt>
                <c:pt idx="650">
                  <c:v>5831</c:v>
                </c:pt>
                <c:pt idx="651">
                  <c:v>5831</c:v>
                </c:pt>
                <c:pt idx="652">
                  <c:v>5831</c:v>
                </c:pt>
                <c:pt idx="653">
                  <c:v>5831</c:v>
                </c:pt>
                <c:pt idx="654">
                  <c:v>5831</c:v>
                </c:pt>
                <c:pt idx="655">
                  <c:v>5831</c:v>
                </c:pt>
                <c:pt idx="656">
                  <c:v>5831</c:v>
                </c:pt>
                <c:pt idx="657">
                  <c:v>5831</c:v>
                </c:pt>
                <c:pt idx="658">
                  <c:v>5831</c:v>
                </c:pt>
                <c:pt idx="659">
                  <c:v>5831</c:v>
                </c:pt>
                <c:pt idx="660">
                  <c:v>5831</c:v>
                </c:pt>
                <c:pt idx="661">
                  <c:v>5831</c:v>
                </c:pt>
                <c:pt idx="662">
                  <c:v>5831</c:v>
                </c:pt>
                <c:pt idx="663">
                  <c:v>5831</c:v>
                </c:pt>
                <c:pt idx="664">
                  <c:v>5831</c:v>
                </c:pt>
                <c:pt idx="665">
                  <c:v>5831</c:v>
                </c:pt>
                <c:pt idx="666">
                  <c:v>5831</c:v>
                </c:pt>
                <c:pt idx="667">
                  <c:v>5831</c:v>
                </c:pt>
                <c:pt idx="668">
                  <c:v>5831</c:v>
                </c:pt>
                <c:pt idx="669">
                  <c:v>5831</c:v>
                </c:pt>
                <c:pt idx="670">
                  <c:v>5831</c:v>
                </c:pt>
                <c:pt idx="671">
                  <c:v>5831</c:v>
                </c:pt>
                <c:pt idx="672">
                  <c:v>5831</c:v>
                </c:pt>
                <c:pt idx="673">
                  <c:v>5831</c:v>
                </c:pt>
                <c:pt idx="674">
                  <c:v>5831</c:v>
                </c:pt>
                <c:pt idx="675">
                  <c:v>5831</c:v>
                </c:pt>
                <c:pt idx="676">
                  <c:v>5831</c:v>
                </c:pt>
                <c:pt idx="677">
                  <c:v>5831</c:v>
                </c:pt>
                <c:pt idx="678">
                  <c:v>5831</c:v>
                </c:pt>
                <c:pt idx="679">
                  <c:v>5831</c:v>
                </c:pt>
                <c:pt idx="680">
                  <c:v>5831</c:v>
                </c:pt>
                <c:pt idx="681">
                  <c:v>5831</c:v>
                </c:pt>
                <c:pt idx="682">
                  <c:v>5831</c:v>
                </c:pt>
                <c:pt idx="683">
                  <c:v>5831</c:v>
                </c:pt>
                <c:pt idx="684">
                  <c:v>5831</c:v>
                </c:pt>
                <c:pt idx="685">
                  <c:v>5831</c:v>
                </c:pt>
                <c:pt idx="686">
                  <c:v>5831</c:v>
                </c:pt>
                <c:pt idx="687">
                  <c:v>5831</c:v>
                </c:pt>
                <c:pt idx="688">
                  <c:v>5831</c:v>
                </c:pt>
                <c:pt idx="689">
                  <c:v>5831</c:v>
                </c:pt>
                <c:pt idx="690">
                  <c:v>5831</c:v>
                </c:pt>
                <c:pt idx="691">
                  <c:v>5831</c:v>
                </c:pt>
                <c:pt idx="692">
                  <c:v>5831</c:v>
                </c:pt>
                <c:pt idx="693">
                  <c:v>5831</c:v>
                </c:pt>
                <c:pt idx="694">
                  <c:v>5831</c:v>
                </c:pt>
                <c:pt idx="695">
                  <c:v>5831</c:v>
                </c:pt>
                <c:pt idx="696">
                  <c:v>5831</c:v>
                </c:pt>
                <c:pt idx="697">
                  <c:v>5831</c:v>
                </c:pt>
                <c:pt idx="698">
                  <c:v>5831</c:v>
                </c:pt>
                <c:pt idx="699">
                  <c:v>5831</c:v>
                </c:pt>
                <c:pt idx="700">
                  <c:v>5831</c:v>
                </c:pt>
                <c:pt idx="701">
                  <c:v>5831</c:v>
                </c:pt>
                <c:pt idx="702">
                  <c:v>5831</c:v>
                </c:pt>
                <c:pt idx="703">
                  <c:v>5831</c:v>
                </c:pt>
                <c:pt idx="704">
                  <c:v>5831</c:v>
                </c:pt>
                <c:pt idx="705">
                  <c:v>5831</c:v>
                </c:pt>
                <c:pt idx="706">
                  <c:v>5831</c:v>
                </c:pt>
                <c:pt idx="707">
                  <c:v>5831</c:v>
                </c:pt>
                <c:pt idx="708">
                  <c:v>5831</c:v>
                </c:pt>
                <c:pt idx="709">
                  <c:v>5831</c:v>
                </c:pt>
                <c:pt idx="710">
                  <c:v>5831</c:v>
                </c:pt>
                <c:pt idx="711">
                  <c:v>5831</c:v>
                </c:pt>
                <c:pt idx="712">
                  <c:v>5831</c:v>
                </c:pt>
                <c:pt idx="713">
                  <c:v>5831</c:v>
                </c:pt>
                <c:pt idx="714">
                  <c:v>5831</c:v>
                </c:pt>
                <c:pt idx="715">
                  <c:v>5831</c:v>
                </c:pt>
                <c:pt idx="716">
                  <c:v>5831</c:v>
                </c:pt>
                <c:pt idx="717">
                  <c:v>5831</c:v>
                </c:pt>
                <c:pt idx="718">
                  <c:v>5831</c:v>
                </c:pt>
                <c:pt idx="719">
                  <c:v>5831</c:v>
                </c:pt>
                <c:pt idx="720">
                  <c:v>5831</c:v>
                </c:pt>
                <c:pt idx="721">
                  <c:v>5831</c:v>
                </c:pt>
                <c:pt idx="722">
                  <c:v>5831</c:v>
                </c:pt>
                <c:pt idx="723">
                  <c:v>5831</c:v>
                </c:pt>
                <c:pt idx="724">
                  <c:v>5831</c:v>
                </c:pt>
                <c:pt idx="725">
                  <c:v>5831</c:v>
                </c:pt>
                <c:pt idx="726">
                  <c:v>5831</c:v>
                </c:pt>
                <c:pt idx="727">
                  <c:v>5831</c:v>
                </c:pt>
                <c:pt idx="728">
                  <c:v>5831</c:v>
                </c:pt>
                <c:pt idx="729">
                  <c:v>5831</c:v>
                </c:pt>
                <c:pt idx="730">
                  <c:v>5831</c:v>
                </c:pt>
                <c:pt idx="731">
                  <c:v>5831</c:v>
                </c:pt>
                <c:pt idx="732">
                  <c:v>5831</c:v>
                </c:pt>
                <c:pt idx="733">
                  <c:v>5831</c:v>
                </c:pt>
                <c:pt idx="734">
                  <c:v>5831</c:v>
                </c:pt>
                <c:pt idx="735">
                  <c:v>5831</c:v>
                </c:pt>
                <c:pt idx="736">
                  <c:v>5831</c:v>
                </c:pt>
                <c:pt idx="737">
                  <c:v>5831</c:v>
                </c:pt>
                <c:pt idx="738">
                  <c:v>5831</c:v>
                </c:pt>
                <c:pt idx="739">
                  <c:v>5831</c:v>
                </c:pt>
                <c:pt idx="740">
                  <c:v>5831</c:v>
                </c:pt>
                <c:pt idx="741">
                  <c:v>5831</c:v>
                </c:pt>
                <c:pt idx="742">
                  <c:v>5831</c:v>
                </c:pt>
                <c:pt idx="743">
                  <c:v>5831</c:v>
                </c:pt>
                <c:pt idx="744">
                  <c:v>5831</c:v>
                </c:pt>
                <c:pt idx="745">
                  <c:v>5831</c:v>
                </c:pt>
                <c:pt idx="746">
                  <c:v>5831</c:v>
                </c:pt>
                <c:pt idx="747">
                  <c:v>5831</c:v>
                </c:pt>
                <c:pt idx="748">
                  <c:v>5831</c:v>
                </c:pt>
                <c:pt idx="749">
                  <c:v>5831</c:v>
                </c:pt>
                <c:pt idx="750">
                  <c:v>5831</c:v>
                </c:pt>
                <c:pt idx="751">
                  <c:v>5831</c:v>
                </c:pt>
                <c:pt idx="752">
                  <c:v>5831</c:v>
                </c:pt>
                <c:pt idx="753">
                  <c:v>5831</c:v>
                </c:pt>
                <c:pt idx="754">
                  <c:v>5831</c:v>
                </c:pt>
                <c:pt idx="755">
                  <c:v>5831</c:v>
                </c:pt>
                <c:pt idx="756">
                  <c:v>5831</c:v>
                </c:pt>
                <c:pt idx="757">
                  <c:v>5831</c:v>
                </c:pt>
                <c:pt idx="758">
                  <c:v>5831</c:v>
                </c:pt>
                <c:pt idx="759">
                  <c:v>5831</c:v>
                </c:pt>
                <c:pt idx="760">
                  <c:v>5831</c:v>
                </c:pt>
                <c:pt idx="761">
                  <c:v>5831</c:v>
                </c:pt>
                <c:pt idx="762">
                  <c:v>5831</c:v>
                </c:pt>
                <c:pt idx="763">
                  <c:v>5831</c:v>
                </c:pt>
                <c:pt idx="764">
                  <c:v>5831</c:v>
                </c:pt>
                <c:pt idx="765">
                  <c:v>5831</c:v>
                </c:pt>
                <c:pt idx="766">
                  <c:v>5831</c:v>
                </c:pt>
                <c:pt idx="767">
                  <c:v>5831</c:v>
                </c:pt>
                <c:pt idx="768">
                  <c:v>5831</c:v>
                </c:pt>
                <c:pt idx="769">
                  <c:v>5831</c:v>
                </c:pt>
                <c:pt idx="770">
                  <c:v>5831</c:v>
                </c:pt>
                <c:pt idx="771">
                  <c:v>5831</c:v>
                </c:pt>
                <c:pt idx="772">
                  <c:v>5831</c:v>
                </c:pt>
                <c:pt idx="773">
                  <c:v>5831</c:v>
                </c:pt>
                <c:pt idx="774">
                  <c:v>5831</c:v>
                </c:pt>
                <c:pt idx="775">
                  <c:v>5831</c:v>
                </c:pt>
                <c:pt idx="776">
                  <c:v>5831</c:v>
                </c:pt>
                <c:pt idx="777">
                  <c:v>5831</c:v>
                </c:pt>
                <c:pt idx="778">
                  <c:v>5831</c:v>
                </c:pt>
                <c:pt idx="779">
                  <c:v>5831</c:v>
                </c:pt>
                <c:pt idx="780">
                  <c:v>5831</c:v>
                </c:pt>
                <c:pt idx="781">
                  <c:v>5831</c:v>
                </c:pt>
                <c:pt idx="782">
                  <c:v>5831</c:v>
                </c:pt>
                <c:pt idx="783">
                  <c:v>5831</c:v>
                </c:pt>
                <c:pt idx="784">
                  <c:v>5831</c:v>
                </c:pt>
                <c:pt idx="785">
                  <c:v>5831</c:v>
                </c:pt>
                <c:pt idx="786">
                  <c:v>5831</c:v>
                </c:pt>
                <c:pt idx="787">
                  <c:v>5831</c:v>
                </c:pt>
                <c:pt idx="788">
                  <c:v>5831</c:v>
                </c:pt>
                <c:pt idx="789">
                  <c:v>5831</c:v>
                </c:pt>
                <c:pt idx="790">
                  <c:v>5831</c:v>
                </c:pt>
                <c:pt idx="791">
                  <c:v>5831</c:v>
                </c:pt>
                <c:pt idx="792">
                  <c:v>5831</c:v>
                </c:pt>
                <c:pt idx="793">
                  <c:v>5831</c:v>
                </c:pt>
                <c:pt idx="794">
                  <c:v>5831</c:v>
                </c:pt>
                <c:pt idx="795">
                  <c:v>5831</c:v>
                </c:pt>
                <c:pt idx="796">
                  <c:v>5831</c:v>
                </c:pt>
                <c:pt idx="797">
                  <c:v>5831</c:v>
                </c:pt>
                <c:pt idx="798">
                  <c:v>5831</c:v>
                </c:pt>
                <c:pt idx="799">
                  <c:v>5831</c:v>
                </c:pt>
                <c:pt idx="800">
                  <c:v>5831</c:v>
                </c:pt>
                <c:pt idx="801">
                  <c:v>5831</c:v>
                </c:pt>
                <c:pt idx="802">
                  <c:v>5831</c:v>
                </c:pt>
                <c:pt idx="803">
                  <c:v>5831</c:v>
                </c:pt>
                <c:pt idx="804">
                  <c:v>5831</c:v>
                </c:pt>
                <c:pt idx="805">
                  <c:v>5831</c:v>
                </c:pt>
                <c:pt idx="806">
                  <c:v>5831</c:v>
                </c:pt>
                <c:pt idx="807">
                  <c:v>5831</c:v>
                </c:pt>
                <c:pt idx="808">
                  <c:v>5831</c:v>
                </c:pt>
                <c:pt idx="809">
                  <c:v>5831</c:v>
                </c:pt>
                <c:pt idx="810">
                  <c:v>5831</c:v>
                </c:pt>
                <c:pt idx="811">
                  <c:v>5831</c:v>
                </c:pt>
                <c:pt idx="812">
                  <c:v>5831</c:v>
                </c:pt>
                <c:pt idx="813">
                  <c:v>5831</c:v>
                </c:pt>
                <c:pt idx="814">
                  <c:v>5831</c:v>
                </c:pt>
                <c:pt idx="815">
                  <c:v>5831</c:v>
                </c:pt>
                <c:pt idx="816">
                  <c:v>5831</c:v>
                </c:pt>
                <c:pt idx="817">
                  <c:v>5831</c:v>
                </c:pt>
                <c:pt idx="818">
                  <c:v>5831</c:v>
                </c:pt>
                <c:pt idx="819">
                  <c:v>5831</c:v>
                </c:pt>
                <c:pt idx="820">
                  <c:v>5831</c:v>
                </c:pt>
                <c:pt idx="821">
                  <c:v>5831</c:v>
                </c:pt>
                <c:pt idx="822">
                  <c:v>5831</c:v>
                </c:pt>
                <c:pt idx="823">
                  <c:v>5831</c:v>
                </c:pt>
                <c:pt idx="824">
                  <c:v>5831</c:v>
                </c:pt>
                <c:pt idx="825">
                  <c:v>5831</c:v>
                </c:pt>
                <c:pt idx="826">
                  <c:v>5831</c:v>
                </c:pt>
                <c:pt idx="827">
                  <c:v>5831</c:v>
                </c:pt>
                <c:pt idx="828">
                  <c:v>5831</c:v>
                </c:pt>
                <c:pt idx="829">
                  <c:v>5831</c:v>
                </c:pt>
                <c:pt idx="830">
                  <c:v>5831</c:v>
                </c:pt>
                <c:pt idx="831">
                  <c:v>5831</c:v>
                </c:pt>
                <c:pt idx="832">
                  <c:v>5831</c:v>
                </c:pt>
                <c:pt idx="833">
                  <c:v>5831</c:v>
                </c:pt>
                <c:pt idx="834">
                  <c:v>5831</c:v>
                </c:pt>
                <c:pt idx="835">
                  <c:v>5831</c:v>
                </c:pt>
                <c:pt idx="836">
                  <c:v>5831</c:v>
                </c:pt>
                <c:pt idx="837">
                  <c:v>5831</c:v>
                </c:pt>
                <c:pt idx="838">
                  <c:v>5831</c:v>
                </c:pt>
                <c:pt idx="839">
                  <c:v>5831</c:v>
                </c:pt>
                <c:pt idx="840">
                  <c:v>5831</c:v>
                </c:pt>
                <c:pt idx="841">
                  <c:v>5831</c:v>
                </c:pt>
                <c:pt idx="842">
                  <c:v>5831</c:v>
                </c:pt>
                <c:pt idx="843">
                  <c:v>5831</c:v>
                </c:pt>
                <c:pt idx="844">
                  <c:v>5831</c:v>
                </c:pt>
                <c:pt idx="845">
                  <c:v>5831</c:v>
                </c:pt>
                <c:pt idx="846">
                  <c:v>5831</c:v>
                </c:pt>
                <c:pt idx="847">
                  <c:v>5831</c:v>
                </c:pt>
                <c:pt idx="848">
                  <c:v>5831</c:v>
                </c:pt>
                <c:pt idx="849">
                  <c:v>5831</c:v>
                </c:pt>
                <c:pt idx="850">
                  <c:v>5831</c:v>
                </c:pt>
                <c:pt idx="851">
                  <c:v>5831</c:v>
                </c:pt>
                <c:pt idx="852">
                  <c:v>5831</c:v>
                </c:pt>
                <c:pt idx="853">
                  <c:v>5831</c:v>
                </c:pt>
                <c:pt idx="854">
                  <c:v>5831</c:v>
                </c:pt>
                <c:pt idx="855">
                  <c:v>5831</c:v>
                </c:pt>
                <c:pt idx="856">
                  <c:v>5831</c:v>
                </c:pt>
                <c:pt idx="857">
                  <c:v>5831</c:v>
                </c:pt>
                <c:pt idx="858">
                  <c:v>5831</c:v>
                </c:pt>
                <c:pt idx="859">
                  <c:v>5831</c:v>
                </c:pt>
                <c:pt idx="860">
                  <c:v>5831</c:v>
                </c:pt>
                <c:pt idx="861">
                  <c:v>5831</c:v>
                </c:pt>
                <c:pt idx="862">
                  <c:v>5831</c:v>
                </c:pt>
                <c:pt idx="863">
                  <c:v>5831</c:v>
                </c:pt>
                <c:pt idx="864">
                  <c:v>5831</c:v>
                </c:pt>
                <c:pt idx="865">
                  <c:v>5831</c:v>
                </c:pt>
                <c:pt idx="866">
                  <c:v>5831</c:v>
                </c:pt>
                <c:pt idx="867">
                  <c:v>5831</c:v>
                </c:pt>
                <c:pt idx="868">
                  <c:v>5831</c:v>
                </c:pt>
                <c:pt idx="869">
                  <c:v>5831</c:v>
                </c:pt>
                <c:pt idx="870">
                  <c:v>5831</c:v>
                </c:pt>
                <c:pt idx="871">
                  <c:v>5831</c:v>
                </c:pt>
                <c:pt idx="872">
                  <c:v>5831</c:v>
                </c:pt>
                <c:pt idx="873">
                  <c:v>5831</c:v>
                </c:pt>
                <c:pt idx="874">
                  <c:v>5831</c:v>
                </c:pt>
                <c:pt idx="875">
                  <c:v>5831</c:v>
                </c:pt>
                <c:pt idx="876">
                  <c:v>5831</c:v>
                </c:pt>
                <c:pt idx="877">
                  <c:v>5831</c:v>
                </c:pt>
                <c:pt idx="878">
                  <c:v>5831</c:v>
                </c:pt>
                <c:pt idx="879">
                  <c:v>5831</c:v>
                </c:pt>
                <c:pt idx="880">
                  <c:v>5831</c:v>
                </c:pt>
                <c:pt idx="881">
                  <c:v>5831</c:v>
                </c:pt>
                <c:pt idx="882">
                  <c:v>5831</c:v>
                </c:pt>
                <c:pt idx="883">
                  <c:v>5831</c:v>
                </c:pt>
                <c:pt idx="884">
                  <c:v>5831</c:v>
                </c:pt>
                <c:pt idx="885">
                  <c:v>5831</c:v>
                </c:pt>
                <c:pt idx="886">
                  <c:v>5831</c:v>
                </c:pt>
                <c:pt idx="887">
                  <c:v>5831</c:v>
                </c:pt>
                <c:pt idx="888">
                  <c:v>5831</c:v>
                </c:pt>
                <c:pt idx="889">
                  <c:v>5831</c:v>
                </c:pt>
                <c:pt idx="890">
                  <c:v>5831</c:v>
                </c:pt>
                <c:pt idx="891">
                  <c:v>5831</c:v>
                </c:pt>
                <c:pt idx="892">
                  <c:v>5831</c:v>
                </c:pt>
                <c:pt idx="893">
                  <c:v>5831</c:v>
                </c:pt>
                <c:pt idx="894">
                  <c:v>5831</c:v>
                </c:pt>
                <c:pt idx="895">
                  <c:v>5831</c:v>
                </c:pt>
                <c:pt idx="896">
                  <c:v>5831</c:v>
                </c:pt>
                <c:pt idx="897">
                  <c:v>5831</c:v>
                </c:pt>
                <c:pt idx="898">
                  <c:v>5831</c:v>
                </c:pt>
                <c:pt idx="899">
                  <c:v>5831</c:v>
                </c:pt>
                <c:pt idx="900">
                  <c:v>5831</c:v>
                </c:pt>
                <c:pt idx="901">
                  <c:v>5831</c:v>
                </c:pt>
                <c:pt idx="902">
                  <c:v>5831</c:v>
                </c:pt>
                <c:pt idx="903">
                  <c:v>5831</c:v>
                </c:pt>
                <c:pt idx="904">
                  <c:v>5831</c:v>
                </c:pt>
                <c:pt idx="905">
                  <c:v>5831</c:v>
                </c:pt>
                <c:pt idx="906">
                  <c:v>5831</c:v>
                </c:pt>
                <c:pt idx="907">
                  <c:v>5831</c:v>
                </c:pt>
                <c:pt idx="908">
                  <c:v>5831</c:v>
                </c:pt>
                <c:pt idx="909">
                  <c:v>5831</c:v>
                </c:pt>
                <c:pt idx="910">
                  <c:v>5831</c:v>
                </c:pt>
                <c:pt idx="911">
                  <c:v>5831</c:v>
                </c:pt>
                <c:pt idx="912">
                  <c:v>5831</c:v>
                </c:pt>
                <c:pt idx="913">
                  <c:v>5831</c:v>
                </c:pt>
                <c:pt idx="914">
                  <c:v>5831</c:v>
                </c:pt>
                <c:pt idx="915">
                  <c:v>5831</c:v>
                </c:pt>
                <c:pt idx="916">
                  <c:v>5831</c:v>
                </c:pt>
                <c:pt idx="917">
                  <c:v>5831</c:v>
                </c:pt>
                <c:pt idx="918">
                  <c:v>5831</c:v>
                </c:pt>
                <c:pt idx="919">
                  <c:v>5831</c:v>
                </c:pt>
                <c:pt idx="920">
                  <c:v>5831</c:v>
                </c:pt>
                <c:pt idx="921">
                  <c:v>5831</c:v>
                </c:pt>
                <c:pt idx="922">
                  <c:v>5831</c:v>
                </c:pt>
                <c:pt idx="923">
                  <c:v>5831</c:v>
                </c:pt>
                <c:pt idx="924">
                  <c:v>5831</c:v>
                </c:pt>
                <c:pt idx="925">
                  <c:v>5831</c:v>
                </c:pt>
                <c:pt idx="926">
                  <c:v>5831</c:v>
                </c:pt>
                <c:pt idx="927">
                  <c:v>5831</c:v>
                </c:pt>
                <c:pt idx="928">
                  <c:v>5831</c:v>
                </c:pt>
                <c:pt idx="929">
                  <c:v>5831</c:v>
                </c:pt>
                <c:pt idx="930">
                  <c:v>5831</c:v>
                </c:pt>
                <c:pt idx="931">
                  <c:v>5831</c:v>
                </c:pt>
                <c:pt idx="932">
                  <c:v>5831</c:v>
                </c:pt>
                <c:pt idx="933">
                  <c:v>5831</c:v>
                </c:pt>
                <c:pt idx="934">
                  <c:v>5831</c:v>
                </c:pt>
                <c:pt idx="935">
                  <c:v>5831</c:v>
                </c:pt>
                <c:pt idx="936">
                  <c:v>5831</c:v>
                </c:pt>
                <c:pt idx="937">
                  <c:v>5831</c:v>
                </c:pt>
                <c:pt idx="938">
                  <c:v>5831</c:v>
                </c:pt>
                <c:pt idx="939">
                  <c:v>5831</c:v>
                </c:pt>
                <c:pt idx="940">
                  <c:v>5831</c:v>
                </c:pt>
                <c:pt idx="941">
                  <c:v>5831</c:v>
                </c:pt>
                <c:pt idx="942">
                  <c:v>5831</c:v>
                </c:pt>
                <c:pt idx="943">
                  <c:v>5831</c:v>
                </c:pt>
                <c:pt idx="944">
                  <c:v>5831</c:v>
                </c:pt>
                <c:pt idx="945">
                  <c:v>5831</c:v>
                </c:pt>
                <c:pt idx="946">
                  <c:v>5831</c:v>
                </c:pt>
                <c:pt idx="947">
                  <c:v>5831</c:v>
                </c:pt>
                <c:pt idx="948">
                  <c:v>5831</c:v>
                </c:pt>
                <c:pt idx="949">
                  <c:v>5831</c:v>
                </c:pt>
                <c:pt idx="950">
                  <c:v>5831</c:v>
                </c:pt>
                <c:pt idx="951">
                  <c:v>5831</c:v>
                </c:pt>
                <c:pt idx="952">
                  <c:v>5831</c:v>
                </c:pt>
                <c:pt idx="953">
                  <c:v>5831</c:v>
                </c:pt>
                <c:pt idx="954">
                  <c:v>5831</c:v>
                </c:pt>
                <c:pt idx="955">
                  <c:v>5831</c:v>
                </c:pt>
                <c:pt idx="956">
                  <c:v>5831</c:v>
                </c:pt>
                <c:pt idx="957">
                  <c:v>5831</c:v>
                </c:pt>
                <c:pt idx="958">
                  <c:v>5831</c:v>
                </c:pt>
                <c:pt idx="959">
                  <c:v>5831</c:v>
                </c:pt>
                <c:pt idx="960">
                  <c:v>5831</c:v>
                </c:pt>
                <c:pt idx="961">
                  <c:v>5831</c:v>
                </c:pt>
                <c:pt idx="962">
                  <c:v>5831</c:v>
                </c:pt>
                <c:pt idx="963">
                  <c:v>5831</c:v>
                </c:pt>
                <c:pt idx="964">
                  <c:v>5831</c:v>
                </c:pt>
                <c:pt idx="965">
                  <c:v>5831</c:v>
                </c:pt>
                <c:pt idx="966">
                  <c:v>5831</c:v>
                </c:pt>
                <c:pt idx="967">
                  <c:v>5831</c:v>
                </c:pt>
                <c:pt idx="968">
                  <c:v>5831</c:v>
                </c:pt>
                <c:pt idx="969">
                  <c:v>5831</c:v>
                </c:pt>
                <c:pt idx="970">
                  <c:v>5831</c:v>
                </c:pt>
                <c:pt idx="971">
                  <c:v>5831</c:v>
                </c:pt>
                <c:pt idx="972">
                  <c:v>5831</c:v>
                </c:pt>
                <c:pt idx="973">
                  <c:v>5831</c:v>
                </c:pt>
                <c:pt idx="974">
                  <c:v>5831</c:v>
                </c:pt>
                <c:pt idx="975">
                  <c:v>5831</c:v>
                </c:pt>
                <c:pt idx="976">
                  <c:v>5831</c:v>
                </c:pt>
                <c:pt idx="977">
                  <c:v>5831</c:v>
                </c:pt>
                <c:pt idx="978">
                  <c:v>5831</c:v>
                </c:pt>
                <c:pt idx="979">
                  <c:v>5831</c:v>
                </c:pt>
                <c:pt idx="980">
                  <c:v>5831</c:v>
                </c:pt>
                <c:pt idx="981">
                  <c:v>5831</c:v>
                </c:pt>
                <c:pt idx="982">
                  <c:v>5831</c:v>
                </c:pt>
                <c:pt idx="983">
                  <c:v>5831</c:v>
                </c:pt>
                <c:pt idx="984">
                  <c:v>5831</c:v>
                </c:pt>
                <c:pt idx="985">
                  <c:v>5831</c:v>
                </c:pt>
                <c:pt idx="986">
                  <c:v>5831</c:v>
                </c:pt>
                <c:pt idx="987">
                  <c:v>5831</c:v>
                </c:pt>
                <c:pt idx="988">
                  <c:v>5831</c:v>
                </c:pt>
                <c:pt idx="989">
                  <c:v>5831</c:v>
                </c:pt>
                <c:pt idx="990">
                  <c:v>5831</c:v>
                </c:pt>
                <c:pt idx="991">
                  <c:v>5831</c:v>
                </c:pt>
                <c:pt idx="992">
                  <c:v>5831</c:v>
                </c:pt>
                <c:pt idx="993">
                  <c:v>5831</c:v>
                </c:pt>
                <c:pt idx="994">
                  <c:v>5831</c:v>
                </c:pt>
                <c:pt idx="995">
                  <c:v>5831</c:v>
                </c:pt>
                <c:pt idx="996">
                  <c:v>5831</c:v>
                </c:pt>
                <c:pt idx="997">
                  <c:v>5831</c:v>
                </c:pt>
                <c:pt idx="998">
                  <c:v>5831</c:v>
                </c:pt>
                <c:pt idx="999">
                  <c:v>5831</c:v>
                </c:pt>
                <c:pt idx="1000">
                  <c:v>5831</c:v>
                </c:pt>
                <c:pt idx="1001">
                  <c:v>5831</c:v>
                </c:pt>
                <c:pt idx="1002">
                  <c:v>5831</c:v>
                </c:pt>
                <c:pt idx="1003">
                  <c:v>5831</c:v>
                </c:pt>
                <c:pt idx="1004">
                  <c:v>5831</c:v>
                </c:pt>
                <c:pt idx="1005">
                  <c:v>5831</c:v>
                </c:pt>
                <c:pt idx="1006">
                  <c:v>5831</c:v>
                </c:pt>
                <c:pt idx="1007">
                  <c:v>5831</c:v>
                </c:pt>
                <c:pt idx="1008">
                  <c:v>5831</c:v>
                </c:pt>
                <c:pt idx="1009">
                  <c:v>5831</c:v>
                </c:pt>
                <c:pt idx="1010">
                  <c:v>5831</c:v>
                </c:pt>
                <c:pt idx="1011">
                  <c:v>5831</c:v>
                </c:pt>
                <c:pt idx="1012">
                  <c:v>5831</c:v>
                </c:pt>
                <c:pt idx="1013">
                  <c:v>5831</c:v>
                </c:pt>
                <c:pt idx="1014">
                  <c:v>5831</c:v>
                </c:pt>
                <c:pt idx="1015">
                  <c:v>5831</c:v>
                </c:pt>
                <c:pt idx="1016">
                  <c:v>5831</c:v>
                </c:pt>
                <c:pt idx="1017">
                  <c:v>5831</c:v>
                </c:pt>
                <c:pt idx="1018">
                  <c:v>5831</c:v>
                </c:pt>
                <c:pt idx="1019">
                  <c:v>5831</c:v>
                </c:pt>
                <c:pt idx="1020">
                  <c:v>5831</c:v>
                </c:pt>
                <c:pt idx="1021">
                  <c:v>5831</c:v>
                </c:pt>
                <c:pt idx="1022">
                  <c:v>5831</c:v>
                </c:pt>
                <c:pt idx="1023">
                  <c:v>5831</c:v>
                </c:pt>
                <c:pt idx="1024">
                  <c:v>5831</c:v>
                </c:pt>
                <c:pt idx="1025">
                  <c:v>5831</c:v>
                </c:pt>
                <c:pt idx="1026">
                  <c:v>5831</c:v>
                </c:pt>
                <c:pt idx="1027">
                  <c:v>5831</c:v>
                </c:pt>
                <c:pt idx="1028">
                  <c:v>5831</c:v>
                </c:pt>
                <c:pt idx="1029">
                  <c:v>5831</c:v>
                </c:pt>
                <c:pt idx="1030">
                  <c:v>5831</c:v>
                </c:pt>
                <c:pt idx="1031">
                  <c:v>5831</c:v>
                </c:pt>
                <c:pt idx="1032">
                  <c:v>5831</c:v>
                </c:pt>
                <c:pt idx="1033">
                  <c:v>5831</c:v>
                </c:pt>
                <c:pt idx="1034">
                  <c:v>5831</c:v>
                </c:pt>
                <c:pt idx="1035">
                  <c:v>5831</c:v>
                </c:pt>
                <c:pt idx="1036">
                  <c:v>5831</c:v>
                </c:pt>
                <c:pt idx="1037">
                  <c:v>5831</c:v>
                </c:pt>
                <c:pt idx="1038">
                  <c:v>5831</c:v>
                </c:pt>
                <c:pt idx="1039">
                  <c:v>5831</c:v>
                </c:pt>
                <c:pt idx="1040">
                  <c:v>5831</c:v>
                </c:pt>
                <c:pt idx="1041">
                  <c:v>5831</c:v>
                </c:pt>
                <c:pt idx="1042">
                  <c:v>5831</c:v>
                </c:pt>
                <c:pt idx="1043">
                  <c:v>5831</c:v>
                </c:pt>
                <c:pt idx="1044">
                  <c:v>5831</c:v>
                </c:pt>
                <c:pt idx="1045">
                  <c:v>5831</c:v>
                </c:pt>
                <c:pt idx="1046">
                  <c:v>5831</c:v>
                </c:pt>
                <c:pt idx="1047">
                  <c:v>5831</c:v>
                </c:pt>
                <c:pt idx="1048">
                  <c:v>5831</c:v>
                </c:pt>
                <c:pt idx="1049">
                  <c:v>5831</c:v>
                </c:pt>
                <c:pt idx="1050">
                  <c:v>5831</c:v>
                </c:pt>
                <c:pt idx="1051">
                  <c:v>5831</c:v>
                </c:pt>
                <c:pt idx="1052">
                  <c:v>5831</c:v>
                </c:pt>
                <c:pt idx="1053">
                  <c:v>5831</c:v>
                </c:pt>
                <c:pt idx="1054">
                  <c:v>5831</c:v>
                </c:pt>
                <c:pt idx="1055">
                  <c:v>5831</c:v>
                </c:pt>
                <c:pt idx="1056">
                  <c:v>5831</c:v>
                </c:pt>
                <c:pt idx="1057">
                  <c:v>5831</c:v>
                </c:pt>
                <c:pt idx="1058">
                  <c:v>5831</c:v>
                </c:pt>
                <c:pt idx="1059">
                  <c:v>5831</c:v>
                </c:pt>
                <c:pt idx="1060">
                  <c:v>5831</c:v>
                </c:pt>
                <c:pt idx="1061">
                  <c:v>5831</c:v>
                </c:pt>
                <c:pt idx="1062">
                  <c:v>5831</c:v>
                </c:pt>
                <c:pt idx="1063">
                  <c:v>5831</c:v>
                </c:pt>
                <c:pt idx="1064">
                  <c:v>5831</c:v>
                </c:pt>
                <c:pt idx="1065">
                  <c:v>5831</c:v>
                </c:pt>
                <c:pt idx="1066">
                  <c:v>5831</c:v>
                </c:pt>
                <c:pt idx="1067">
                  <c:v>5831</c:v>
                </c:pt>
                <c:pt idx="1068">
                  <c:v>5831</c:v>
                </c:pt>
                <c:pt idx="1069">
                  <c:v>5831</c:v>
                </c:pt>
                <c:pt idx="1070">
                  <c:v>5831</c:v>
                </c:pt>
                <c:pt idx="1071">
                  <c:v>5831</c:v>
                </c:pt>
                <c:pt idx="1072">
                  <c:v>5831</c:v>
                </c:pt>
                <c:pt idx="1073">
                  <c:v>5831</c:v>
                </c:pt>
                <c:pt idx="1074">
                  <c:v>5831</c:v>
                </c:pt>
                <c:pt idx="1075">
                  <c:v>5831</c:v>
                </c:pt>
                <c:pt idx="1076">
                  <c:v>5831</c:v>
                </c:pt>
                <c:pt idx="1077">
                  <c:v>5831</c:v>
                </c:pt>
                <c:pt idx="1078">
                  <c:v>5831</c:v>
                </c:pt>
                <c:pt idx="1079">
                  <c:v>5831</c:v>
                </c:pt>
                <c:pt idx="1080">
                  <c:v>5831</c:v>
                </c:pt>
                <c:pt idx="1081">
                  <c:v>5831</c:v>
                </c:pt>
                <c:pt idx="1082">
                  <c:v>5831</c:v>
                </c:pt>
                <c:pt idx="1083">
                  <c:v>5831</c:v>
                </c:pt>
                <c:pt idx="1084">
                  <c:v>5831</c:v>
                </c:pt>
                <c:pt idx="1085">
                  <c:v>5831</c:v>
                </c:pt>
                <c:pt idx="1086">
                  <c:v>5831</c:v>
                </c:pt>
                <c:pt idx="1087">
                  <c:v>5831</c:v>
                </c:pt>
                <c:pt idx="1088">
                  <c:v>5831</c:v>
                </c:pt>
                <c:pt idx="1089">
                  <c:v>5831</c:v>
                </c:pt>
                <c:pt idx="1090">
                  <c:v>5831</c:v>
                </c:pt>
                <c:pt idx="1091">
                  <c:v>5831</c:v>
                </c:pt>
                <c:pt idx="1092">
                  <c:v>5831</c:v>
                </c:pt>
                <c:pt idx="1093">
                  <c:v>5831</c:v>
                </c:pt>
                <c:pt idx="1094">
                  <c:v>5831</c:v>
                </c:pt>
                <c:pt idx="1095">
                  <c:v>5831</c:v>
                </c:pt>
                <c:pt idx="1096">
                  <c:v>5831</c:v>
                </c:pt>
                <c:pt idx="1097">
                  <c:v>5831</c:v>
                </c:pt>
                <c:pt idx="1098">
                  <c:v>5831</c:v>
                </c:pt>
                <c:pt idx="1099">
                  <c:v>5831</c:v>
                </c:pt>
                <c:pt idx="1100">
                  <c:v>5831</c:v>
                </c:pt>
                <c:pt idx="1101">
                  <c:v>5831</c:v>
                </c:pt>
                <c:pt idx="1102">
                  <c:v>5831</c:v>
                </c:pt>
                <c:pt idx="1103">
                  <c:v>5831</c:v>
                </c:pt>
                <c:pt idx="1104">
                  <c:v>5831</c:v>
                </c:pt>
                <c:pt idx="1105">
                  <c:v>5831</c:v>
                </c:pt>
                <c:pt idx="1106">
                  <c:v>5831</c:v>
                </c:pt>
                <c:pt idx="1107">
                  <c:v>5831</c:v>
                </c:pt>
                <c:pt idx="1108">
                  <c:v>5831</c:v>
                </c:pt>
                <c:pt idx="1109">
                  <c:v>5831</c:v>
                </c:pt>
                <c:pt idx="1110">
                  <c:v>5831</c:v>
                </c:pt>
                <c:pt idx="1111">
                  <c:v>5831</c:v>
                </c:pt>
                <c:pt idx="1112">
                  <c:v>5831</c:v>
                </c:pt>
                <c:pt idx="1113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B-4398-A07C-8480D969FF4D}"/>
            </c:ext>
          </c:extLst>
        </c:ser>
        <c:ser>
          <c:idx val="3"/>
          <c:order val="5"/>
          <c:tx>
            <c:strRef>
              <c:f>Pages!$H$1</c:f>
              <c:strCache>
                <c:ptCount val="1"/>
                <c:pt idx="0">
                  <c:v>Cumulative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[0]!PagesCum2025All</c:f>
              <c:numCache>
                <c:formatCode>General</c:formatCode>
                <c:ptCount val="8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53</c:v>
                </c:pt>
                <c:pt idx="458">
                  <c:v>85</c:v>
                </c:pt>
                <c:pt idx="459">
                  <c:v>85</c:v>
                </c:pt>
                <c:pt idx="460">
                  <c:v>85</c:v>
                </c:pt>
                <c:pt idx="461">
                  <c:v>85</c:v>
                </c:pt>
                <c:pt idx="462">
                  <c:v>85</c:v>
                </c:pt>
                <c:pt idx="463">
                  <c:v>85</c:v>
                </c:pt>
                <c:pt idx="464">
                  <c:v>85</c:v>
                </c:pt>
                <c:pt idx="465">
                  <c:v>85</c:v>
                </c:pt>
                <c:pt idx="466">
                  <c:v>85</c:v>
                </c:pt>
                <c:pt idx="467">
                  <c:v>85</c:v>
                </c:pt>
                <c:pt idx="468">
                  <c:v>85</c:v>
                </c:pt>
                <c:pt idx="469">
                  <c:v>107</c:v>
                </c:pt>
                <c:pt idx="470">
                  <c:v>122</c:v>
                </c:pt>
                <c:pt idx="471">
                  <c:v>122</c:v>
                </c:pt>
                <c:pt idx="472">
                  <c:v>156</c:v>
                </c:pt>
                <c:pt idx="473">
                  <c:v>156</c:v>
                </c:pt>
                <c:pt idx="474">
                  <c:v>156</c:v>
                </c:pt>
                <c:pt idx="475">
                  <c:v>156</c:v>
                </c:pt>
                <c:pt idx="476">
                  <c:v>156</c:v>
                </c:pt>
                <c:pt idx="477">
                  <c:v>156</c:v>
                </c:pt>
                <c:pt idx="478">
                  <c:v>156</c:v>
                </c:pt>
                <c:pt idx="479">
                  <c:v>156</c:v>
                </c:pt>
                <c:pt idx="480">
                  <c:v>156</c:v>
                </c:pt>
                <c:pt idx="481">
                  <c:v>156</c:v>
                </c:pt>
                <c:pt idx="482">
                  <c:v>156</c:v>
                </c:pt>
                <c:pt idx="483">
                  <c:v>156</c:v>
                </c:pt>
                <c:pt idx="484">
                  <c:v>189</c:v>
                </c:pt>
                <c:pt idx="485">
                  <c:v>277</c:v>
                </c:pt>
                <c:pt idx="486">
                  <c:v>277</c:v>
                </c:pt>
                <c:pt idx="487">
                  <c:v>315</c:v>
                </c:pt>
                <c:pt idx="488">
                  <c:v>315</c:v>
                </c:pt>
                <c:pt idx="489">
                  <c:v>349</c:v>
                </c:pt>
                <c:pt idx="490">
                  <c:v>349</c:v>
                </c:pt>
                <c:pt idx="491">
                  <c:v>349</c:v>
                </c:pt>
                <c:pt idx="492">
                  <c:v>478</c:v>
                </c:pt>
                <c:pt idx="493">
                  <c:v>478</c:v>
                </c:pt>
                <c:pt idx="494">
                  <c:v>478</c:v>
                </c:pt>
                <c:pt idx="495">
                  <c:v>497</c:v>
                </c:pt>
                <c:pt idx="496">
                  <c:v>522</c:v>
                </c:pt>
                <c:pt idx="497">
                  <c:v>545</c:v>
                </c:pt>
                <c:pt idx="498">
                  <c:v>545</c:v>
                </c:pt>
                <c:pt idx="499">
                  <c:v>617</c:v>
                </c:pt>
                <c:pt idx="500">
                  <c:v>663</c:v>
                </c:pt>
                <c:pt idx="501">
                  <c:v>675</c:v>
                </c:pt>
                <c:pt idx="502">
                  <c:v>675</c:v>
                </c:pt>
                <c:pt idx="503">
                  <c:v>675</c:v>
                </c:pt>
                <c:pt idx="504">
                  <c:v>675</c:v>
                </c:pt>
                <c:pt idx="505">
                  <c:v>675</c:v>
                </c:pt>
                <c:pt idx="506">
                  <c:v>675</c:v>
                </c:pt>
                <c:pt idx="507">
                  <c:v>782</c:v>
                </c:pt>
                <c:pt idx="508">
                  <c:v>782</c:v>
                </c:pt>
                <c:pt idx="509">
                  <c:v>782</c:v>
                </c:pt>
                <c:pt idx="510">
                  <c:v>782</c:v>
                </c:pt>
                <c:pt idx="511">
                  <c:v>782</c:v>
                </c:pt>
                <c:pt idx="512">
                  <c:v>782</c:v>
                </c:pt>
                <c:pt idx="513">
                  <c:v>782</c:v>
                </c:pt>
                <c:pt idx="514">
                  <c:v>782</c:v>
                </c:pt>
                <c:pt idx="515">
                  <c:v>782</c:v>
                </c:pt>
                <c:pt idx="516">
                  <c:v>782</c:v>
                </c:pt>
                <c:pt idx="517">
                  <c:v>782</c:v>
                </c:pt>
                <c:pt idx="518">
                  <c:v>782</c:v>
                </c:pt>
                <c:pt idx="519">
                  <c:v>782</c:v>
                </c:pt>
                <c:pt idx="520">
                  <c:v>782</c:v>
                </c:pt>
                <c:pt idx="521">
                  <c:v>782</c:v>
                </c:pt>
                <c:pt idx="522">
                  <c:v>782</c:v>
                </c:pt>
                <c:pt idx="523">
                  <c:v>782</c:v>
                </c:pt>
                <c:pt idx="524">
                  <c:v>782</c:v>
                </c:pt>
                <c:pt idx="525">
                  <c:v>782</c:v>
                </c:pt>
                <c:pt idx="526">
                  <c:v>782</c:v>
                </c:pt>
                <c:pt idx="527">
                  <c:v>782</c:v>
                </c:pt>
                <c:pt idx="528">
                  <c:v>782</c:v>
                </c:pt>
                <c:pt idx="529">
                  <c:v>782</c:v>
                </c:pt>
                <c:pt idx="530">
                  <c:v>782</c:v>
                </c:pt>
                <c:pt idx="531">
                  <c:v>782</c:v>
                </c:pt>
                <c:pt idx="532">
                  <c:v>782</c:v>
                </c:pt>
                <c:pt idx="533">
                  <c:v>782</c:v>
                </c:pt>
                <c:pt idx="534">
                  <c:v>782</c:v>
                </c:pt>
                <c:pt idx="535">
                  <c:v>782</c:v>
                </c:pt>
                <c:pt idx="536">
                  <c:v>782</c:v>
                </c:pt>
                <c:pt idx="537">
                  <c:v>782</c:v>
                </c:pt>
                <c:pt idx="538">
                  <c:v>782</c:v>
                </c:pt>
                <c:pt idx="539">
                  <c:v>782</c:v>
                </c:pt>
                <c:pt idx="540">
                  <c:v>782</c:v>
                </c:pt>
                <c:pt idx="541">
                  <c:v>782</c:v>
                </c:pt>
                <c:pt idx="542">
                  <c:v>782</c:v>
                </c:pt>
                <c:pt idx="543">
                  <c:v>782</c:v>
                </c:pt>
                <c:pt idx="544">
                  <c:v>782</c:v>
                </c:pt>
                <c:pt idx="545">
                  <c:v>782</c:v>
                </c:pt>
                <c:pt idx="546">
                  <c:v>782</c:v>
                </c:pt>
                <c:pt idx="547">
                  <c:v>782</c:v>
                </c:pt>
                <c:pt idx="548">
                  <c:v>782</c:v>
                </c:pt>
                <c:pt idx="549">
                  <c:v>782</c:v>
                </c:pt>
                <c:pt idx="550">
                  <c:v>782</c:v>
                </c:pt>
                <c:pt idx="551">
                  <c:v>782</c:v>
                </c:pt>
                <c:pt idx="552">
                  <c:v>782</c:v>
                </c:pt>
                <c:pt idx="553">
                  <c:v>782</c:v>
                </c:pt>
                <c:pt idx="554">
                  <c:v>782</c:v>
                </c:pt>
                <c:pt idx="555">
                  <c:v>782</c:v>
                </c:pt>
                <c:pt idx="556">
                  <c:v>782</c:v>
                </c:pt>
                <c:pt idx="557">
                  <c:v>782</c:v>
                </c:pt>
                <c:pt idx="558">
                  <c:v>782</c:v>
                </c:pt>
                <c:pt idx="559">
                  <c:v>782</c:v>
                </c:pt>
                <c:pt idx="560">
                  <c:v>782</c:v>
                </c:pt>
                <c:pt idx="561">
                  <c:v>782</c:v>
                </c:pt>
                <c:pt idx="562">
                  <c:v>782</c:v>
                </c:pt>
                <c:pt idx="563">
                  <c:v>782</c:v>
                </c:pt>
                <c:pt idx="564">
                  <c:v>782</c:v>
                </c:pt>
                <c:pt idx="565">
                  <c:v>782</c:v>
                </c:pt>
                <c:pt idx="566">
                  <c:v>782</c:v>
                </c:pt>
                <c:pt idx="567">
                  <c:v>782</c:v>
                </c:pt>
                <c:pt idx="568">
                  <c:v>782</c:v>
                </c:pt>
                <c:pt idx="569">
                  <c:v>782</c:v>
                </c:pt>
                <c:pt idx="570">
                  <c:v>782</c:v>
                </c:pt>
                <c:pt idx="571">
                  <c:v>782</c:v>
                </c:pt>
                <c:pt idx="572">
                  <c:v>782</c:v>
                </c:pt>
                <c:pt idx="573">
                  <c:v>782</c:v>
                </c:pt>
                <c:pt idx="574">
                  <c:v>782</c:v>
                </c:pt>
                <c:pt idx="575">
                  <c:v>782</c:v>
                </c:pt>
                <c:pt idx="576">
                  <c:v>782</c:v>
                </c:pt>
                <c:pt idx="577">
                  <c:v>782</c:v>
                </c:pt>
                <c:pt idx="578">
                  <c:v>782</c:v>
                </c:pt>
                <c:pt idx="579">
                  <c:v>782</c:v>
                </c:pt>
                <c:pt idx="580">
                  <c:v>827</c:v>
                </c:pt>
                <c:pt idx="581">
                  <c:v>827</c:v>
                </c:pt>
                <c:pt idx="582">
                  <c:v>827</c:v>
                </c:pt>
                <c:pt idx="583">
                  <c:v>827</c:v>
                </c:pt>
                <c:pt idx="584">
                  <c:v>827</c:v>
                </c:pt>
                <c:pt idx="585">
                  <c:v>827</c:v>
                </c:pt>
                <c:pt idx="586">
                  <c:v>827</c:v>
                </c:pt>
                <c:pt idx="587">
                  <c:v>827</c:v>
                </c:pt>
                <c:pt idx="588">
                  <c:v>827</c:v>
                </c:pt>
                <c:pt idx="589">
                  <c:v>827</c:v>
                </c:pt>
                <c:pt idx="590">
                  <c:v>827</c:v>
                </c:pt>
                <c:pt idx="591">
                  <c:v>827</c:v>
                </c:pt>
                <c:pt idx="592">
                  <c:v>827</c:v>
                </c:pt>
                <c:pt idx="593">
                  <c:v>827</c:v>
                </c:pt>
                <c:pt idx="594">
                  <c:v>827</c:v>
                </c:pt>
                <c:pt idx="595">
                  <c:v>827</c:v>
                </c:pt>
                <c:pt idx="596">
                  <c:v>827</c:v>
                </c:pt>
                <c:pt idx="597">
                  <c:v>827</c:v>
                </c:pt>
                <c:pt idx="598">
                  <c:v>827</c:v>
                </c:pt>
                <c:pt idx="599">
                  <c:v>827</c:v>
                </c:pt>
                <c:pt idx="600">
                  <c:v>827</c:v>
                </c:pt>
                <c:pt idx="601">
                  <c:v>827</c:v>
                </c:pt>
                <c:pt idx="602">
                  <c:v>827</c:v>
                </c:pt>
                <c:pt idx="603">
                  <c:v>827</c:v>
                </c:pt>
                <c:pt idx="604">
                  <c:v>827</c:v>
                </c:pt>
                <c:pt idx="605">
                  <c:v>827</c:v>
                </c:pt>
                <c:pt idx="606">
                  <c:v>827</c:v>
                </c:pt>
                <c:pt idx="607">
                  <c:v>827</c:v>
                </c:pt>
                <c:pt idx="608">
                  <c:v>831</c:v>
                </c:pt>
                <c:pt idx="609">
                  <c:v>831</c:v>
                </c:pt>
                <c:pt idx="610">
                  <c:v>831</c:v>
                </c:pt>
                <c:pt idx="611">
                  <c:v>831</c:v>
                </c:pt>
                <c:pt idx="612">
                  <c:v>831</c:v>
                </c:pt>
                <c:pt idx="613">
                  <c:v>831</c:v>
                </c:pt>
                <c:pt idx="614">
                  <c:v>831</c:v>
                </c:pt>
                <c:pt idx="615">
                  <c:v>831</c:v>
                </c:pt>
                <c:pt idx="616">
                  <c:v>831</c:v>
                </c:pt>
                <c:pt idx="617">
                  <c:v>831</c:v>
                </c:pt>
                <c:pt idx="618">
                  <c:v>831</c:v>
                </c:pt>
                <c:pt idx="619">
                  <c:v>831</c:v>
                </c:pt>
                <c:pt idx="620">
                  <c:v>831</c:v>
                </c:pt>
                <c:pt idx="621">
                  <c:v>831</c:v>
                </c:pt>
                <c:pt idx="622">
                  <c:v>831</c:v>
                </c:pt>
                <c:pt idx="623">
                  <c:v>831</c:v>
                </c:pt>
                <c:pt idx="624">
                  <c:v>831</c:v>
                </c:pt>
                <c:pt idx="625">
                  <c:v>831</c:v>
                </c:pt>
                <c:pt idx="626">
                  <c:v>831</c:v>
                </c:pt>
                <c:pt idx="627">
                  <c:v>831</c:v>
                </c:pt>
                <c:pt idx="628">
                  <c:v>831</c:v>
                </c:pt>
                <c:pt idx="629">
                  <c:v>831</c:v>
                </c:pt>
                <c:pt idx="630">
                  <c:v>831</c:v>
                </c:pt>
                <c:pt idx="631">
                  <c:v>831</c:v>
                </c:pt>
                <c:pt idx="632">
                  <c:v>831</c:v>
                </c:pt>
                <c:pt idx="633">
                  <c:v>831</c:v>
                </c:pt>
                <c:pt idx="634">
                  <c:v>831</c:v>
                </c:pt>
                <c:pt idx="635">
                  <c:v>831</c:v>
                </c:pt>
                <c:pt idx="636">
                  <c:v>831</c:v>
                </c:pt>
                <c:pt idx="637">
                  <c:v>831</c:v>
                </c:pt>
                <c:pt idx="638">
                  <c:v>831</c:v>
                </c:pt>
                <c:pt idx="639">
                  <c:v>831</c:v>
                </c:pt>
                <c:pt idx="640">
                  <c:v>831</c:v>
                </c:pt>
                <c:pt idx="641">
                  <c:v>831</c:v>
                </c:pt>
                <c:pt idx="642">
                  <c:v>831</c:v>
                </c:pt>
                <c:pt idx="643">
                  <c:v>831</c:v>
                </c:pt>
                <c:pt idx="644">
                  <c:v>831</c:v>
                </c:pt>
                <c:pt idx="645">
                  <c:v>831</c:v>
                </c:pt>
                <c:pt idx="646">
                  <c:v>831</c:v>
                </c:pt>
                <c:pt idx="647">
                  <c:v>831</c:v>
                </c:pt>
                <c:pt idx="648">
                  <c:v>831</c:v>
                </c:pt>
                <c:pt idx="649">
                  <c:v>831</c:v>
                </c:pt>
                <c:pt idx="650">
                  <c:v>831</c:v>
                </c:pt>
                <c:pt idx="651">
                  <c:v>831</c:v>
                </c:pt>
                <c:pt idx="652">
                  <c:v>831</c:v>
                </c:pt>
                <c:pt idx="653">
                  <c:v>831</c:v>
                </c:pt>
                <c:pt idx="654">
                  <c:v>831</c:v>
                </c:pt>
                <c:pt idx="655">
                  <c:v>831</c:v>
                </c:pt>
                <c:pt idx="656">
                  <c:v>831</c:v>
                </c:pt>
                <c:pt idx="657">
                  <c:v>831</c:v>
                </c:pt>
                <c:pt idx="658">
                  <c:v>831</c:v>
                </c:pt>
                <c:pt idx="659">
                  <c:v>831</c:v>
                </c:pt>
                <c:pt idx="660">
                  <c:v>831</c:v>
                </c:pt>
                <c:pt idx="661">
                  <c:v>831</c:v>
                </c:pt>
                <c:pt idx="662">
                  <c:v>831</c:v>
                </c:pt>
                <c:pt idx="663">
                  <c:v>831</c:v>
                </c:pt>
                <c:pt idx="664">
                  <c:v>831</c:v>
                </c:pt>
                <c:pt idx="665">
                  <c:v>831</c:v>
                </c:pt>
                <c:pt idx="666">
                  <c:v>831</c:v>
                </c:pt>
                <c:pt idx="667">
                  <c:v>831</c:v>
                </c:pt>
                <c:pt idx="668">
                  <c:v>831</c:v>
                </c:pt>
                <c:pt idx="669">
                  <c:v>831</c:v>
                </c:pt>
                <c:pt idx="670">
                  <c:v>831</c:v>
                </c:pt>
                <c:pt idx="671">
                  <c:v>831</c:v>
                </c:pt>
                <c:pt idx="672">
                  <c:v>831</c:v>
                </c:pt>
                <c:pt idx="673">
                  <c:v>831</c:v>
                </c:pt>
                <c:pt idx="674">
                  <c:v>868</c:v>
                </c:pt>
                <c:pt idx="675">
                  <c:v>868</c:v>
                </c:pt>
                <c:pt idx="676">
                  <c:v>868</c:v>
                </c:pt>
                <c:pt idx="677">
                  <c:v>868</c:v>
                </c:pt>
                <c:pt idx="678">
                  <c:v>868</c:v>
                </c:pt>
                <c:pt idx="679">
                  <c:v>911</c:v>
                </c:pt>
                <c:pt idx="680">
                  <c:v>911</c:v>
                </c:pt>
                <c:pt idx="681">
                  <c:v>936</c:v>
                </c:pt>
                <c:pt idx="682">
                  <c:v>936</c:v>
                </c:pt>
                <c:pt idx="683">
                  <c:v>936</c:v>
                </c:pt>
                <c:pt idx="684">
                  <c:v>936</c:v>
                </c:pt>
                <c:pt idx="685">
                  <c:v>936</c:v>
                </c:pt>
                <c:pt idx="686">
                  <c:v>979</c:v>
                </c:pt>
                <c:pt idx="687">
                  <c:v>979</c:v>
                </c:pt>
                <c:pt idx="688">
                  <c:v>1009</c:v>
                </c:pt>
                <c:pt idx="689">
                  <c:v>1134</c:v>
                </c:pt>
                <c:pt idx="690">
                  <c:v>1134</c:v>
                </c:pt>
                <c:pt idx="691">
                  <c:v>1134</c:v>
                </c:pt>
                <c:pt idx="692">
                  <c:v>1134</c:v>
                </c:pt>
                <c:pt idx="693">
                  <c:v>1134</c:v>
                </c:pt>
                <c:pt idx="694">
                  <c:v>1134</c:v>
                </c:pt>
                <c:pt idx="695">
                  <c:v>1134</c:v>
                </c:pt>
                <c:pt idx="696">
                  <c:v>1134</c:v>
                </c:pt>
                <c:pt idx="697">
                  <c:v>1134</c:v>
                </c:pt>
                <c:pt idx="698">
                  <c:v>1134</c:v>
                </c:pt>
                <c:pt idx="699">
                  <c:v>1134</c:v>
                </c:pt>
                <c:pt idx="700">
                  <c:v>1134</c:v>
                </c:pt>
                <c:pt idx="701">
                  <c:v>1134</c:v>
                </c:pt>
                <c:pt idx="702">
                  <c:v>1134</c:v>
                </c:pt>
                <c:pt idx="703">
                  <c:v>1134</c:v>
                </c:pt>
                <c:pt idx="704">
                  <c:v>1134</c:v>
                </c:pt>
                <c:pt idx="705">
                  <c:v>1134</c:v>
                </c:pt>
                <c:pt idx="706">
                  <c:v>1134</c:v>
                </c:pt>
                <c:pt idx="707">
                  <c:v>1134</c:v>
                </c:pt>
                <c:pt idx="708">
                  <c:v>1134</c:v>
                </c:pt>
                <c:pt idx="709">
                  <c:v>1134</c:v>
                </c:pt>
                <c:pt idx="710">
                  <c:v>1134</c:v>
                </c:pt>
                <c:pt idx="711">
                  <c:v>1134</c:v>
                </c:pt>
                <c:pt idx="712">
                  <c:v>1199</c:v>
                </c:pt>
                <c:pt idx="713">
                  <c:v>1285</c:v>
                </c:pt>
                <c:pt idx="714">
                  <c:v>1322</c:v>
                </c:pt>
                <c:pt idx="715">
                  <c:v>1343</c:v>
                </c:pt>
                <c:pt idx="716">
                  <c:v>1343</c:v>
                </c:pt>
                <c:pt idx="717">
                  <c:v>1343</c:v>
                </c:pt>
                <c:pt idx="718">
                  <c:v>1377</c:v>
                </c:pt>
                <c:pt idx="719">
                  <c:v>1377</c:v>
                </c:pt>
                <c:pt idx="720">
                  <c:v>1377</c:v>
                </c:pt>
                <c:pt idx="721">
                  <c:v>1377</c:v>
                </c:pt>
                <c:pt idx="722">
                  <c:v>1377</c:v>
                </c:pt>
                <c:pt idx="723">
                  <c:v>1377</c:v>
                </c:pt>
                <c:pt idx="724">
                  <c:v>1377</c:v>
                </c:pt>
                <c:pt idx="725">
                  <c:v>1377</c:v>
                </c:pt>
                <c:pt idx="726">
                  <c:v>1377</c:v>
                </c:pt>
                <c:pt idx="727">
                  <c:v>1377</c:v>
                </c:pt>
                <c:pt idx="728">
                  <c:v>1377</c:v>
                </c:pt>
                <c:pt idx="729">
                  <c:v>1377</c:v>
                </c:pt>
                <c:pt idx="730">
                  <c:v>1377</c:v>
                </c:pt>
                <c:pt idx="731">
                  <c:v>1377</c:v>
                </c:pt>
                <c:pt idx="732">
                  <c:v>1377</c:v>
                </c:pt>
                <c:pt idx="733">
                  <c:v>1377</c:v>
                </c:pt>
                <c:pt idx="734">
                  <c:v>1377</c:v>
                </c:pt>
                <c:pt idx="735">
                  <c:v>1377</c:v>
                </c:pt>
                <c:pt idx="736">
                  <c:v>1377</c:v>
                </c:pt>
                <c:pt idx="737">
                  <c:v>1377</c:v>
                </c:pt>
                <c:pt idx="738">
                  <c:v>1377</c:v>
                </c:pt>
                <c:pt idx="739">
                  <c:v>1377</c:v>
                </c:pt>
                <c:pt idx="740">
                  <c:v>1377</c:v>
                </c:pt>
                <c:pt idx="741">
                  <c:v>1377</c:v>
                </c:pt>
                <c:pt idx="742">
                  <c:v>1377</c:v>
                </c:pt>
                <c:pt idx="743">
                  <c:v>1377</c:v>
                </c:pt>
                <c:pt idx="744">
                  <c:v>1377</c:v>
                </c:pt>
                <c:pt idx="745">
                  <c:v>1377</c:v>
                </c:pt>
                <c:pt idx="746">
                  <c:v>1377</c:v>
                </c:pt>
                <c:pt idx="747">
                  <c:v>1377</c:v>
                </c:pt>
                <c:pt idx="748">
                  <c:v>1377</c:v>
                </c:pt>
                <c:pt idx="749">
                  <c:v>1377</c:v>
                </c:pt>
                <c:pt idx="750">
                  <c:v>1377</c:v>
                </c:pt>
                <c:pt idx="751">
                  <c:v>1377</c:v>
                </c:pt>
                <c:pt idx="752">
                  <c:v>1377</c:v>
                </c:pt>
                <c:pt idx="753">
                  <c:v>1377</c:v>
                </c:pt>
                <c:pt idx="754">
                  <c:v>1377</c:v>
                </c:pt>
                <c:pt idx="755">
                  <c:v>1377</c:v>
                </c:pt>
                <c:pt idx="756">
                  <c:v>1377</c:v>
                </c:pt>
                <c:pt idx="757">
                  <c:v>1377</c:v>
                </c:pt>
                <c:pt idx="758">
                  <c:v>1377</c:v>
                </c:pt>
                <c:pt idx="759">
                  <c:v>1377</c:v>
                </c:pt>
                <c:pt idx="760">
                  <c:v>1377</c:v>
                </c:pt>
                <c:pt idx="761">
                  <c:v>1377</c:v>
                </c:pt>
                <c:pt idx="762">
                  <c:v>1377</c:v>
                </c:pt>
                <c:pt idx="763">
                  <c:v>1377</c:v>
                </c:pt>
                <c:pt idx="764">
                  <c:v>1377</c:v>
                </c:pt>
                <c:pt idx="765">
                  <c:v>1377</c:v>
                </c:pt>
                <c:pt idx="766">
                  <c:v>1377</c:v>
                </c:pt>
                <c:pt idx="767">
                  <c:v>1377</c:v>
                </c:pt>
                <c:pt idx="768">
                  <c:v>1377</c:v>
                </c:pt>
                <c:pt idx="769">
                  <c:v>1377</c:v>
                </c:pt>
                <c:pt idx="770">
                  <c:v>1377</c:v>
                </c:pt>
                <c:pt idx="771">
                  <c:v>1377</c:v>
                </c:pt>
                <c:pt idx="772">
                  <c:v>1377</c:v>
                </c:pt>
                <c:pt idx="773">
                  <c:v>1377</c:v>
                </c:pt>
                <c:pt idx="774">
                  <c:v>1377</c:v>
                </c:pt>
                <c:pt idx="775">
                  <c:v>1377</c:v>
                </c:pt>
                <c:pt idx="776">
                  <c:v>1377</c:v>
                </c:pt>
                <c:pt idx="777">
                  <c:v>1377</c:v>
                </c:pt>
                <c:pt idx="778">
                  <c:v>1377</c:v>
                </c:pt>
                <c:pt idx="779">
                  <c:v>1377</c:v>
                </c:pt>
                <c:pt idx="780">
                  <c:v>1377</c:v>
                </c:pt>
                <c:pt idx="781">
                  <c:v>1377</c:v>
                </c:pt>
                <c:pt idx="782">
                  <c:v>1377</c:v>
                </c:pt>
                <c:pt idx="783">
                  <c:v>1377</c:v>
                </c:pt>
                <c:pt idx="784">
                  <c:v>1377</c:v>
                </c:pt>
                <c:pt idx="785">
                  <c:v>1377</c:v>
                </c:pt>
                <c:pt idx="786">
                  <c:v>1377</c:v>
                </c:pt>
                <c:pt idx="787">
                  <c:v>1377</c:v>
                </c:pt>
                <c:pt idx="788">
                  <c:v>1377</c:v>
                </c:pt>
                <c:pt idx="789">
                  <c:v>1377</c:v>
                </c:pt>
                <c:pt idx="790">
                  <c:v>1377</c:v>
                </c:pt>
                <c:pt idx="791">
                  <c:v>1377</c:v>
                </c:pt>
                <c:pt idx="792">
                  <c:v>1377</c:v>
                </c:pt>
                <c:pt idx="793">
                  <c:v>1377</c:v>
                </c:pt>
                <c:pt idx="794">
                  <c:v>1377</c:v>
                </c:pt>
                <c:pt idx="795">
                  <c:v>1377</c:v>
                </c:pt>
                <c:pt idx="796">
                  <c:v>1377</c:v>
                </c:pt>
                <c:pt idx="797">
                  <c:v>1377</c:v>
                </c:pt>
                <c:pt idx="798">
                  <c:v>1377</c:v>
                </c:pt>
                <c:pt idx="799">
                  <c:v>1377</c:v>
                </c:pt>
                <c:pt idx="800">
                  <c:v>1377</c:v>
                </c:pt>
                <c:pt idx="801">
                  <c:v>1377</c:v>
                </c:pt>
                <c:pt idx="802">
                  <c:v>1377</c:v>
                </c:pt>
                <c:pt idx="803">
                  <c:v>1377</c:v>
                </c:pt>
                <c:pt idx="804">
                  <c:v>1377</c:v>
                </c:pt>
                <c:pt idx="805">
                  <c:v>1377</c:v>
                </c:pt>
                <c:pt idx="806">
                  <c:v>1377</c:v>
                </c:pt>
                <c:pt idx="807">
                  <c:v>1377</c:v>
                </c:pt>
                <c:pt idx="808">
                  <c:v>1377</c:v>
                </c:pt>
                <c:pt idx="809">
                  <c:v>1377</c:v>
                </c:pt>
                <c:pt idx="810">
                  <c:v>1377</c:v>
                </c:pt>
                <c:pt idx="811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4-4F57-BB4E-20F33BCF503F}"/>
            </c:ext>
          </c:extLst>
        </c:ser>
        <c:ser>
          <c:idx val="7"/>
          <c:order val="6"/>
          <c:tx>
            <c:strRef>
              <c:f>Pages!$I$1</c:f>
              <c:strCache>
                <c:ptCount val="1"/>
                <c:pt idx="0">
                  <c:v>Max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[0]!PagesMax2025</c:f>
              <c:numCache>
                <c:formatCode>General</c:formatCode>
                <c:ptCount val="1114"/>
                <c:pt idx="0">
                  <c:v>1377</c:v>
                </c:pt>
                <c:pt idx="1">
                  <c:v>1377</c:v>
                </c:pt>
                <c:pt idx="2">
                  <c:v>1377</c:v>
                </c:pt>
                <c:pt idx="3">
                  <c:v>1377</c:v>
                </c:pt>
                <c:pt idx="4">
                  <c:v>1377</c:v>
                </c:pt>
                <c:pt idx="5">
                  <c:v>1377</c:v>
                </c:pt>
                <c:pt idx="6">
                  <c:v>1377</c:v>
                </c:pt>
                <c:pt idx="7">
                  <c:v>1377</c:v>
                </c:pt>
                <c:pt idx="8">
                  <c:v>1377</c:v>
                </c:pt>
                <c:pt idx="9">
                  <c:v>1377</c:v>
                </c:pt>
                <c:pt idx="10">
                  <c:v>1377</c:v>
                </c:pt>
                <c:pt idx="11">
                  <c:v>1377</c:v>
                </c:pt>
                <c:pt idx="12">
                  <c:v>1377</c:v>
                </c:pt>
                <c:pt idx="13">
                  <c:v>1377</c:v>
                </c:pt>
                <c:pt idx="14">
                  <c:v>1377</c:v>
                </c:pt>
                <c:pt idx="15">
                  <c:v>1377</c:v>
                </c:pt>
                <c:pt idx="16">
                  <c:v>1377</c:v>
                </c:pt>
                <c:pt idx="17">
                  <c:v>1377</c:v>
                </c:pt>
                <c:pt idx="18">
                  <c:v>1377</c:v>
                </c:pt>
                <c:pt idx="19">
                  <c:v>1377</c:v>
                </c:pt>
                <c:pt idx="20">
                  <c:v>1377</c:v>
                </c:pt>
                <c:pt idx="21">
                  <c:v>1377</c:v>
                </c:pt>
                <c:pt idx="22">
                  <c:v>1377</c:v>
                </c:pt>
                <c:pt idx="23">
                  <c:v>1377</c:v>
                </c:pt>
                <c:pt idx="24">
                  <c:v>1377</c:v>
                </c:pt>
                <c:pt idx="25">
                  <c:v>1377</c:v>
                </c:pt>
                <c:pt idx="26">
                  <c:v>1377</c:v>
                </c:pt>
                <c:pt idx="27">
                  <c:v>1377</c:v>
                </c:pt>
                <c:pt idx="28">
                  <c:v>1377</c:v>
                </c:pt>
                <c:pt idx="29">
                  <c:v>1377</c:v>
                </c:pt>
                <c:pt idx="30">
                  <c:v>1377</c:v>
                </c:pt>
                <c:pt idx="31">
                  <c:v>1377</c:v>
                </c:pt>
                <c:pt idx="32">
                  <c:v>1377</c:v>
                </c:pt>
                <c:pt idx="33">
                  <c:v>1377</c:v>
                </c:pt>
                <c:pt idx="34">
                  <c:v>1377</c:v>
                </c:pt>
                <c:pt idx="35">
                  <c:v>1377</c:v>
                </c:pt>
                <c:pt idx="36">
                  <c:v>1377</c:v>
                </c:pt>
                <c:pt idx="37">
                  <c:v>1377</c:v>
                </c:pt>
                <c:pt idx="38">
                  <c:v>1377</c:v>
                </c:pt>
                <c:pt idx="39">
                  <c:v>1377</c:v>
                </c:pt>
                <c:pt idx="40">
                  <c:v>1377</c:v>
                </c:pt>
                <c:pt idx="41">
                  <c:v>1377</c:v>
                </c:pt>
                <c:pt idx="42">
                  <c:v>1377</c:v>
                </c:pt>
                <c:pt idx="43">
                  <c:v>1377</c:v>
                </c:pt>
                <c:pt idx="44">
                  <c:v>1377</c:v>
                </c:pt>
                <c:pt idx="45">
                  <c:v>1377</c:v>
                </c:pt>
                <c:pt idx="46">
                  <c:v>1377</c:v>
                </c:pt>
                <c:pt idx="47">
                  <c:v>1377</c:v>
                </c:pt>
                <c:pt idx="48">
                  <c:v>1377</c:v>
                </c:pt>
                <c:pt idx="49">
                  <c:v>1377</c:v>
                </c:pt>
                <c:pt idx="50">
                  <c:v>1377</c:v>
                </c:pt>
                <c:pt idx="51">
                  <c:v>1377</c:v>
                </c:pt>
                <c:pt idx="52">
                  <c:v>1377</c:v>
                </c:pt>
                <c:pt idx="53">
                  <c:v>1377</c:v>
                </c:pt>
                <c:pt idx="54">
                  <c:v>1377</c:v>
                </c:pt>
                <c:pt idx="55">
                  <c:v>1377</c:v>
                </c:pt>
                <c:pt idx="56">
                  <c:v>1377</c:v>
                </c:pt>
                <c:pt idx="57">
                  <c:v>1377</c:v>
                </c:pt>
                <c:pt idx="58">
                  <c:v>1377</c:v>
                </c:pt>
                <c:pt idx="59">
                  <c:v>1377</c:v>
                </c:pt>
                <c:pt idx="60">
                  <c:v>1377</c:v>
                </c:pt>
                <c:pt idx="61">
                  <c:v>1377</c:v>
                </c:pt>
                <c:pt idx="62">
                  <c:v>1377</c:v>
                </c:pt>
                <c:pt idx="63">
                  <c:v>1377</c:v>
                </c:pt>
                <c:pt idx="64">
                  <c:v>1377</c:v>
                </c:pt>
                <c:pt idx="65">
                  <c:v>1377</c:v>
                </c:pt>
                <c:pt idx="66">
                  <c:v>1377</c:v>
                </c:pt>
                <c:pt idx="67">
                  <c:v>1377</c:v>
                </c:pt>
                <c:pt idx="68">
                  <c:v>1377</c:v>
                </c:pt>
                <c:pt idx="69">
                  <c:v>1377</c:v>
                </c:pt>
                <c:pt idx="70">
                  <c:v>1377</c:v>
                </c:pt>
                <c:pt idx="71">
                  <c:v>1377</c:v>
                </c:pt>
                <c:pt idx="72">
                  <c:v>1377</c:v>
                </c:pt>
                <c:pt idx="73">
                  <c:v>1377</c:v>
                </c:pt>
                <c:pt idx="74">
                  <c:v>1377</c:v>
                </c:pt>
                <c:pt idx="75">
                  <c:v>1377</c:v>
                </c:pt>
                <c:pt idx="76">
                  <c:v>1377</c:v>
                </c:pt>
                <c:pt idx="77">
                  <c:v>1377</c:v>
                </c:pt>
                <c:pt idx="78">
                  <c:v>1377</c:v>
                </c:pt>
                <c:pt idx="79">
                  <c:v>1377</c:v>
                </c:pt>
                <c:pt idx="80">
                  <c:v>1377</c:v>
                </c:pt>
                <c:pt idx="81">
                  <c:v>1377</c:v>
                </c:pt>
                <c:pt idx="82">
                  <c:v>1377</c:v>
                </c:pt>
                <c:pt idx="83">
                  <c:v>1377</c:v>
                </c:pt>
                <c:pt idx="84">
                  <c:v>1377</c:v>
                </c:pt>
                <c:pt idx="85">
                  <c:v>1377</c:v>
                </c:pt>
                <c:pt idx="86">
                  <c:v>1377</c:v>
                </c:pt>
                <c:pt idx="87">
                  <c:v>1377</c:v>
                </c:pt>
                <c:pt idx="88">
                  <c:v>1377</c:v>
                </c:pt>
                <c:pt idx="89">
                  <c:v>1377</c:v>
                </c:pt>
                <c:pt idx="90">
                  <c:v>1377</c:v>
                </c:pt>
                <c:pt idx="91">
                  <c:v>1377</c:v>
                </c:pt>
                <c:pt idx="92">
                  <c:v>1377</c:v>
                </c:pt>
                <c:pt idx="93">
                  <c:v>1377</c:v>
                </c:pt>
                <c:pt idx="94">
                  <c:v>1377</c:v>
                </c:pt>
                <c:pt idx="95">
                  <c:v>1377</c:v>
                </c:pt>
                <c:pt idx="96">
                  <c:v>1377</c:v>
                </c:pt>
                <c:pt idx="97">
                  <c:v>1377</c:v>
                </c:pt>
                <c:pt idx="98">
                  <c:v>1377</c:v>
                </c:pt>
                <c:pt idx="99">
                  <c:v>1377</c:v>
                </c:pt>
                <c:pt idx="100">
                  <c:v>1377</c:v>
                </c:pt>
                <c:pt idx="101">
                  <c:v>1377</c:v>
                </c:pt>
                <c:pt idx="102">
                  <c:v>1377</c:v>
                </c:pt>
                <c:pt idx="103">
                  <c:v>1377</c:v>
                </c:pt>
                <c:pt idx="104">
                  <c:v>1377</c:v>
                </c:pt>
                <c:pt idx="105">
                  <c:v>1377</c:v>
                </c:pt>
                <c:pt idx="106">
                  <c:v>1377</c:v>
                </c:pt>
                <c:pt idx="107">
                  <c:v>1377</c:v>
                </c:pt>
                <c:pt idx="108">
                  <c:v>1377</c:v>
                </c:pt>
                <c:pt idx="109">
                  <c:v>1377</c:v>
                </c:pt>
                <c:pt idx="110">
                  <c:v>1377</c:v>
                </c:pt>
                <c:pt idx="111">
                  <c:v>1377</c:v>
                </c:pt>
                <c:pt idx="112">
                  <c:v>1377</c:v>
                </c:pt>
                <c:pt idx="113">
                  <c:v>1377</c:v>
                </c:pt>
                <c:pt idx="114">
                  <c:v>1377</c:v>
                </c:pt>
                <c:pt idx="115">
                  <c:v>1377</c:v>
                </c:pt>
                <c:pt idx="116">
                  <c:v>1377</c:v>
                </c:pt>
                <c:pt idx="117">
                  <c:v>1377</c:v>
                </c:pt>
                <c:pt idx="118">
                  <c:v>1377</c:v>
                </c:pt>
                <c:pt idx="119">
                  <c:v>1377</c:v>
                </c:pt>
                <c:pt idx="120">
                  <c:v>1377</c:v>
                </c:pt>
                <c:pt idx="121">
                  <c:v>1377</c:v>
                </c:pt>
                <c:pt idx="122">
                  <c:v>1377</c:v>
                </c:pt>
                <c:pt idx="123">
                  <c:v>1377</c:v>
                </c:pt>
                <c:pt idx="124">
                  <c:v>1377</c:v>
                </c:pt>
                <c:pt idx="125">
                  <c:v>1377</c:v>
                </c:pt>
                <c:pt idx="126">
                  <c:v>1377</c:v>
                </c:pt>
                <c:pt idx="127">
                  <c:v>1377</c:v>
                </c:pt>
                <c:pt idx="128">
                  <c:v>1377</c:v>
                </c:pt>
                <c:pt idx="129">
                  <c:v>1377</c:v>
                </c:pt>
                <c:pt idx="130">
                  <c:v>1377</c:v>
                </c:pt>
                <c:pt idx="131">
                  <c:v>1377</c:v>
                </c:pt>
                <c:pt idx="132">
                  <c:v>1377</c:v>
                </c:pt>
                <c:pt idx="133">
                  <c:v>1377</c:v>
                </c:pt>
                <c:pt idx="134">
                  <c:v>1377</c:v>
                </c:pt>
                <c:pt idx="135">
                  <c:v>1377</c:v>
                </c:pt>
                <c:pt idx="136">
                  <c:v>1377</c:v>
                </c:pt>
                <c:pt idx="137">
                  <c:v>1377</c:v>
                </c:pt>
                <c:pt idx="138">
                  <c:v>1377</c:v>
                </c:pt>
                <c:pt idx="139">
                  <c:v>1377</c:v>
                </c:pt>
                <c:pt idx="140">
                  <c:v>1377</c:v>
                </c:pt>
                <c:pt idx="141">
                  <c:v>1377</c:v>
                </c:pt>
                <c:pt idx="142">
                  <c:v>1377</c:v>
                </c:pt>
                <c:pt idx="143">
                  <c:v>1377</c:v>
                </c:pt>
                <c:pt idx="144">
                  <c:v>1377</c:v>
                </c:pt>
                <c:pt idx="145">
                  <c:v>1377</c:v>
                </c:pt>
                <c:pt idx="146">
                  <c:v>1377</c:v>
                </c:pt>
                <c:pt idx="147">
                  <c:v>1377</c:v>
                </c:pt>
                <c:pt idx="148">
                  <c:v>1377</c:v>
                </c:pt>
                <c:pt idx="149">
                  <c:v>1377</c:v>
                </c:pt>
                <c:pt idx="150">
                  <c:v>1377</c:v>
                </c:pt>
                <c:pt idx="151">
                  <c:v>1377</c:v>
                </c:pt>
                <c:pt idx="152">
                  <c:v>1377</c:v>
                </c:pt>
                <c:pt idx="153">
                  <c:v>1377</c:v>
                </c:pt>
                <c:pt idx="154">
                  <c:v>1377</c:v>
                </c:pt>
                <c:pt idx="155">
                  <c:v>1377</c:v>
                </c:pt>
                <c:pt idx="156">
                  <c:v>1377</c:v>
                </c:pt>
                <c:pt idx="157">
                  <c:v>1377</c:v>
                </c:pt>
                <c:pt idx="158">
                  <c:v>1377</c:v>
                </c:pt>
                <c:pt idx="159">
                  <c:v>1377</c:v>
                </c:pt>
                <c:pt idx="160">
                  <c:v>1377</c:v>
                </c:pt>
                <c:pt idx="161">
                  <c:v>1377</c:v>
                </c:pt>
                <c:pt idx="162">
                  <c:v>1377</c:v>
                </c:pt>
                <c:pt idx="163">
                  <c:v>1377</c:v>
                </c:pt>
                <c:pt idx="164">
                  <c:v>1377</c:v>
                </c:pt>
                <c:pt idx="165">
                  <c:v>1377</c:v>
                </c:pt>
                <c:pt idx="166">
                  <c:v>1377</c:v>
                </c:pt>
                <c:pt idx="167">
                  <c:v>1377</c:v>
                </c:pt>
                <c:pt idx="168">
                  <c:v>1377</c:v>
                </c:pt>
                <c:pt idx="169">
                  <c:v>1377</c:v>
                </c:pt>
                <c:pt idx="170">
                  <c:v>1377</c:v>
                </c:pt>
                <c:pt idx="171">
                  <c:v>1377</c:v>
                </c:pt>
                <c:pt idx="172">
                  <c:v>1377</c:v>
                </c:pt>
                <c:pt idx="173">
                  <c:v>1377</c:v>
                </c:pt>
                <c:pt idx="174">
                  <c:v>1377</c:v>
                </c:pt>
                <c:pt idx="175">
                  <c:v>1377</c:v>
                </c:pt>
                <c:pt idx="176">
                  <c:v>1377</c:v>
                </c:pt>
                <c:pt idx="177">
                  <c:v>1377</c:v>
                </c:pt>
                <c:pt idx="178">
                  <c:v>1377</c:v>
                </c:pt>
                <c:pt idx="179">
                  <c:v>1377</c:v>
                </c:pt>
                <c:pt idx="180">
                  <c:v>1377</c:v>
                </c:pt>
                <c:pt idx="181">
                  <c:v>1377</c:v>
                </c:pt>
                <c:pt idx="182">
                  <c:v>1377</c:v>
                </c:pt>
                <c:pt idx="183">
                  <c:v>1377</c:v>
                </c:pt>
                <c:pt idx="184">
                  <c:v>1377</c:v>
                </c:pt>
                <c:pt idx="185">
                  <c:v>1377</c:v>
                </c:pt>
                <c:pt idx="186">
                  <c:v>1377</c:v>
                </c:pt>
                <c:pt idx="187">
                  <c:v>1377</c:v>
                </c:pt>
                <c:pt idx="188">
                  <c:v>1377</c:v>
                </c:pt>
                <c:pt idx="189">
                  <c:v>1377</c:v>
                </c:pt>
                <c:pt idx="190">
                  <c:v>1377</c:v>
                </c:pt>
                <c:pt idx="191">
                  <c:v>1377</c:v>
                </c:pt>
                <c:pt idx="192">
                  <c:v>1377</c:v>
                </c:pt>
                <c:pt idx="193">
                  <c:v>1377</c:v>
                </c:pt>
                <c:pt idx="194">
                  <c:v>1377</c:v>
                </c:pt>
                <c:pt idx="195">
                  <c:v>1377</c:v>
                </c:pt>
                <c:pt idx="196">
                  <c:v>1377</c:v>
                </c:pt>
                <c:pt idx="197">
                  <c:v>1377</c:v>
                </c:pt>
                <c:pt idx="198">
                  <c:v>1377</c:v>
                </c:pt>
                <c:pt idx="199">
                  <c:v>1377</c:v>
                </c:pt>
                <c:pt idx="200">
                  <c:v>1377</c:v>
                </c:pt>
                <c:pt idx="201">
                  <c:v>1377</c:v>
                </c:pt>
                <c:pt idx="202">
                  <c:v>1377</c:v>
                </c:pt>
                <c:pt idx="203">
                  <c:v>1377</c:v>
                </c:pt>
                <c:pt idx="204">
                  <c:v>1377</c:v>
                </c:pt>
                <c:pt idx="205">
                  <c:v>1377</c:v>
                </c:pt>
                <c:pt idx="206">
                  <c:v>1377</c:v>
                </c:pt>
                <c:pt idx="207">
                  <c:v>1377</c:v>
                </c:pt>
                <c:pt idx="208">
                  <c:v>1377</c:v>
                </c:pt>
                <c:pt idx="209">
                  <c:v>1377</c:v>
                </c:pt>
                <c:pt idx="210">
                  <c:v>1377</c:v>
                </c:pt>
                <c:pt idx="211">
                  <c:v>1377</c:v>
                </c:pt>
                <c:pt idx="212">
                  <c:v>1377</c:v>
                </c:pt>
                <c:pt idx="213">
                  <c:v>1377</c:v>
                </c:pt>
                <c:pt idx="214">
                  <c:v>1377</c:v>
                </c:pt>
                <c:pt idx="215">
                  <c:v>1377</c:v>
                </c:pt>
                <c:pt idx="216">
                  <c:v>1377</c:v>
                </c:pt>
                <c:pt idx="217">
                  <c:v>1377</c:v>
                </c:pt>
                <c:pt idx="218">
                  <c:v>1377</c:v>
                </c:pt>
                <c:pt idx="219">
                  <c:v>1377</c:v>
                </c:pt>
                <c:pt idx="220">
                  <c:v>1377</c:v>
                </c:pt>
                <c:pt idx="221">
                  <c:v>1377</c:v>
                </c:pt>
                <c:pt idx="222">
                  <c:v>1377</c:v>
                </c:pt>
                <c:pt idx="223">
                  <c:v>1377</c:v>
                </c:pt>
                <c:pt idx="224">
                  <c:v>1377</c:v>
                </c:pt>
                <c:pt idx="225">
                  <c:v>1377</c:v>
                </c:pt>
                <c:pt idx="226">
                  <c:v>1377</c:v>
                </c:pt>
                <c:pt idx="227">
                  <c:v>1377</c:v>
                </c:pt>
                <c:pt idx="228">
                  <c:v>1377</c:v>
                </c:pt>
                <c:pt idx="229">
                  <c:v>1377</c:v>
                </c:pt>
                <c:pt idx="230">
                  <c:v>1377</c:v>
                </c:pt>
                <c:pt idx="231">
                  <c:v>1377</c:v>
                </c:pt>
                <c:pt idx="232">
                  <c:v>1377</c:v>
                </c:pt>
                <c:pt idx="233">
                  <c:v>1377</c:v>
                </c:pt>
                <c:pt idx="234">
                  <c:v>1377</c:v>
                </c:pt>
                <c:pt idx="235">
                  <c:v>1377</c:v>
                </c:pt>
                <c:pt idx="236">
                  <c:v>1377</c:v>
                </c:pt>
                <c:pt idx="237">
                  <c:v>1377</c:v>
                </c:pt>
                <c:pt idx="238">
                  <c:v>1377</c:v>
                </c:pt>
                <c:pt idx="239">
                  <c:v>1377</c:v>
                </c:pt>
                <c:pt idx="240">
                  <c:v>1377</c:v>
                </c:pt>
                <c:pt idx="241">
                  <c:v>1377</c:v>
                </c:pt>
                <c:pt idx="242">
                  <c:v>1377</c:v>
                </c:pt>
                <c:pt idx="243">
                  <c:v>1377</c:v>
                </c:pt>
                <c:pt idx="244">
                  <c:v>1377</c:v>
                </c:pt>
                <c:pt idx="245">
                  <c:v>1377</c:v>
                </c:pt>
                <c:pt idx="246">
                  <c:v>1377</c:v>
                </c:pt>
                <c:pt idx="247">
                  <c:v>1377</c:v>
                </c:pt>
                <c:pt idx="248">
                  <c:v>1377</c:v>
                </c:pt>
                <c:pt idx="249">
                  <c:v>1377</c:v>
                </c:pt>
                <c:pt idx="250">
                  <c:v>1377</c:v>
                </c:pt>
                <c:pt idx="251">
                  <c:v>1377</c:v>
                </c:pt>
                <c:pt idx="252">
                  <c:v>1377</c:v>
                </c:pt>
                <c:pt idx="253">
                  <c:v>1377</c:v>
                </c:pt>
                <c:pt idx="254">
                  <c:v>1377</c:v>
                </c:pt>
                <c:pt idx="255">
                  <c:v>1377</c:v>
                </c:pt>
                <c:pt idx="256">
                  <c:v>1377</c:v>
                </c:pt>
                <c:pt idx="257">
                  <c:v>1377</c:v>
                </c:pt>
                <c:pt idx="258">
                  <c:v>1377</c:v>
                </c:pt>
                <c:pt idx="259">
                  <c:v>1377</c:v>
                </c:pt>
                <c:pt idx="260">
                  <c:v>1377</c:v>
                </c:pt>
                <c:pt idx="261">
                  <c:v>1377</c:v>
                </c:pt>
                <c:pt idx="262">
                  <c:v>1377</c:v>
                </c:pt>
                <c:pt idx="263">
                  <c:v>1377</c:v>
                </c:pt>
                <c:pt idx="264">
                  <c:v>1377</c:v>
                </c:pt>
                <c:pt idx="265">
                  <c:v>1377</c:v>
                </c:pt>
                <c:pt idx="266">
                  <c:v>1377</c:v>
                </c:pt>
                <c:pt idx="267">
                  <c:v>1377</c:v>
                </c:pt>
                <c:pt idx="268">
                  <c:v>1377</c:v>
                </c:pt>
                <c:pt idx="269">
                  <c:v>1377</c:v>
                </c:pt>
                <c:pt idx="270">
                  <c:v>1377</c:v>
                </c:pt>
                <c:pt idx="271">
                  <c:v>1377</c:v>
                </c:pt>
                <c:pt idx="272">
                  <c:v>1377</c:v>
                </c:pt>
                <c:pt idx="273">
                  <c:v>1377</c:v>
                </c:pt>
                <c:pt idx="274">
                  <c:v>1377</c:v>
                </c:pt>
                <c:pt idx="275">
                  <c:v>1377</c:v>
                </c:pt>
                <c:pt idx="276">
                  <c:v>1377</c:v>
                </c:pt>
                <c:pt idx="277">
                  <c:v>1377</c:v>
                </c:pt>
                <c:pt idx="278">
                  <c:v>1377</c:v>
                </c:pt>
                <c:pt idx="279">
                  <c:v>1377</c:v>
                </c:pt>
                <c:pt idx="280">
                  <c:v>1377</c:v>
                </c:pt>
                <c:pt idx="281">
                  <c:v>1377</c:v>
                </c:pt>
                <c:pt idx="282">
                  <c:v>1377</c:v>
                </c:pt>
                <c:pt idx="283">
                  <c:v>1377</c:v>
                </c:pt>
                <c:pt idx="284">
                  <c:v>1377</c:v>
                </c:pt>
                <c:pt idx="285">
                  <c:v>1377</c:v>
                </c:pt>
                <c:pt idx="286">
                  <c:v>1377</c:v>
                </c:pt>
                <c:pt idx="287">
                  <c:v>1377</c:v>
                </c:pt>
                <c:pt idx="288">
                  <c:v>1377</c:v>
                </c:pt>
                <c:pt idx="289">
                  <c:v>1377</c:v>
                </c:pt>
                <c:pt idx="290">
                  <c:v>1377</c:v>
                </c:pt>
                <c:pt idx="291">
                  <c:v>1377</c:v>
                </c:pt>
                <c:pt idx="292">
                  <c:v>1377</c:v>
                </c:pt>
                <c:pt idx="293">
                  <c:v>1377</c:v>
                </c:pt>
                <c:pt idx="294">
                  <c:v>1377</c:v>
                </c:pt>
                <c:pt idx="295">
                  <c:v>1377</c:v>
                </c:pt>
                <c:pt idx="296">
                  <c:v>1377</c:v>
                </c:pt>
                <c:pt idx="297">
                  <c:v>1377</c:v>
                </c:pt>
                <c:pt idx="298">
                  <c:v>1377</c:v>
                </c:pt>
                <c:pt idx="299">
                  <c:v>1377</c:v>
                </c:pt>
                <c:pt idx="300">
                  <c:v>1377</c:v>
                </c:pt>
                <c:pt idx="301">
                  <c:v>1377</c:v>
                </c:pt>
                <c:pt idx="302">
                  <c:v>1377</c:v>
                </c:pt>
                <c:pt idx="303">
                  <c:v>1377</c:v>
                </c:pt>
                <c:pt idx="304">
                  <c:v>1377</c:v>
                </c:pt>
                <c:pt idx="305">
                  <c:v>1377</c:v>
                </c:pt>
                <c:pt idx="306">
                  <c:v>1377</c:v>
                </c:pt>
                <c:pt idx="307">
                  <c:v>1377</c:v>
                </c:pt>
                <c:pt idx="308">
                  <c:v>1377</c:v>
                </c:pt>
                <c:pt idx="309">
                  <c:v>1377</c:v>
                </c:pt>
                <c:pt idx="310">
                  <c:v>1377</c:v>
                </c:pt>
                <c:pt idx="311">
                  <c:v>1377</c:v>
                </c:pt>
                <c:pt idx="312">
                  <c:v>1377</c:v>
                </c:pt>
                <c:pt idx="313">
                  <c:v>1377</c:v>
                </c:pt>
                <c:pt idx="314">
                  <c:v>1377</c:v>
                </c:pt>
                <c:pt idx="315">
                  <c:v>1377</c:v>
                </c:pt>
                <c:pt idx="316">
                  <c:v>1377</c:v>
                </c:pt>
                <c:pt idx="317">
                  <c:v>1377</c:v>
                </c:pt>
                <c:pt idx="318">
                  <c:v>1377</c:v>
                </c:pt>
                <c:pt idx="319">
                  <c:v>1377</c:v>
                </c:pt>
                <c:pt idx="320">
                  <c:v>1377</c:v>
                </c:pt>
                <c:pt idx="321">
                  <c:v>1377</c:v>
                </c:pt>
                <c:pt idx="322">
                  <c:v>1377</c:v>
                </c:pt>
                <c:pt idx="323">
                  <c:v>1377</c:v>
                </c:pt>
                <c:pt idx="324">
                  <c:v>1377</c:v>
                </c:pt>
                <c:pt idx="325">
                  <c:v>1377</c:v>
                </c:pt>
                <c:pt idx="326">
                  <c:v>1377</c:v>
                </c:pt>
                <c:pt idx="327">
                  <c:v>1377</c:v>
                </c:pt>
                <c:pt idx="328">
                  <c:v>1377</c:v>
                </c:pt>
                <c:pt idx="329">
                  <c:v>1377</c:v>
                </c:pt>
                <c:pt idx="330">
                  <c:v>1377</c:v>
                </c:pt>
                <c:pt idx="331">
                  <c:v>1377</c:v>
                </c:pt>
                <c:pt idx="332">
                  <c:v>1377</c:v>
                </c:pt>
                <c:pt idx="333">
                  <c:v>1377</c:v>
                </c:pt>
                <c:pt idx="334">
                  <c:v>1377</c:v>
                </c:pt>
                <c:pt idx="335">
                  <c:v>1377</c:v>
                </c:pt>
                <c:pt idx="336">
                  <c:v>1377</c:v>
                </c:pt>
                <c:pt idx="337">
                  <c:v>1377</c:v>
                </c:pt>
                <c:pt idx="338">
                  <c:v>1377</c:v>
                </c:pt>
                <c:pt idx="339">
                  <c:v>1377</c:v>
                </c:pt>
                <c:pt idx="340">
                  <c:v>1377</c:v>
                </c:pt>
                <c:pt idx="341">
                  <c:v>1377</c:v>
                </c:pt>
                <c:pt idx="342">
                  <c:v>1377</c:v>
                </c:pt>
                <c:pt idx="343">
                  <c:v>1377</c:v>
                </c:pt>
                <c:pt idx="344">
                  <c:v>1377</c:v>
                </c:pt>
                <c:pt idx="345">
                  <c:v>1377</c:v>
                </c:pt>
                <c:pt idx="346">
                  <c:v>1377</c:v>
                </c:pt>
                <c:pt idx="347">
                  <c:v>1377</c:v>
                </c:pt>
                <c:pt idx="348">
                  <c:v>1377</c:v>
                </c:pt>
                <c:pt idx="349">
                  <c:v>1377</c:v>
                </c:pt>
                <c:pt idx="350">
                  <c:v>1377</c:v>
                </c:pt>
                <c:pt idx="351">
                  <c:v>1377</c:v>
                </c:pt>
                <c:pt idx="352">
                  <c:v>1377</c:v>
                </c:pt>
                <c:pt idx="353">
                  <c:v>1377</c:v>
                </c:pt>
                <c:pt idx="354">
                  <c:v>1377</c:v>
                </c:pt>
                <c:pt idx="355">
                  <c:v>1377</c:v>
                </c:pt>
                <c:pt idx="356">
                  <c:v>1377</c:v>
                </c:pt>
                <c:pt idx="357">
                  <c:v>1377</c:v>
                </c:pt>
                <c:pt idx="358">
                  <c:v>1377</c:v>
                </c:pt>
                <c:pt idx="359">
                  <c:v>1377</c:v>
                </c:pt>
                <c:pt idx="360">
                  <c:v>1377</c:v>
                </c:pt>
                <c:pt idx="361">
                  <c:v>1377</c:v>
                </c:pt>
                <c:pt idx="362">
                  <c:v>1377</c:v>
                </c:pt>
                <c:pt idx="363">
                  <c:v>1377</c:v>
                </c:pt>
                <c:pt idx="364">
                  <c:v>1377</c:v>
                </c:pt>
                <c:pt idx="365">
                  <c:v>1377</c:v>
                </c:pt>
                <c:pt idx="366">
                  <c:v>1377</c:v>
                </c:pt>
                <c:pt idx="367">
                  <c:v>1377</c:v>
                </c:pt>
                <c:pt idx="368">
                  <c:v>1377</c:v>
                </c:pt>
                <c:pt idx="369">
                  <c:v>1377</c:v>
                </c:pt>
                <c:pt idx="370">
                  <c:v>1377</c:v>
                </c:pt>
                <c:pt idx="371">
                  <c:v>1377</c:v>
                </c:pt>
                <c:pt idx="372">
                  <c:v>1377</c:v>
                </c:pt>
                <c:pt idx="373">
                  <c:v>1377</c:v>
                </c:pt>
                <c:pt idx="374">
                  <c:v>1377</c:v>
                </c:pt>
                <c:pt idx="375">
                  <c:v>1377</c:v>
                </c:pt>
                <c:pt idx="376">
                  <c:v>1377</c:v>
                </c:pt>
                <c:pt idx="377">
                  <c:v>1377</c:v>
                </c:pt>
                <c:pt idx="378">
                  <c:v>1377</c:v>
                </c:pt>
                <c:pt idx="379">
                  <c:v>1377</c:v>
                </c:pt>
                <c:pt idx="380">
                  <c:v>1377</c:v>
                </c:pt>
                <c:pt idx="381">
                  <c:v>1377</c:v>
                </c:pt>
                <c:pt idx="382">
                  <c:v>1377</c:v>
                </c:pt>
                <c:pt idx="383">
                  <c:v>1377</c:v>
                </c:pt>
                <c:pt idx="384">
                  <c:v>1377</c:v>
                </c:pt>
                <c:pt idx="385">
                  <c:v>1377</c:v>
                </c:pt>
                <c:pt idx="386">
                  <c:v>1377</c:v>
                </c:pt>
                <c:pt idx="387">
                  <c:v>1377</c:v>
                </c:pt>
                <c:pt idx="388">
                  <c:v>1377</c:v>
                </c:pt>
                <c:pt idx="389">
                  <c:v>1377</c:v>
                </c:pt>
                <c:pt idx="390">
                  <c:v>1377</c:v>
                </c:pt>
                <c:pt idx="391">
                  <c:v>1377</c:v>
                </c:pt>
                <c:pt idx="392">
                  <c:v>1377</c:v>
                </c:pt>
                <c:pt idx="393">
                  <c:v>1377</c:v>
                </c:pt>
                <c:pt idx="394">
                  <c:v>1377</c:v>
                </c:pt>
                <c:pt idx="395">
                  <c:v>1377</c:v>
                </c:pt>
                <c:pt idx="396">
                  <c:v>1377</c:v>
                </c:pt>
                <c:pt idx="397">
                  <c:v>1377</c:v>
                </c:pt>
                <c:pt idx="398">
                  <c:v>1377</c:v>
                </c:pt>
                <c:pt idx="399">
                  <c:v>1377</c:v>
                </c:pt>
                <c:pt idx="400">
                  <c:v>1377</c:v>
                </c:pt>
                <c:pt idx="401">
                  <c:v>1377</c:v>
                </c:pt>
                <c:pt idx="402">
                  <c:v>1377</c:v>
                </c:pt>
                <c:pt idx="403">
                  <c:v>1377</c:v>
                </c:pt>
                <c:pt idx="404">
                  <c:v>1377</c:v>
                </c:pt>
                <c:pt idx="405">
                  <c:v>1377</c:v>
                </c:pt>
                <c:pt idx="406">
                  <c:v>1377</c:v>
                </c:pt>
                <c:pt idx="407">
                  <c:v>1377</c:v>
                </c:pt>
                <c:pt idx="408">
                  <c:v>1377</c:v>
                </c:pt>
                <c:pt idx="409">
                  <c:v>1377</c:v>
                </c:pt>
                <c:pt idx="410">
                  <c:v>1377</c:v>
                </c:pt>
                <c:pt idx="411">
                  <c:v>1377</c:v>
                </c:pt>
                <c:pt idx="412">
                  <c:v>1377</c:v>
                </c:pt>
                <c:pt idx="413">
                  <c:v>1377</c:v>
                </c:pt>
                <c:pt idx="414">
                  <c:v>1377</c:v>
                </c:pt>
                <c:pt idx="415">
                  <c:v>1377</c:v>
                </c:pt>
                <c:pt idx="416">
                  <c:v>1377</c:v>
                </c:pt>
                <c:pt idx="417">
                  <c:v>1377</c:v>
                </c:pt>
                <c:pt idx="418">
                  <c:v>1377</c:v>
                </c:pt>
                <c:pt idx="419">
                  <c:v>1377</c:v>
                </c:pt>
                <c:pt idx="420">
                  <c:v>1377</c:v>
                </c:pt>
                <c:pt idx="421">
                  <c:v>1377</c:v>
                </c:pt>
                <c:pt idx="422">
                  <c:v>1377</c:v>
                </c:pt>
                <c:pt idx="423">
                  <c:v>1377</c:v>
                </c:pt>
                <c:pt idx="424">
                  <c:v>1377</c:v>
                </c:pt>
                <c:pt idx="425">
                  <c:v>1377</c:v>
                </c:pt>
                <c:pt idx="426">
                  <c:v>1377</c:v>
                </c:pt>
                <c:pt idx="427">
                  <c:v>1377</c:v>
                </c:pt>
                <c:pt idx="428">
                  <c:v>1377</c:v>
                </c:pt>
                <c:pt idx="429">
                  <c:v>1377</c:v>
                </c:pt>
                <c:pt idx="430">
                  <c:v>1377</c:v>
                </c:pt>
                <c:pt idx="431">
                  <c:v>1377</c:v>
                </c:pt>
                <c:pt idx="432">
                  <c:v>1377</c:v>
                </c:pt>
                <c:pt idx="433">
                  <c:v>1377</c:v>
                </c:pt>
                <c:pt idx="434">
                  <c:v>1377</c:v>
                </c:pt>
                <c:pt idx="435">
                  <c:v>1377</c:v>
                </c:pt>
                <c:pt idx="436">
                  <c:v>1377</c:v>
                </c:pt>
                <c:pt idx="437">
                  <c:v>1377</c:v>
                </c:pt>
                <c:pt idx="438">
                  <c:v>1377</c:v>
                </c:pt>
                <c:pt idx="439">
                  <c:v>1377</c:v>
                </c:pt>
                <c:pt idx="440">
                  <c:v>1377</c:v>
                </c:pt>
                <c:pt idx="441">
                  <c:v>1377</c:v>
                </c:pt>
                <c:pt idx="442">
                  <c:v>1377</c:v>
                </c:pt>
                <c:pt idx="443">
                  <c:v>1377</c:v>
                </c:pt>
                <c:pt idx="444">
                  <c:v>1377</c:v>
                </c:pt>
                <c:pt idx="445">
                  <c:v>1377</c:v>
                </c:pt>
                <c:pt idx="446">
                  <c:v>1377</c:v>
                </c:pt>
                <c:pt idx="447">
                  <c:v>1377</c:v>
                </c:pt>
                <c:pt idx="448">
                  <c:v>1377</c:v>
                </c:pt>
                <c:pt idx="449">
                  <c:v>1377</c:v>
                </c:pt>
                <c:pt idx="450">
                  <c:v>1377</c:v>
                </c:pt>
                <c:pt idx="451">
                  <c:v>1377</c:v>
                </c:pt>
                <c:pt idx="452">
                  <c:v>1377</c:v>
                </c:pt>
                <c:pt idx="453">
                  <c:v>1377</c:v>
                </c:pt>
                <c:pt idx="454">
                  <c:v>1377</c:v>
                </c:pt>
                <c:pt idx="455">
                  <c:v>1377</c:v>
                </c:pt>
                <c:pt idx="456">
                  <c:v>1377</c:v>
                </c:pt>
                <c:pt idx="457">
                  <c:v>1377</c:v>
                </c:pt>
                <c:pt idx="458">
                  <c:v>1377</c:v>
                </c:pt>
                <c:pt idx="459">
                  <c:v>1377</c:v>
                </c:pt>
                <c:pt idx="460">
                  <c:v>1377</c:v>
                </c:pt>
                <c:pt idx="461">
                  <c:v>1377</c:v>
                </c:pt>
                <c:pt idx="462">
                  <c:v>1377</c:v>
                </c:pt>
                <c:pt idx="463">
                  <c:v>1377</c:v>
                </c:pt>
                <c:pt idx="464">
                  <c:v>1377</c:v>
                </c:pt>
                <c:pt idx="465">
                  <c:v>1377</c:v>
                </c:pt>
                <c:pt idx="466">
                  <c:v>1377</c:v>
                </c:pt>
                <c:pt idx="467">
                  <c:v>1377</c:v>
                </c:pt>
                <c:pt idx="468">
                  <c:v>1377</c:v>
                </c:pt>
                <c:pt idx="469">
                  <c:v>1377</c:v>
                </c:pt>
                <c:pt idx="470">
                  <c:v>1377</c:v>
                </c:pt>
                <c:pt idx="471">
                  <c:v>1377</c:v>
                </c:pt>
                <c:pt idx="472">
                  <c:v>1377</c:v>
                </c:pt>
                <c:pt idx="473">
                  <c:v>1377</c:v>
                </c:pt>
                <c:pt idx="474">
                  <c:v>1377</c:v>
                </c:pt>
                <c:pt idx="475">
                  <c:v>1377</c:v>
                </c:pt>
                <c:pt idx="476">
                  <c:v>1377</c:v>
                </c:pt>
                <c:pt idx="477">
                  <c:v>1377</c:v>
                </c:pt>
                <c:pt idx="478">
                  <c:v>1377</c:v>
                </c:pt>
                <c:pt idx="479">
                  <c:v>1377</c:v>
                </c:pt>
                <c:pt idx="480">
                  <c:v>1377</c:v>
                </c:pt>
                <c:pt idx="481">
                  <c:v>1377</c:v>
                </c:pt>
                <c:pt idx="482">
                  <c:v>1377</c:v>
                </c:pt>
                <c:pt idx="483">
                  <c:v>1377</c:v>
                </c:pt>
                <c:pt idx="484">
                  <c:v>1377</c:v>
                </c:pt>
                <c:pt idx="485">
                  <c:v>1377</c:v>
                </c:pt>
                <c:pt idx="486">
                  <c:v>1377</c:v>
                </c:pt>
                <c:pt idx="487">
                  <c:v>1377</c:v>
                </c:pt>
                <c:pt idx="488">
                  <c:v>1377</c:v>
                </c:pt>
                <c:pt idx="489">
                  <c:v>1377</c:v>
                </c:pt>
                <c:pt idx="490">
                  <c:v>1377</c:v>
                </c:pt>
                <c:pt idx="491">
                  <c:v>1377</c:v>
                </c:pt>
                <c:pt idx="492">
                  <c:v>1377</c:v>
                </c:pt>
                <c:pt idx="493">
                  <c:v>1377</c:v>
                </c:pt>
                <c:pt idx="494">
                  <c:v>1377</c:v>
                </c:pt>
                <c:pt idx="495">
                  <c:v>1377</c:v>
                </c:pt>
                <c:pt idx="496">
                  <c:v>1377</c:v>
                </c:pt>
                <c:pt idx="497">
                  <c:v>1377</c:v>
                </c:pt>
                <c:pt idx="498">
                  <c:v>1377</c:v>
                </c:pt>
                <c:pt idx="499">
                  <c:v>1377</c:v>
                </c:pt>
                <c:pt idx="500">
                  <c:v>1377</c:v>
                </c:pt>
                <c:pt idx="501">
                  <c:v>1377</c:v>
                </c:pt>
                <c:pt idx="502">
                  <c:v>1377</c:v>
                </c:pt>
                <c:pt idx="503">
                  <c:v>1377</c:v>
                </c:pt>
                <c:pt idx="504">
                  <c:v>1377</c:v>
                </c:pt>
                <c:pt idx="505">
                  <c:v>1377</c:v>
                </c:pt>
                <c:pt idx="506">
                  <c:v>1377</c:v>
                </c:pt>
                <c:pt idx="507">
                  <c:v>1377</c:v>
                </c:pt>
                <c:pt idx="508">
                  <c:v>1377</c:v>
                </c:pt>
                <c:pt idx="509">
                  <c:v>1377</c:v>
                </c:pt>
                <c:pt idx="510">
                  <c:v>1377</c:v>
                </c:pt>
                <c:pt idx="511">
                  <c:v>1377</c:v>
                </c:pt>
                <c:pt idx="512">
                  <c:v>1377</c:v>
                </c:pt>
                <c:pt idx="513">
                  <c:v>1377</c:v>
                </c:pt>
                <c:pt idx="514">
                  <c:v>1377</c:v>
                </c:pt>
                <c:pt idx="515">
                  <c:v>1377</c:v>
                </c:pt>
                <c:pt idx="516">
                  <c:v>1377</c:v>
                </c:pt>
                <c:pt idx="517">
                  <c:v>1377</c:v>
                </c:pt>
                <c:pt idx="518">
                  <c:v>1377</c:v>
                </c:pt>
                <c:pt idx="519">
                  <c:v>1377</c:v>
                </c:pt>
                <c:pt idx="520">
                  <c:v>1377</c:v>
                </c:pt>
                <c:pt idx="521">
                  <c:v>1377</c:v>
                </c:pt>
                <c:pt idx="522">
                  <c:v>1377</c:v>
                </c:pt>
                <c:pt idx="523">
                  <c:v>1377</c:v>
                </c:pt>
                <c:pt idx="524">
                  <c:v>1377</c:v>
                </c:pt>
                <c:pt idx="525">
                  <c:v>1377</c:v>
                </c:pt>
                <c:pt idx="526">
                  <c:v>1377</c:v>
                </c:pt>
                <c:pt idx="527">
                  <c:v>1377</c:v>
                </c:pt>
                <c:pt idx="528">
                  <c:v>1377</c:v>
                </c:pt>
                <c:pt idx="529">
                  <c:v>1377</c:v>
                </c:pt>
                <c:pt idx="530">
                  <c:v>1377</c:v>
                </c:pt>
                <c:pt idx="531">
                  <c:v>1377</c:v>
                </c:pt>
                <c:pt idx="532">
                  <c:v>1377</c:v>
                </c:pt>
                <c:pt idx="533">
                  <c:v>1377</c:v>
                </c:pt>
                <c:pt idx="534">
                  <c:v>1377</c:v>
                </c:pt>
                <c:pt idx="535">
                  <c:v>1377</c:v>
                </c:pt>
                <c:pt idx="536">
                  <c:v>1377</c:v>
                </c:pt>
                <c:pt idx="537">
                  <c:v>1377</c:v>
                </c:pt>
                <c:pt idx="538">
                  <c:v>1377</c:v>
                </c:pt>
                <c:pt idx="539">
                  <c:v>1377</c:v>
                </c:pt>
                <c:pt idx="540">
                  <c:v>1377</c:v>
                </c:pt>
                <c:pt idx="541">
                  <c:v>1377</c:v>
                </c:pt>
                <c:pt idx="542">
                  <c:v>1377</c:v>
                </c:pt>
                <c:pt idx="543">
                  <c:v>1377</c:v>
                </c:pt>
                <c:pt idx="544">
                  <c:v>1377</c:v>
                </c:pt>
                <c:pt idx="545">
                  <c:v>1377</c:v>
                </c:pt>
                <c:pt idx="546">
                  <c:v>1377</c:v>
                </c:pt>
                <c:pt idx="547">
                  <c:v>1377</c:v>
                </c:pt>
                <c:pt idx="548">
                  <c:v>1377</c:v>
                </c:pt>
                <c:pt idx="549">
                  <c:v>1377</c:v>
                </c:pt>
                <c:pt idx="550">
                  <c:v>1377</c:v>
                </c:pt>
                <c:pt idx="551">
                  <c:v>1377</c:v>
                </c:pt>
                <c:pt idx="552">
                  <c:v>1377</c:v>
                </c:pt>
                <c:pt idx="553">
                  <c:v>1377</c:v>
                </c:pt>
                <c:pt idx="554">
                  <c:v>1377</c:v>
                </c:pt>
                <c:pt idx="555">
                  <c:v>1377</c:v>
                </c:pt>
                <c:pt idx="556">
                  <c:v>1377</c:v>
                </c:pt>
                <c:pt idx="557">
                  <c:v>1377</c:v>
                </c:pt>
                <c:pt idx="558">
                  <c:v>1377</c:v>
                </c:pt>
                <c:pt idx="559">
                  <c:v>1377</c:v>
                </c:pt>
                <c:pt idx="560">
                  <c:v>1377</c:v>
                </c:pt>
                <c:pt idx="561">
                  <c:v>1377</c:v>
                </c:pt>
                <c:pt idx="562">
                  <c:v>1377</c:v>
                </c:pt>
                <c:pt idx="563">
                  <c:v>1377</c:v>
                </c:pt>
                <c:pt idx="564">
                  <c:v>1377</c:v>
                </c:pt>
                <c:pt idx="565">
                  <c:v>1377</c:v>
                </c:pt>
                <c:pt idx="566">
                  <c:v>1377</c:v>
                </c:pt>
                <c:pt idx="567">
                  <c:v>1377</c:v>
                </c:pt>
                <c:pt idx="568">
                  <c:v>1377</c:v>
                </c:pt>
                <c:pt idx="569">
                  <c:v>1377</c:v>
                </c:pt>
                <c:pt idx="570">
                  <c:v>1377</c:v>
                </c:pt>
                <c:pt idx="571">
                  <c:v>1377</c:v>
                </c:pt>
                <c:pt idx="572">
                  <c:v>1377</c:v>
                </c:pt>
                <c:pt idx="573">
                  <c:v>1377</c:v>
                </c:pt>
                <c:pt idx="574">
                  <c:v>1377</c:v>
                </c:pt>
                <c:pt idx="575">
                  <c:v>1377</c:v>
                </c:pt>
                <c:pt idx="576">
                  <c:v>1377</c:v>
                </c:pt>
                <c:pt idx="577">
                  <c:v>1377</c:v>
                </c:pt>
                <c:pt idx="578">
                  <c:v>1377</c:v>
                </c:pt>
                <c:pt idx="579">
                  <c:v>1377</c:v>
                </c:pt>
                <c:pt idx="580">
                  <c:v>1377</c:v>
                </c:pt>
                <c:pt idx="581">
                  <c:v>1377</c:v>
                </c:pt>
                <c:pt idx="582">
                  <c:v>1377</c:v>
                </c:pt>
                <c:pt idx="583">
                  <c:v>1377</c:v>
                </c:pt>
                <c:pt idx="584">
                  <c:v>1377</c:v>
                </c:pt>
                <c:pt idx="585">
                  <c:v>1377</c:v>
                </c:pt>
                <c:pt idx="586">
                  <c:v>1377</c:v>
                </c:pt>
                <c:pt idx="587">
                  <c:v>1377</c:v>
                </c:pt>
                <c:pt idx="588">
                  <c:v>1377</c:v>
                </c:pt>
                <c:pt idx="589">
                  <c:v>1377</c:v>
                </c:pt>
                <c:pt idx="590">
                  <c:v>1377</c:v>
                </c:pt>
                <c:pt idx="591">
                  <c:v>1377</c:v>
                </c:pt>
                <c:pt idx="592">
                  <c:v>1377</c:v>
                </c:pt>
                <c:pt idx="593">
                  <c:v>1377</c:v>
                </c:pt>
                <c:pt idx="594">
                  <c:v>1377</c:v>
                </c:pt>
                <c:pt idx="595">
                  <c:v>1377</c:v>
                </c:pt>
                <c:pt idx="596">
                  <c:v>1377</c:v>
                </c:pt>
                <c:pt idx="597">
                  <c:v>1377</c:v>
                </c:pt>
                <c:pt idx="598">
                  <c:v>1377</c:v>
                </c:pt>
                <c:pt idx="599">
                  <c:v>1377</c:v>
                </c:pt>
                <c:pt idx="600">
                  <c:v>1377</c:v>
                </c:pt>
                <c:pt idx="601">
                  <c:v>1377</c:v>
                </c:pt>
                <c:pt idx="602">
                  <c:v>1377</c:v>
                </c:pt>
                <c:pt idx="603">
                  <c:v>1377</c:v>
                </c:pt>
                <c:pt idx="604">
                  <c:v>1377</c:v>
                </c:pt>
                <c:pt idx="605">
                  <c:v>1377</c:v>
                </c:pt>
                <c:pt idx="606">
                  <c:v>1377</c:v>
                </c:pt>
                <c:pt idx="607">
                  <c:v>1377</c:v>
                </c:pt>
                <c:pt idx="608">
                  <c:v>1377</c:v>
                </c:pt>
                <c:pt idx="609">
                  <c:v>1377</c:v>
                </c:pt>
                <c:pt idx="610">
                  <c:v>1377</c:v>
                </c:pt>
                <c:pt idx="611">
                  <c:v>1377</c:v>
                </c:pt>
                <c:pt idx="612">
                  <c:v>1377</c:v>
                </c:pt>
                <c:pt idx="613">
                  <c:v>1377</c:v>
                </c:pt>
                <c:pt idx="614">
                  <c:v>1377</c:v>
                </c:pt>
                <c:pt idx="615">
                  <c:v>1377</c:v>
                </c:pt>
                <c:pt idx="616">
                  <c:v>1377</c:v>
                </c:pt>
                <c:pt idx="617">
                  <c:v>1377</c:v>
                </c:pt>
                <c:pt idx="618">
                  <c:v>1377</c:v>
                </c:pt>
                <c:pt idx="619">
                  <c:v>1377</c:v>
                </c:pt>
                <c:pt idx="620">
                  <c:v>1377</c:v>
                </c:pt>
                <c:pt idx="621">
                  <c:v>1377</c:v>
                </c:pt>
                <c:pt idx="622">
                  <c:v>1377</c:v>
                </c:pt>
                <c:pt idx="623">
                  <c:v>1377</c:v>
                </c:pt>
                <c:pt idx="624">
                  <c:v>1377</c:v>
                </c:pt>
                <c:pt idx="625">
                  <c:v>1377</c:v>
                </c:pt>
                <c:pt idx="626">
                  <c:v>1377</c:v>
                </c:pt>
                <c:pt idx="627">
                  <c:v>1377</c:v>
                </c:pt>
                <c:pt idx="628">
                  <c:v>1377</c:v>
                </c:pt>
                <c:pt idx="629">
                  <c:v>1377</c:v>
                </c:pt>
                <c:pt idx="630">
                  <c:v>1377</c:v>
                </c:pt>
                <c:pt idx="631">
                  <c:v>1377</c:v>
                </c:pt>
                <c:pt idx="632">
                  <c:v>1377</c:v>
                </c:pt>
                <c:pt idx="633">
                  <c:v>1377</c:v>
                </c:pt>
                <c:pt idx="634">
                  <c:v>1377</c:v>
                </c:pt>
                <c:pt idx="635">
                  <c:v>1377</c:v>
                </c:pt>
                <c:pt idx="636">
                  <c:v>1377</c:v>
                </c:pt>
                <c:pt idx="637">
                  <c:v>1377</c:v>
                </c:pt>
                <c:pt idx="638">
                  <c:v>1377</c:v>
                </c:pt>
                <c:pt idx="639">
                  <c:v>1377</c:v>
                </c:pt>
                <c:pt idx="640">
                  <c:v>1377</c:v>
                </c:pt>
                <c:pt idx="641">
                  <c:v>1377</c:v>
                </c:pt>
                <c:pt idx="642">
                  <c:v>1377</c:v>
                </c:pt>
                <c:pt idx="643">
                  <c:v>1377</c:v>
                </c:pt>
                <c:pt idx="644">
                  <c:v>1377</c:v>
                </c:pt>
                <c:pt idx="645">
                  <c:v>1377</c:v>
                </c:pt>
                <c:pt idx="646">
                  <c:v>1377</c:v>
                </c:pt>
                <c:pt idx="647">
                  <c:v>1377</c:v>
                </c:pt>
                <c:pt idx="648">
                  <c:v>1377</c:v>
                </c:pt>
                <c:pt idx="649">
                  <c:v>1377</c:v>
                </c:pt>
                <c:pt idx="650">
                  <c:v>1377</c:v>
                </c:pt>
                <c:pt idx="651">
                  <c:v>1377</c:v>
                </c:pt>
                <c:pt idx="652">
                  <c:v>1377</c:v>
                </c:pt>
                <c:pt idx="653">
                  <c:v>1377</c:v>
                </c:pt>
                <c:pt idx="654">
                  <c:v>1377</c:v>
                </c:pt>
                <c:pt idx="655">
                  <c:v>1377</c:v>
                </c:pt>
                <c:pt idx="656">
                  <c:v>1377</c:v>
                </c:pt>
                <c:pt idx="657">
                  <c:v>1377</c:v>
                </c:pt>
                <c:pt idx="658">
                  <c:v>1377</c:v>
                </c:pt>
                <c:pt idx="659">
                  <c:v>1377</c:v>
                </c:pt>
                <c:pt idx="660">
                  <c:v>1377</c:v>
                </c:pt>
                <c:pt idx="661">
                  <c:v>1377</c:v>
                </c:pt>
                <c:pt idx="662">
                  <c:v>1377</c:v>
                </c:pt>
                <c:pt idx="663">
                  <c:v>1377</c:v>
                </c:pt>
                <c:pt idx="664">
                  <c:v>1377</c:v>
                </c:pt>
                <c:pt idx="665">
                  <c:v>1377</c:v>
                </c:pt>
                <c:pt idx="666">
                  <c:v>1377</c:v>
                </c:pt>
                <c:pt idx="667">
                  <c:v>1377</c:v>
                </c:pt>
                <c:pt idx="668">
                  <c:v>1377</c:v>
                </c:pt>
                <c:pt idx="669">
                  <c:v>1377</c:v>
                </c:pt>
                <c:pt idx="670">
                  <c:v>1377</c:v>
                </c:pt>
                <c:pt idx="671">
                  <c:v>1377</c:v>
                </c:pt>
                <c:pt idx="672">
                  <c:v>1377</c:v>
                </c:pt>
                <c:pt idx="673">
                  <c:v>1377</c:v>
                </c:pt>
                <c:pt idx="674">
                  <c:v>1377</c:v>
                </c:pt>
                <c:pt idx="675">
                  <c:v>1377</c:v>
                </c:pt>
                <c:pt idx="676">
                  <c:v>1377</c:v>
                </c:pt>
                <c:pt idx="677">
                  <c:v>1377</c:v>
                </c:pt>
                <c:pt idx="678">
                  <c:v>1377</c:v>
                </c:pt>
                <c:pt idx="679">
                  <c:v>1377</c:v>
                </c:pt>
                <c:pt idx="680">
                  <c:v>1377</c:v>
                </c:pt>
                <c:pt idx="681">
                  <c:v>1377</c:v>
                </c:pt>
                <c:pt idx="682">
                  <c:v>1377</c:v>
                </c:pt>
                <c:pt idx="683">
                  <c:v>1377</c:v>
                </c:pt>
                <c:pt idx="684">
                  <c:v>1377</c:v>
                </c:pt>
                <c:pt idx="685">
                  <c:v>1377</c:v>
                </c:pt>
                <c:pt idx="686">
                  <c:v>1377</c:v>
                </c:pt>
                <c:pt idx="687">
                  <c:v>1377</c:v>
                </c:pt>
                <c:pt idx="688">
                  <c:v>1377</c:v>
                </c:pt>
                <c:pt idx="689">
                  <c:v>1377</c:v>
                </c:pt>
                <c:pt idx="690">
                  <c:v>1377</c:v>
                </c:pt>
                <c:pt idx="691">
                  <c:v>1377</c:v>
                </c:pt>
                <c:pt idx="692">
                  <c:v>1377</c:v>
                </c:pt>
                <c:pt idx="693">
                  <c:v>1377</c:v>
                </c:pt>
                <c:pt idx="694">
                  <c:v>1377</c:v>
                </c:pt>
                <c:pt idx="695">
                  <c:v>1377</c:v>
                </c:pt>
                <c:pt idx="696">
                  <c:v>1377</c:v>
                </c:pt>
                <c:pt idx="697">
                  <c:v>1377</c:v>
                </c:pt>
                <c:pt idx="698">
                  <c:v>1377</c:v>
                </c:pt>
                <c:pt idx="699">
                  <c:v>1377</c:v>
                </c:pt>
                <c:pt idx="700">
                  <c:v>1377</c:v>
                </c:pt>
                <c:pt idx="701">
                  <c:v>1377</c:v>
                </c:pt>
                <c:pt idx="702">
                  <c:v>1377</c:v>
                </c:pt>
                <c:pt idx="703">
                  <c:v>1377</c:v>
                </c:pt>
                <c:pt idx="704">
                  <c:v>1377</c:v>
                </c:pt>
                <c:pt idx="705">
                  <c:v>1377</c:v>
                </c:pt>
                <c:pt idx="706">
                  <c:v>1377</c:v>
                </c:pt>
                <c:pt idx="707">
                  <c:v>1377</c:v>
                </c:pt>
                <c:pt idx="708">
                  <c:v>1377</c:v>
                </c:pt>
                <c:pt idx="709">
                  <c:v>1377</c:v>
                </c:pt>
                <c:pt idx="710">
                  <c:v>1377</c:v>
                </c:pt>
                <c:pt idx="711">
                  <c:v>1377</c:v>
                </c:pt>
                <c:pt idx="712">
                  <c:v>1377</c:v>
                </c:pt>
                <c:pt idx="713">
                  <c:v>1377</c:v>
                </c:pt>
                <c:pt idx="714">
                  <c:v>1377</c:v>
                </c:pt>
                <c:pt idx="715">
                  <c:v>1377</c:v>
                </c:pt>
                <c:pt idx="716">
                  <c:v>1377</c:v>
                </c:pt>
                <c:pt idx="717">
                  <c:v>1377</c:v>
                </c:pt>
                <c:pt idx="718">
                  <c:v>1377</c:v>
                </c:pt>
                <c:pt idx="719">
                  <c:v>1377</c:v>
                </c:pt>
                <c:pt idx="720">
                  <c:v>1377</c:v>
                </c:pt>
                <c:pt idx="721">
                  <c:v>1377</c:v>
                </c:pt>
                <c:pt idx="722">
                  <c:v>1377</c:v>
                </c:pt>
                <c:pt idx="723">
                  <c:v>1377</c:v>
                </c:pt>
                <c:pt idx="724">
                  <c:v>1377</c:v>
                </c:pt>
                <c:pt idx="725">
                  <c:v>1377</c:v>
                </c:pt>
                <c:pt idx="726">
                  <c:v>1377</c:v>
                </c:pt>
                <c:pt idx="727">
                  <c:v>1377</c:v>
                </c:pt>
                <c:pt idx="728">
                  <c:v>1377</c:v>
                </c:pt>
                <c:pt idx="729">
                  <c:v>1377</c:v>
                </c:pt>
                <c:pt idx="730">
                  <c:v>1377</c:v>
                </c:pt>
                <c:pt idx="731">
                  <c:v>1377</c:v>
                </c:pt>
                <c:pt idx="732">
                  <c:v>1377</c:v>
                </c:pt>
                <c:pt idx="733">
                  <c:v>1377</c:v>
                </c:pt>
                <c:pt idx="734">
                  <c:v>1377</c:v>
                </c:pt>
                <c:pt idx="735">
                  <c:v>1377</c:v>
                </c:pt>
                <c:pt idx="736">
                  <c:v>1377</c:v>
                </c:pt>
                <c:pt idx="737">
                  <c:v>1377</c:v>
                </c:pt>
                <c:pt idx="738">
                  <c:v>1377</c:v>
                </c:pt>
                <c:pt idx="739">
                  <c:v>1377</c:v>
                </c:pt>
                <c:pt idx="740">
                  <c:v>1377</c:v>
                </c:pt>
                <c:pt idx="741">
                  <c:v>1377</c:v>
                </c:pt>
                <c:pt idx="742">
                  <c:v>1377</c:v>
                </c:pt>
                <c:pt idx="743">
                  <c:v>1377</c:v>
                </c:pt>
                <c:pt idx="744">
                  <c:v>1377</c:v>
                </c:pt>
                <c:pt idx="745">
                  <c:v>1377</c:v>
                </c:pt>
                <c:pt idx="746">
                  <c:v>1377</c:v>
                </c:pt>
                <c:pt idx="747">
                  <c:v>1377</c:v>
                </c:pt>
                <c:pt idx="748">
                  <c:v>1377</c:v>
                </c:pt>
                <c:pt idx="749">
                  <c:v>1377</c:v>
                </c:pt>
                <c:pt idx="750">
                  <c:v>1377</c:v>
                </c:pt>
                <c:pt idx="751">
                  <c:v>1377</c:v>
                </c:pt>
                <c:pt idx="752">
                  <c:v>1377</c:v>
                </c:pt>
                <c:pt idx="753">
                  <c:v>1377</c:v>
                </c:pt>
                <c:pt idx="754">
                  <c:v>1377</c:v>
                </c:pt>
                <c:pt idx="755">
                  <c:v>1377</c:v>
                </c:pt>
                <c:pt idx="756">
                  <c:v>1377</c:v>
                </c:pt>
                <c:pt idx="757">
                  <c:v>1377</c:v>
                </c:pt>
                <c:pt idx="758">
                  <c:v>1377</c:v>
                </c:pt>
                <c:pt idx="759">
                  <c:v>1377</c:v>
                </c:pt>
                <c:pt idx="760">
                  <c:v>1377</c:v>
                </c:pt>
                <c:pt idx="761">
                  <c:v>1377</c:v>
                </c:pt>
                <c:pt idx="762">
                  <c:v>1377</c:v>
                </c:pt>
                <c:pt idx="763">
                  <c:v>1377</c:v>
                </c:pt>
                <c:pt idx="764">
                  <c:v>1377</c:v>
                </c:pt>
                <c:pt idx="765">
                  <c:v>1377</c:v>
                </c:pt>
                <c:pt idx="766">
                  <c:v>1377</c:v>
                </c:pt>
                <c:pt idx="767">
                  <c:v>1377</c:v>
                </c:pt>
                <c:pt idx="768">
                  <c:v>1377</c:v>
                </c:pt>
                <c:pt idx="769">
                  <c:v>1377</c:v>
                </c:pt>
                <c:pt idx="770">
                  <c:v>1377</c:v>
                </c:pt>
                <c:pt idx="771">
                  <c:v>1377</c:v>
                </c:pt>
                <c:pt idx="772">
                  <c:v>1377</c:v>
                </c:pt>
                <c:pt idx="773">
                  <c:v>1377</c:v>
                </c:pt>
                <c:pt idx="774">
                  <c:v>1377</c:v>
                </c:pt>
                <c:pt idx="775">
                  <c:v>1377</c:v>
                </c:pt>
                <c:pt idx="776">
                  <c:v>1377</c:v>
                </c:pt>
                <c:pt idx="777">
                  <c:v>1377</c:v>
                </c:pt>
                <c:pt idx="778">
                  <c:v>1377</c:v>
                </c:pt>
                <c:pt idx="779">
                  <c:v>1377</c:v>
                </c:pt>
                <c:pt idx="780">
                  <c:v>1377</c:v>
                </c:pt>
                <c:pt idx="781">
                  <c:v>1377</c:v>
                </c:pt>
                <c:pt idx="782">
                  <c:v>1377</c:v>
                </c:pt>
                <c:pt idx="783">
                  <c:v>1377</c:v>
                </c:pt>
                <c:pt idx="784">
                  <c:v>1377</c:v>
                </c:pt>
                <c:pt idx="785">
                  <c:v>1377</c:v>
                </c:pt>
                <c:pt idx="786">
                  <c:v>1377</c:v>
                </c:pt>
                <c:pt idx="787">
                  <c:v>1377</c:v>
                </c:pt>
                <c:pt idx="788">
                  <c:v>1377</c:v>
                </c:pt>
                <c:pt idx="789">
                  <c:v>1377</c:v>
                </c:pt>
                <c:pt idx="790">
                  <c:v>1377</c:v>
                </c:pt>
                <c:pt idx="791">
                  <c:v>1377</c:v>
                </c:pt>
                <c:pt idx="792">
                  <c:v>1377</c:v>
                </c:pt>
                <c:pt idx="793">
                  <c:v>1377</c:v>
                </c:pt>
                <c:pt idx="794">
                  <c:v>1377</c:v>
                </c:pt>
                <c:pt idx="795">
                  <c:v>1377</c:v>
                </c:pt>
                <c:pt idx="796">
                  <c:v>1377</c:v>
                </c:pt>
                <c:pt idx="797">
                  <c:v>1377</c:v>
                </c:pt>
                <c:pt idx="798">
                  <c:v>1377</c:v>
                </c:pt>
                <c:pt idx="799">
                  <c:v>1377</c:v>
                </c:pt>
                <c:pt idx="800">
                  <c:v>1377</c:v>
                </c:pt>
                <c:pt idx="801">
                  <c:v>1377</c:v>
                </c:pt>
                <c:pt idx="802">
                  <c:v>1377</c:v>
                </c:pt>
                <c:pt idx="803">
                  <c:v>1377</c:v>
                </c:pt>
                <c:pt idx="804">
                  <c:v>1377</c:v>
                </c:pt>
                <c:pt idx="805">
                  <c:v>1377</c:v>
                </c:pt>
                <c:pt idx="806">
                  <c:v>1377</c:v>
                </c:pt>
                <c:pt idx="807">
                  <c:v>1377</c:v>
                </c:pt>
                <c:pt idx="808">
                  <c:v>1377</c:v>
                </c:pt>
                <c:pt idx="809">
                  <c:v>1377</c:v>
                </c:pt>
                <c:pt idx="810">
                  <c:v>1377</c:v>
                </c:pt>
                <c:pt idx="811">
                  <c:v>1377</c:v>
                </c:pt>
                <c:pt idx="812">
                  <c:v>1377</c:v>
                </c:pt>
                <c:pt idx="813">
                  <c:v>1377</c:v>
                </c:pt>
                <c:pt idx="814">
                  <c:v>1377</c:v>
                </c:pt>
                <c:pt idx="815">
                  <c:v>1377</c:v>
                </c:pt>
                <c:pt idx="816">
                  <c:v>1377</c:v>
                </c:pt>
                <c:pt idx="817">
                  <c:v>1377</c:v>
                </c:pt>
                <c:pt idx="818">
                  <c:v>1377</c:v>
                </c:pt>
                <c:pt idx="819">
                  <c:v>1377</c:v>
                </c:pt>
                <c:pt idx="820">
                  <c:v>1377</c:v>
                </c:pt>
                <c:pt idx="821">
                  <c:v>1377</c:v>
                </c:pt>
                <c:pt idx="822">
                  <c:v>1377</c:v>
                </c:pt>
                <c:pt idx="823">
                  <c:v>1377</c:v>
                </c:pt>
                <c:pt idx="824">
                  <c:v>1377</c:v>
                </c:pt>
                <c:pt idx="825">
                  <c:v>1377</c:v>
                </c:pt>
                <c:pt idx="826">
                  <c:v>1377</c:v>
                </c:pt>
                <c:pt idx="827">
                  <c:v>1377</c:v>
                </c:pt>
                <c:pt idx="828">
                  <c:v>1377</c:v>
                </c:pt>
                <c:pt idx="829">
                  <c:v>1377</c:v>
                </c:pt>
                <c:pt idx="830">
                  <c:v>1377</c:v>
                </c:pt>
                <c:pt idx="831">
                  <c:v>1377</c:v>
                </c:pt>
                <c:pt idx="832">
                  <c:v>1377</c:v>
                </c:pt>
                <c:pt idx="833">
                  <c:v>1377</c:v>
                </c:pt>
                <c:pt idx="834">
                  <c:v>1377</c:v>
                </c:pt>
                <c:pt idx="835">
                  <c:v>1377</c:v>
                </c:pt>
                <c:pt idx="836">
                  <c:v>1377</c:v>
                </c:pt>
                <c:pt idx="837">
                  <c:v>1377</c:v>
                </c:pt>
                <c:pt idx="838">
                  <c:v>1377</c:v>
                </c:pt>
                <c:pt idx="839">
                  <c:v>1377</c:v>
                </c:pt>
                <c:pt idx="840">
                  <c:v>1377</c:v>
                </c:pt>
                <c:pt idx="841">
                  <c:v>1377</c:v>
                </c:pt>
                <c:pt idx="842">
                  <c:v>1377</c:v>
                </c:pt>
                <c:pt idx="843">
                  <c:v>1377</c:v>
                </c:pt>
                <c:pt idx="844">
                  <c:v>1377</c:v>
                </c:pt>
                <c:pt idx="845">
                  <c:v>1377</c:v>
                </c:pt>
                <c:pt idx="846">
                  <c:v>1377</c:v>
                </c:pt>
                <c:pt idx="847">
                  <c:v>1377</c:v>
                </c:pt>
                <c:pt idx="848">
                  <c:v>1377</c:v>
                </c:pt>
                <c:pt idx="849">
                  <c:v>1377</c:v>
                </c:pt>
                <c:pt idx="850">
                  <c:v>1377</c:v>
                </c:pt>
                <c:pt idx="851">
                  <c:v>1377</c:v>
                </c:pt>
                <c:pt idx="852">
                  <c:v>1377</c:v>
                </c:pt>
                <c:pt idx="853">
                  <c:v>1377</c:v>
                </c:pt>
                <c:pt idx="854">
                  <c:v>1377</c:v>
                </c:pt>
                <c:pt idx="855">
                  <c:v>1377</c:v>
                </c:pt>
                <c:pt idx="856">
                  <c:v>1377</c:v>
                </c:pt>
                <c:pt idx="857">
                  <c:v>1377</c:v>
                </c:pt>
                <c:pt idx="858">
                  <c:v>1377</c:v>
                </c:pt>
                <c:pt idx="859">
                  <c:v>1377</c:v>
                </c:pt>
                <c:pt idx="860">
                  <c:v>1377</c:v>
                </c:pt>
                <c:pt idx="861">
                  <c:v>1377</c:v>
                </c:pt>
                <c:pt idx="862">
                  <c:v>1377</c:v>
                </c:pt>
                <c:pt idx="863">
                  <c:v>1377</c:v>
                </c:pt>
                <c:pt idx="864">
                  <c:v>1377</c:v>
                </c:pt>
                <c:pt idx="865">
                  <c:v>1377</c:v>
                </c:pt>
                <c:pt idx="866">
                  <c:v>1377</c:v>
                </c:pt>
                <c:pt idx="867">
                  <c:v>1377</c:v>
                </c:pt>
                <c:pt idx="868">
                  <c:v>1377</c:v>
                </c:pt>
                <c:pt idx="869">
                  <c:v>1377</c:v>
                </c:pt>
                <c:pt idx="870">
                  <c:v>1377</c:v>
                </c:pt>
                <c:pt idx="871">
                  <c:v>1377</c:v>
                </c:pt>
                <c:pt idx="872">
                  <c:v>1377</c:v>
                </c:pt>
                <c:pt idx="873">
                  <c:v>1377</c:v>
                </c:pt>
                <c:pt idx="874">
                  <c:v>1377</c:v>
                </c:pt>
                <c:pt idx="875">
                  <c:v>1377</c:v>
                </c:pt>
                <c:pt idx="876">
                  <c:v>1377</c:v>
                </c:pt>
                <c:pt idx="877">
                  <c:v>1377</c:v>
                </c:pt>
                <c:pt idx="878">
                  <c:v>1377</c:v>
                </c:pt>
                <c:pt idx="879">
                  <c:v>1377</c:v>
                </c:pt>
                <c:pt idx="880">
                  <c:v>1377</c:v>
                </c:pt>
                <c:pt idx="881">
                  <c:v>1377</c:v>
                </c:pt>
                <c:pt idx="882">
                  <c:v>1377</c:v>
                </c:pt>
                <c:pt idx="883">
                  <c:v>1377</c:v>
                </c:pt>
                <c:pt idx="884">
                  <c:v>1377</c:v>
                </c:pt>
                <c:pt idx="885">
                  <c:v>1377</c:v>
                </c:pt>
                <c:pt idx="886">
                  <c:v>1377</c:v>
                </c:pt>
                <c:pt idx="887">
                  <c:v>1377</c:v>
                </c:pt>
                <c:pt idx="888">
                  <c:v>1377</c:v>
                </c:pt>
                <c:pt idx="889">
                  <c:v>1377</c:v>
                </c:pt>
                <c:pt idx="890">
                  <c:v>1377</c:v>
                </c:pt>
                <c:pt idx="891">
                  <c:v>1377</c:v>
                </c:pt>
                <c:pt idx="892">
                  <c:v>1377</c:v>
                </c:pt>
                <c:pt idx="893">
                  <c:v>1377</c:v>
                </c:pt>
                <c:pt idx="894">
                  <c:v>1377</c:v>
                </c:pt>
                <c:pt idx="895">
                  <c:v>1377</c:v>
                </c:pt>
                <c:pt idx="896">
                  <c:v>1377</c:v>
                </c:pt>
                <c:pt idx="897">
                  <c:v>1377</c:v>
                </c:pt>
                <c:pt idx="898">
                  <c:v>1377</c:v>
                </c:pt>
                <c:pt idx="899">
                  <c:v>1377</c:v>
                </c:pt>
                <c:pt idx="900">
                  <c:v>1377</c:v>
                </c:pt>
                <c:pt idx="901">
                  <c:v>1377</c:v>
                </c:pt>
                <c:pt idx="902">
                  <c:v>1377</c:v>
                </c:pt>
                <c:pt idx="903">
                  <c:v>1377</c:v>
                </c:pt>
                <c:pt idx="904">
                  <c:v>1377</c:v>
                </c:pt>
                <c:pt idx="905">
                  <c:v>1377</c:v>
                </c:pt>
                <c:pt idx="906">
                  <c:v>1377</c:v>
                </c:pt>
                <c:pt idx="907">
                  <c:v>1377</c:v>
                </c:pt>
                <c:pt idx="908">
                  <c:v>1377</c:v>
                </c:pt>
                <c:pt idx="909">
                  <c:v>1377</c:v>
                </c:pt>
                <c:pt idx="910">
                  <c:v>1377</c:v>
                </c:pt>
                <c:pt idx="911">
                  <c:v>1377</c:v>
                </c:pt>
                <c:pt idx="912">
                  <c:v>1377</c:v>
                </c:pt>
                <c:pt idx="913">
                  <c:v>1377</c:v>
                </c:pt>
                <c:pt idx="914">
                  <c:v>1377</c:v>
                </c:pt>
                <c:pt idx="915">
                  <c:v>1377</c:v>
                </c:pt>
                <c:pt idx="916">
                  <c:v>1377</c:v>
                </c:pt>
                <c:pt idx="917">
                  <c:v>1377</c:v>
                </c:pt>
                <c:pt idx="918">
                  <c:v>1377</c:v>
                </c:pt>
                <c:pt idx="919">
                  <c:v>1377</c:v>
                </c:pt>
                <c:pt idx="920">
                  <c:v>1377</c:v>
                </c:pt>
                <c:pt idx="921">
                  <c:v>1377</c:v>
                </c:pt>
                <c:pt idx="922">
                  <c:v>1377</c:v>
                </c:pt>
                <c:pt idx="923">
                  <c:v>1377</c:v>
                </c:pt>
                <c:pt idx="924">
                  <c:v>1377</c:v>
                </c:pt>
                <c:pt idx="925">
                  <c:v>1377</c:v>
                </c:pt>
                <c:pt idx="926">
                  <c:v>1377</c:v>
                </c:pt>
                <c:pt idx="927">
                  <c:v>1377</c:v>
                </c:pt>
                <c:pt idx="928">
                  <c:v>1377</c:v>
                </c:pt>
                <c:pt idx="929">
                  <c:v>1377</c:v>
                </c:pt>
                <c:pt idx="930">
                  <c:v>1377</c:v>
                </c:pt>
                <c:pt idx="931">
                  <c:v>1377</c:v>
                </c:pt>
                <c:pt idx="932">
                  <c:v>1377</c:v>
                </c:pt>
                <c:pt idx="933">
                  <c:v>1377</c:v>
                </c:pt>
                <c:pt idx="934">
                  <c:v>1377</c:v>
                </c:pt>
                <c:pt idx="935">
                  <c:v>1377</c:v>
                </c:pt>
                <c:pt idx="936">
                  <c:v>1377</c:v>
                </c:pt>
                <c:pt idx="937">
                  <c:v>1377</c:v>
                </c:pt>
                <c:pt idx="938">
                  <c:v>1377</c:v>
                </c:pt>
                <c:pt idx="939">
                  <c:v>1377</c:v>
                </c:pt>
                <c:pt idx="940">
                  <c:v>1377</c:v>
                </c:pt>
                <c:pt idx="941">
                  <c:v>1377</c:v>
                </c:pt>
                <c:pt idx="942">
                  <c:v>1377</c:v>
                </c:pt>
                <c:pt idx="943">
                  <c:v>1377</c:v>
                </c:pt>
                <c:pt idx="944">
                  <c:v>1377</c:v>
                </c:pt>
                <c:pt idx="945">
                  <c:v>1377</c:v>
                </c:pt>
                <c:pt idx="946">
                  <c:v>1377</c:v>
                </c:pt>
                <c:pt idx="947">
                  <c:v>1377</c:v>
                </c:pt>
                <c:pt idx="948">
                  <c:v>1377</c:v>
                </c:pt>
                <c:pt idx="949">
                  <c:v>1377</c:v>
                </c:pt>
                <c:pt idx="950">
                  <c:v>1377</c:v>
                </c:pt>
                <c:pt idx="951">
                  <c:v>1377</c:v>
                </c:pt>
                <c:pt idx="952">
                  <c:v>1377</c:v>
                </c:pt>
                <c:pt idx="953">
                  <c:v>1377</c:v>
                </c:pt>
                <c:pt idx="954">
                  <c:v>1377</c:v>
                </c:pt>
                <c:pt idx="955">
                  <c:v>1377</c:v>
                </c:pt>
                <c:pt idx="956">
                  <c:v>1377</c:v>
                </c:pt>
                <c:pt idx="957">
                  <c:v>1377</c:v>
                </c:pt>
                <c:pt idx="958">
                  <c:v>1377</c:v>
                </c:pt>
                <c:pt idx="959">
                  <c:v>1377</c:v>
                </c:pt>
                <c:pt idx="960">
                  <c:v>1377</c:v>
                </c:pt>
                <c:pt idx="961">
                  <c:v>1377</c:v>
                </c:pt>
                <c:pt idx="962">
                  <c:v>1377</c:v>
                </c:pt>
                <c:pt idx="963">
                  <c:v>1377</c:v>
                </c:pt>
                <c:pt idx="964">
                  <c:v>1377</c:v>
                </c:pt>
                <c:pt idx="965">
                  <c:v>1377</c:v>
                </c:pt>
                <c:pt idx="966">
                  <c:v>1377</c:v>
                </c:pt>
                <c:pt idx="967">
                  <c:v>1377</c:v>
                </c:pt>
                <c:pt idx="968">
                  <c:v>1377</c:v>
                </c:pt>
                <c:pt idx="969">
                  <c:v>1377</c:v>
                </c:pt>
                <c:pt idx="970">
                  <c:v>1377</c:v>
                </c:pt>
                <c:pt idx="971">
                  <c:v>1377</c:v>
                </c:pt>
                <c:pt idx="972">
                  <c:v>1377</c:v>
                </c:pt>
                <c:pt idx="973">
                  <c:v>1377</c:v>
                </c:pt>
                <c:pt idx="974">
                  <c:v>1377</c:v>
                </c:pt>
                <c:pt idx="975">
                  <c:v>1377</c:v>
                </c:pt>
                <c:pt idx="976">
                  <c:v>1377</c:v>
                </c:pt>
                <c:pt idx="977">
                  <c:v>1377</c:v>
                </c:pt>
                <c:pt idx="978">
                  <c:v>1377</c:v>
                </c:pt>
                <c:pt idx="979">
                  <c:v>1377</c:v>
                </c:pt>
                <c:pt idx="980">
                  <c:v>1377</c:v>
                </c:pt>
                <c:pt idx="981">
                  <c:v>1377</c:v>
                </c:pt>
                <c:pt idx="982">
                  <c:v>1377</c:v>
                </c:pt>
                <c:pt idx="983">
                  <c:v>1377</c:v>
                </c:pt>
                <c:pt idx="984">
                  <c:v>1377</c:v>
                </c:pt>
                <c:pt idx="985">
                  <c:v>1377</c:v>
                </c:pt>
                <c:pt idx="986">
                  <c:v>1377</c:v>
                </c:pt>
                <c:pt idx="987">
                  <c:v>1377</c:v>
                </c:pt>
                <c:pt idx="988">
                  <c:v>1377</c:v>
                </c:pt>
                <c:pt idx="989">
                  <c:v>1377</c:v>
                </c:pt>
                <c:pt idx="990">
                  <c:v>1377</c:v>
                </c:pt>
                <c:pt idx="991">
                  <c:v>1377</c:v>
                </c:pt>
                <c:pt idx="992">
                  <c:v>1377</c:v>
                </c:pt>
                <c:pt idx="993">
                  <c:v>1377</c:v>
                </c:pt>
                <c:pt idx="994">
                  <c:v>1377</c:v>
                </c:pt>
                <c:pt idx="995">
                  <c:v>1377</c:v>
                </c:pt>
                <c:pt idx="996">
                  <c:v>1377</c:v>
                </c:pt>
                <c:pt idx="997">
                  <c:v>1377</c:v>
                </c:pt>
                <c:pt idx="998">
                  <c:v>1377</c:v>
                </c:pt>
                <c:pt idx="999">
                  <c:v>1377</c:v>
                </c:pt>
                <c:pt idx="1000">
                  <c:v>1377</c:v>
                </c:pt>
                <c:pt idx="1001">
                  <c:v>1377</c:v>
                </c:pt>
                <c:pt idx="1002">
                  <c:v>1377</c:v>
                </c:pt>
                <c:pt idx="1003">
                  <c:v>1377</c:v>
                </c:pt>
                <c:pt idx="1004">
                  <c:v>1377</c:v>
                </c:pt>
                <c:pt idx="1005">
                  <c:v>1377</c:v>
                </c:pt>
                <c:pt idx="1006">
                  <c:v>1377</c:v>
                </c:pt>
                <c:pt idx="1007">
                  <c:v>1377</c:v>
                </c:pt>
                <c:pt idx="1008">
                  <c:v>1377</c:v>
                </c:pt>
                <c:pt idx="1009">
                  <c:v>1377</c:v>
                </c:pt>
                <c:pt idx="1010">
                  <c:v>1377</c:v>
                </c:pt>
                <c:pt idx="1011">
                  <c:v>1377</c:v>
                </c:pt>
                <c:pt idx="1012">
                  <c:v>1377</c:v>
                </c:pt>
                <c:pt idx="1013">
                  <c:v>1377</c:v>
                </c:pt>
                <c:pt idx="1014">
                  <c:v>1377</c:v>
                </c:pt>
                <c:pt idx="1015">
                  <c:v>1377</c:v>
                </c:pt>
                <c:pt idx="1016">
                  <c:v>1377</c:v>
                </c:pt>
                <c:pt idx="1017">
                  <c:v>1377</c:v>
                </c:pt>
                <c:pt idx="1018">
                  <c:v>1377</c:v>
                </c:pt>
                <c:pt idx="1019">
                  <c:v>1377</c:v>
                </c:pt>
                <c:pt idx="1020">
                  <c:v>1377</c:v>
                </c:pt>
                <c:pt idx="1021">
                  <c:v>1377</c:v>
                </c:pt>
                <c:pt idx="1022">
                  <c:v>1377</c:v>
                </c:pt>
                <c:pt idx="1023">
                  <c:v>1377</c:v>
                </c:pt>
                <c:pt idx="1024">
                  <c:v>1377</c:v>
                </c:pt>
                <c:pt idx="1025">
                  <c:v>1377</c:v>
                </c:pt>
                <c:pt idx="1026">
                  <c:v>1377</c:v>
                </c:pt>
                <c:pt idx="1027">
                  <c:v>1377</c:v>
                </c:pt>
                <c:pt idx="1028">
                  <c:v>1377</c:v>
                </c:pt>
                <c:pt idx="1029">
                  <c:v>1377</c:v>
                </c:pt>
                <c:pt idx="1030">
                  <c:v>1377</c:v>
                </c:pt>
                <c:pt idx="1031">
                  <c:v>1377</c:v>
                </c:pt>
                <c:pt idx="1032">
                  <c:v>1377</c:v>
                </c:pt>
                <c:pt idx="1033">
                  <c:v>1377</c:v>
                </c:pt>
                <c:pt idx="1034">
                  <c:v>1377</c:v>
                </c:pt>
                <c:pt idx="1035">
                  <c:v>1377</c:v>
                </c:pt>
                <c:pt idx="1036">
                  <c:v>1377</c:v>
                </c:pt>
                <c:pt idx="1037">
                  <c:v>1377</c:v>
                </c:pt>
                <c:pt idx="1038">
                  <c:v>1377</c:v>
                </c:pt>
                <c:pt idx="1039">
                  <c:v>1377</c:v>
                </c:pt>
                <c:pt idx="1040">
                  <c:v>1377</c:v>
                </c:pt>
                <c:pt idx="1041">
                  <c:v>1377</c:v>
                </c:pt>
                <c:pt idx="1042">
                  <c:v>1377</c:v>
                </c:pt>
                <c:pt idx="1043">
                  <c:v>1377</c:v>
                </c:pt>
                <c:pt idx="1044">
                  <c:v>1377</c:v>
                </c:pt>
                <c:pt idx="1045">
                  <c:v>1377</c:v>
                </c:pt>
                <c:pt idx="1046">
                  <c:v>1377</c:v>
                </c:pt>
                <c:pt idx="1047">
                  <c:v>1377</c:v>
                </c:pt>
                <c:pt idx="1048">
                  <c:v>1377</c:v>
                </c:pt>
                <c:pt idx="1049">
                  <c:v>1377</c:v>
                </c:pt>
                <c:pt idx="1050">
                  <c:v>1377</c:v>
                </c:pt>
                <c:pt idx="1051">
                  <c:v>1377</c:v>
                </c:pt>
                <c:pt idx="1052">
                  <c:v>1377</c:v>
                </c:pt>
                <c:pt idx="1053">
                  <c:v>1377</c:v>
                </c:pt>
                <c:pt idx="1054">
                  <c:v>1377</c:v>
                </c:pt>
                <c:pt idx="1055">
                  <c:v>1377</c:v>
                </c:pt>
                <c:pt idx="1056">
                  <c:v>1377</c:v>
                </c:pt>
                <c:pt idx="1057">
                  <c:v>1377</c:v>
                </c:pt>
                <c:pt idx="1058">
                  <c:v>1377</c:v>
                </c:pt>
                <c:pt idx="1059">
                  <c:v>1377</c:v>
                </c:pt>
                <c:pt idx="1060">
                  <c:v>1377</c:v>
                </c:pt>
                <c:pt idx="1061">
                  <c:v>1377</c:v>
                </c:pt>
                <c:pt idx="1062">
                  <c:v>1377</c:v>
                </c:pt>
                <c:pt idx="1063">
                  <c:v>1377</c:v>
                </c:pt>
                <c:pt idx="1064">
                  <c:v>1377</c:v>
                </c:pt>
                <c:pt idx="1065">
                  <c:v>1377</c:v>
                </c:pt>
                <c:pt idx="1066">
                  <c:v>1377</c:v>
                </c:pt>
                <c:pt idx="1067">
                  <c:v>1377</c:v>
                </c:pt>
                <c:pt idx="1068">
                  <c:v>1377</c:v>
                </c:pt>
                <c:pt idx="1069">
                  <c:v>1377</c:v>
                </c:pt>
                <c:pt idx="1070">
                  <c:v>1377</c:v>
                </c:pt>
                <c:pt idx="1071">
                  <c:v>1377</c:v>
                </c:pt>
                <c:pt idx="1072">
                  <c:v>1377</c:v>
                </c:pt>
                <c:pt idx="1073">
                  <c:v>1377</c:v>
                </c:pt>
                <c:pt idx="1074">
                  <c:v>1377</c:v>
                </c:pt>
                <c:pt idx="1075">
                  <c:v>1377</c:v>
                </c:pt>
                <c:pt idx="1076">
                  <c:v>1377</c:v>
                </c:pt>
                <c:pt idx="1077">
                  <c:v>1377</c:v>
                </c:pt>
                <c:pt idx="1078">
                  <c:v>1377</c:v>
                </c:pt>
                <c:pt idx="1079">
                  <c:v>1377</c:v>
                </c:pt>
                <c:pt idx="1080">
                  <c:v>1377</c:v>
                </c:pt>
                <c:pt idx="1081">
                  <c:v>1377</c:v>
                </c:pt>
                <c:pt idx="1082">
                  <c:v>1377</c:v>
                </c:pt>
                <c:pt idx="1083">
                  <c:v>1377</c:v>
                </c:pt>
                <c:pt idx="1084">
                  <c:v>1377</c:v>
                </c:pt>
                <c:pt idx="1085">
                  <c:v>1377</c:v>
                </c:pt>
                <c:pt idx="1086">
                  <c:v>1377</c:v>
                </c:pt>
                <c:pt idx="1087">
                  <c:v>1377</c:v>
                </c:pt>
                <c:pt idx="1088">
                  <c:v>1377</c:v>
                </c:pt>
                <c:pt idx="1089">
                  <c:v>1377</c:v>
                </c:pt>
                <c:pt idx="1090">
                  <c:v>1377</c:v>
                </c:pt>
                <c:pt idx="1091">
                  <c:v>1377</c:v>
                </c:pt>
                <c:pt idx="1092">
                  <c:v>1377</c:v>
                </c:pt>
                <c:pt idx="1093">
                  <c:v>1377</c:v>
                </c:pt>
                <c:pt idx="1094">
                  <c:v>1377</c:v>
                </c:pt>
                <c:pt idx="1095">
                  <c:v>1377</c:v>
                </c:pt>
                <c:pt idx="1096">
                  <c:v>1377</c:v>
                </c:pt>
                <c:pt idx="1097">
                  <c:v>1377</c:v>
                </c:pt>
                <c:pt idx="1098">
                  <c:v>1377</c:v>
                </c:pt>
                <c:pt idx="1099">
                  <c:v>1377</c:v>
                </c:pt>
                <c:pt idx="1100">
                  <c:v>1377</c:v>
                </c:pt>
                <c:pt idx="1101">
                  <c:v>1377</c:v>
                </c:pt>
                <c:pt idx="1102">
                  <c:v>1377</c:v>
                </c:pt>
                <c:pt idx="1103">
                  <c:v>1377</c:v>
                </c:pt>
                <c:pt idx="1104">
                  <c:v>1377</c:v>
                </c:pt>
                <c:pt idx="1105">
                  <c:v>1377</c:v>
                </c:pt>
                <c:pt idx="1106">
                  <c:v>1377</c:v>
                </c:pt>
                <c:pt idx="1107">
                  <c:v>1377</c:v>
                </c:pt>
                <c:pt idx="1108">
                  <c:v>1377</c:v>
                </c:pt>
                <c:pt idx="1109">
                  <c:v>1377</c:v>
                </c:pt>
                <c:pt idx="1110">
                  <c:v>1377</c:v>
                </c:pt>
                <c:pt idx="1111">
                  <c:v>1377</c:v>
                </c:pt>
                <c:pt idx="1112">
                  <c:v>1377</c:v>
                </c:pt>
                <c:pt idx="1113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6B-4398-A07C-8480D969FF4D}"/>
            </c:ext>
          </c:extLst>
        </c:ser>
        <c:ser>
          <c:idx val="4"/>
          <c:order val="7"/>
          <c:tx>
            <c:strRef>
              <c:f>Pages!$J$1</c:f>
              <c:strCache>
                <c:ptCount val="1"/>
                <c:pt idx="0">
                  <c:v>Cumulative 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[0]!PagesCum2026All</c:f>
              <c:numCache>
                <c:formatCode>General</c:formatCode>
                <c:ptCount val="1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141</c:v>
                </c:pt>
                <c:pt idx="818">
                  <c:v>156</c:v>
                </c:pt>
                <c:pt idx="819">
                  <c:v>170</c:v>
                </c:pt>
                <c:pt idx="820">
                  <c:v>170</c:v>
                </c:pt>
                <c:pt idx="821">
                  <c:v>170</c:v>
                </c:pt>
                <c:pt idx="822">
                  <c:v>170</c:v>
                </c:pt>
                <c:pt idx="823">
                  <c:v>174</c:v>
                </c:pt>
                <c:pt idx="824">
                  <c:v>186</c:v>
                </c:pt>
                <c:pt idx="825">
                  <c:v>341</c:v>
                </c:pt>
                <c:pt idx="826">
                  <c:v>341</c:v>
                </c:pt>
                <c:pt idx="827">
                  <c:v>341</c:v>
                </c:pt>
                <c:pt idx="828">
                  <c:v>341</c:v>
                </c:pt>
                <c:pt idx="829">
                  <c:v>341</c:v>
                </c:pt>
                <c:pt idx="830">
                  <c:v>341</c:v>
                </c:pt>
                <c:pt idx="831">
                  <c:v>341</c:v>
                </c:pt>
                <c:pt idx="832">
                  <c:v>341</c:v>
                </c:pt>
                <c:pt idx="833">
                  <c:v>341</c:v>
                </c:pt>
                <c:pt idx="834">
                  <c:v>341</c:v>
                </c:pt>
                <c:pt idx="835">
                  <c:v>341</c:v>
                </c:pt>
                <c:pt idx="836">
                  <c:v>341</c:v>
                </c:pt>
                <c:pt idx="837">
                  <c:v>341</c:v>
                </c:pt>
                <c:pt idx="838">
                  <c:v>341</c:v>
                </c:pt>
                <c:pt idx="839">
                  <c:v>341</c:v>
                </c:pt>
                <c:pt idx="840">
                  <c:v>341</c:v>
                </c:pt>
                <c:pt idx="841">
                  <c:v>341</c:v>
                </c:pt>
                <c:pt idx="842">
                  <c:v>341</c:v>
                </c:pt>
                <c:pt idx="843">
                  <c:v>341</c:v>
                </c:pt>
                <c:pt idx="844">
                  <c:v>341</c:v>
                </c:pt>
                <c:pt idx="845">
                  <c:v>341</c:v>
                </c:pt>
                <c:pt idx="846">
                  <c:v>341</c:v>
                </c:pt>
                <c:pt idx="847">
                  <c:v>341</c:v>
                </c:pt>
                <c:pt idx="848">
                  <c:v>341</c:v>
                </c:pt>
                <c:pt idx="849">
                  <c:v>341</c:v>
                </c:pt>
                <c:pt idx="850">
                  <c:v>341</c:v>
                </c:pt>
                <c:pt idx="851">
                  <c:v>341</c:v>
                </c:pt>
                <c:pt idx="852">
                  <c:v>341</c:v>
                </c:pt>
                <c:pt idx="853">
                  <c:v>341</c:v>
                </c:pt>
                <c:pt idx="854">
                  <c:v>341</c:v>
                </c:pt>
                <c:pt idx="855">
                  <c:v>341</c:v>
                </c:pt>
                <c:pt idx="856">
                  <c:v>341</c:v>
                </c:pt>
                <c:pt idx="857">
                  <c:v>341</c:v>
                </c:pt>
                <c:pt idx="858">
                  <c:v>341</c:v>
                </c:pt>
                <c:pt idx="859">
                  <c:v>341</c:v>
                </c:pt>
                <c:pt idx="860">
                  <c:v>341</c:v>
                </c:pt>
                <c:pt idx="861">
                  <c:v>341</c:v>
                </c:pt>
                <c:pt idx="862">
                  <c:v>341</c:v>
                </c:pt>
                <c:pt idx="863">
                  <c:v>341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341</c:v>
                </c:pt>
                <c:pt idx="889">
                  <c:v>341</c:v>
                </c:pt>
                <c:pt idx="890">
                  <c:v>341</c:v>
                </c:pt>
                <c:pt idx="891">
                  <c:v>341</c:v>
                </c:pt>
                <c:pt idx="892">
                  <c:v>495.5</c:v>
                </c:pt>
                <c:pt idx="893">
                  <c:v>600</c:v>
                </c:pt>
                <c:pt idx="894">
                  <c:v>720</c:v>
                </c:pt>
                <c:pt idx="895">
                  <c:v>815</c:v>
                </c:pt>
                <c:pt idx="896">
                  <c:v>824</c:v>
                </c:pt>
                <c:pt idx="897">
                  <c:v>824</c:v>
                </c:pt>
                <c:pt idx="898">
                  <c:v>849</c:v>
                </c:pt>
                <c:pt idx="899">
                  <c:v>938</c:v>
                </c:pt>
                <c:pt idx="900">
                  <c:v>977</c:v>
                </c:pt>
                <c:pt idx="901">
                  <c:v>1004</c:v>
                </c:pt>
                <c:pt idx="902">
                  <c:v>1096</c:v>
                </c:pt>
                <c:pt idx="903">
                  <c:v>1144</c:v>
                </c:pt>
                <c:pt idx="904">
                  <c:v>1255</c:v>
                </c:pt>
                <c:pt idx="905">
                  <c:v>1265</c:v>
                </c:pt>
                <c:pt idx="906">
                  <c:v>1265</c:v>
                </c:pt>
                <c:pt idx="907">
                  <c:v>1265</c:v>
                </c:pt>
                <c:pt idx="908">
                  <c:v>1265</c:v>
                </c:pt>
                <c:pt idx="909">
                  <c:v>1265</c:v>
                </c:pt>
                <c:pt idx="910">
                  <c:v>1265</c:v>
                </c:pt>
                <c:pt idx="911">
                  <c:v>1265</c:v>
                </c:pt>
                <c:pt idx="912">
                  <c:v>1265</c:v>
                </c:pt>
                <c:pt idx="913">
                  <c:v>1265</c:v>
                </c:pt>
                <c:pt idx="914">
                  <c:v>1265</c:v>
                </c:pt>
                <c:pt idx="915">
                  <c:v>1341</c:v>
                </c:pt>
                <c:pt idx="916">
                  <c:v>1388</c:v>
                </c:pt>
                <c:pt idx="917">
                  <c:v>1411</c:v>
                </c:pt>
                <c:pt idx="918">
                  <c:v>1411</c:v>
                </c:pt>
                <c:pt idx="919">
                  <c:v>1411</c:v>
                </c:pt>
                <c:pt idx="920">
                  <c:v>1411</c:v>
                </c:pt>
                <c:pt idx="921">
                  <c:v>1524</c:v>
                </c:pt>
                <c:pt idx="922">
                  <c:v>1579</c:v>
                </c:pt>
                <c:pt idx="923">
                  <c:v>1579</c:v>
                </c:pt>
                <c:pt idx="924">
                  <c:v>1589</c:v>
                </c:pt>
                <c:pt idx="925">
                  <c:v>1589</c:v>
                </c:pt>
                <c:pt idx="926">
                  <c:v>1589</c:v>
                </c:pt>
                <c:pt idx="927">
                  <c:v>1589</c:v>
                </c:pt>
                <c:pt idx="928">
                  <c:v>1589</c:v>
                </c:pt>
                <c:pt idx="929">
                  <c:v>1589</c:v>
                </c:pt>
                <c:pt idx="930">
                  <c:v>1589</c:v>
                </c:pt>
                <c:pt idx="931">
                  <c:v>1589</c:v>
                </c:pt>
                <c:pt idx="932">
                  <c:v>1589</c:v>
                </c:pt>
                <c:pt idx="933">
                  <c:v>1589</c:v>
                </c:pt>
                <c:pt idx="934">
                  <c:v>1589</c:v>
                </c:pt>
                <c:pt idx="935">
                  <c:v>1589</c:v>
                </c:pt>
                <c:pt idx="936">
                  <c:v>1589</c:v>
                </c:pt>
                <c:pt idx="937">
                  <c:v>1589</c:v>
                </c:pt>
                <c:pt idx="938">
                  <c:v>1589</c:v>
                </c:pt>
                <c:pt idx="939">
                  <c:v>1589</c:v>
                </c:pt>
                <c:pt idx="940">
                  <c:v>1589</c:v>
                </c:pt>
                <c:pt idx="941">
                  <c:v>1589</c:v>
                </c:pt>
                <c:pt idx="942">
                  <c:v>1589</c:v>
                </c:pt>
                <c:pt idx="943">
                  <c:v>1589</c:v>
                </c:pt>
                <c:pt idx="944">
                  <c:v>1589</c:v>
                </c:pt>
                <c:pt idx="945">
                  <c:v>1589</c:v>
                </c:pt>
                <c:pt idx="946">
                  <c:v>1589</c:v>
                </c:pt>
                <c:pt idx="947">
                  <c:v>1589</c:v>
                </c:pt>
                <c:pt idx="948">
                  <c:v>1589</c:v>
                </c:pt>
                <c:pt idx="949">
                  <c:v>1589</c:v>
                </c:pt>
                <c:pt idx="950">
                  <c:v>1589</c:v>
                </c:pt>
                <c:pt idx="951">
                  <c:v>1589</c:v>
                </c:pt>
                <c:pt idx="952">
                  <c:v>1589</c:v>
                </c:pt>
                <c:pt idx="953">
                  <c:v>1589</c:v>
                </c:pt>
                <c:pt idx="954">
                  <c:v>1589</c:v>
                </c:pt>
                <c:pt idx="955">
                  <c:v>1589</c:v>
                </c:pt>
                <c:pt idx="956">
                  <c:v>1589</c:v>
                </c:pt>
                <c:pt idx="957">
                  <c:v>1589</c:v>
                </c:pt>
                <c:pt idx="958">
                  <c:v>1589</c:v>
                </c:pt>
                <c:pt idx="959">
                  <c:v>1589</c:v>
                </c:pt>
                <c:pt idx="960">
                  <c:v>1589</c:v>
                </c:pt>
                <c:pt idx="961">
                  <c:v>1589</c:v>
                </c:pt>
                <c:pt idx="962">
                  <c:v>1589</c:v>
                </c:pt>
                <c:pt idx="963">
                  <c:v>1589</c:v>
                </c:pt>
                <c:pt idx="964">
                  <c:v>1589</c:v>
                </c:pt>
                <c:pt idx="965">
                  <c:v>1589</c:v>
                </c:pt>
                <c:pt idx="966">
                  <c:v>1589</c:v>
                </c:pt>
                <c:pt idx="967">
                  <c:v>1589</c:v>
                </c:pt>
                <c:pt idx="968">
                  <c:v>1589</c:v>
                </c:pt>
                <c:pt idx="969">
                  <c:v>1589</c:v>
                </c:pt>
                <c:pt idx="970">
                  <c:v>1589</c:v>
                </c:pt>
                <c:pt idx="971">
                  <c:v>1589</c:v>
                </c:pt>
                <c:pt idx="972">
                  <c:v>1589</c:v>
                </c:pt>
                <c:pt idx="973">
                  <c:v>1589</c:v>
                </c:pt>
                <c:pt idx="974">
                  <c:v>1589</c:v>
                </c:pt>
                <c:pt idx="975">
                  <c:v>1589</c:v>
                </c:pt>
                <c:pt idx="976">
                  <c:v>1589</c:v>
                </c:pt>
                <c:pt idx="977">
                  <c:v>1589</c:v>
                </c:pt>
                <c:pt idx="978">
                  <c:v>1589</c:v>
                </c:pt>
                <c:pt idx="979">
                  <c:v>1589</c:v>
                </c:pt>
                <c:pt idx="980">
                  <c:v>1589</c:v>
                </c:pt>
                <c:pt idx="981">
                  <c:v>1589</c:v>
                </c:pt>
                <c:pt idx="982">
                  <c:v>1589</c:v>
                </c:pt>
                <c:pt idx="983">
                  <c:v>1589</c:v>
                </c:pt>
                <c:pt idx="984">
                  <c:v>1589</c:v>
                </c:pt>
                <c:pt idx="985">
                  <c:v>1589</c:v>
                </c:pt>
                <c:pt idx="986">
                  <c:v>1589</c:v>
                </c:pt>
                <c:pt idx="987">
                  <c:v>1589</c:v>
                </c:pt>
                <c:pt idx="988">
                  <c:v>1589</c:v>
                </c:pt>
                <c:pt idx="989">
                  <c:v>1589</c:v>
                </c:pt>
                <c:pt idx="990">
                  <c:v>1589</c:v>
                </c:pt>
                <c:pt idx="991">
                  <c:v>1589</c:v>
                </c:pt>
                <c:pt idx="992">
                  <c:v>1589</c:v>
                </c:pt>
                <c:pt idx="993">
                  <c:v>1589</c:v>
                </c:pt>
                <c:pt idx="994">
                  <c:v>1589</c:v>
                </c:pt>
                <c:pt idx="995">
                  <c:v>1589</c:v>
                </c:pt>
                <c:pt idx="996">
                  <c:v>1589</c:v>
                </c:pt>
                <c:pt idx="997">
                  <c:v>1589</c:v>
                </c:pt>
                <c:pt idx="998">
                  <c:v>1589</c:v>
                </c:pt>
                <c:pt idx="999">
                  <c:v>1589</c:v>
                </c:pt>
                <c:pt idx="1000">
                  <c:v>1589</c:v>
                </c:pt>
                <c:pt idx="1001">
                  <c:v>1589</c:v>
                </c:pt>
                <c:pt idx="1002">
                  <c:v>1589</c:v>
                </c:pt>
                <c:pt idx="1003">
                  <c:v>1589</c:v>
                </c:pt>
                <c:pt idx="1004">
                  <c:v>1589</c:v>
                </c:pt>
                <c:pt idx="1005">
                  <c:v>1589</c:v>
                </c:pt>
                <c:pt idx="1006">
                  <c:v>1589</c:v>
                </c:pt>
                <c:pt idx="1007">
                  <c:v>1589</c:v>
                </c:pt>
                <c:pt idx="1008">
                  <c:v>1589</c:v>
                </c:pt>
                <c:pt idx="1009">
                  <c:v>1589</c:v>
                </c:pt>
                <c:pt idx="1010">
                  <c:v>1589</c:v>
                </c:pt>
                <c:pt idx="1011">
                  <c:v>1589</c:v>
                </c:pt>
                <c:pt idx="1012">
                  <c:v>1589</c:v>
                </c:pt>
                <c:pt idx="1013">
                  <c:v>1589</c:v>
                </c:pt>
                <c:pt idx="1014">
                  <c:v>1589</c:v>
                </c:pt>
                <c:pt idx="1015">
                  <c:v>1589</c:v>
                </c:pt>
                <c:pt idx="1016">
                  <c:v>1589</c:v>
                </c:pt>
                <c:pt idx="1017">
                  <c:v>1589</c:v>
                </c:pt>
                <c:pt idx="1018">
                  <c:v>1589</c:v>
                </c:pt>
                <c:pt idx="1019">
                  <c:v>1589</c:v>
                </c:pt>
                <c:pt idx="1020">
                  <c:v>1589</c:v>
                </c:pt>
                <c:pt idx="1021">
                  <c:v>1589</c:v>
                </c:pt>
                <c:pt idx="1022">
                  <c:v>1589</c:v>
                </c:pt>
                <c:pt idx="1023">
                  <c:v>1589</c:v>
                </c:pt>
                <c:pt idx="1024">
                  <c:v>1589</c:v>
                </c:pt>
                <c:pt idx="1025">
                  <c:v>1589</c:v>
                </c:pt>
                <c:pt idx="1026">
                  <c:v>1589</c:v>
                </c:pt>
                <c:pt idx="1027">
                  <c:v>1589</c:v>
                </c:pt>
                <c:pt idx="1028">
                  <c:v>1589</c:v>
                </c:pt>
                <c:pt idx="1029">
                  <c:v>1589</c:v>
                </c:pt>
                <c:pt idx="1030">
                  <c:v>1589</c:v>
                </c:pt>
                <c:pt idx="1031">
                  <c:v>1589</c:v>
                </c:pt>
                <c:pt idx="1032">
                  <c:v>1589</c:v>
                </c:pt>
                <c:pt idx="1033">
                  <c:v>1589</c:v>
                </c:pt>
                <c:pt idx="1034">
                  <c:v>1589</c:v>
                </c:pt>
                <c:pt idx="1035">
                  <c:v>1589</c:v>
                </c:pt>
                <c:pt idx="1036">
                  <c:v>1589</c:v>
                </c:pt>
                <c:pt idx="1037">
                  <c:v>1589</c:v>
                </c:pt>
                <c:pt idx="1038">
                  <c:v>1589</c:v>
                </c:pt>
                <c:pt idx="1039">
                  <c:v>1589</c:v>
                </c:pt>
                <c:pt idx="1040">
                  <c:v>1589</c:v>
                </c:pt>
                <c:pt idx="1041">
                  <c:v>1589</c:v>
                </c:pt>
                <c:pt idx="1042">
                  <c:v>1589</c:v>
                </c:pt>
                <c:pt idx="1043">
                  <c:v>1589</c:v>
                </c:pt>
                <c:pt idx="1044">
                  <c:v>1589</c:v>
                </c:pt>
                <c:pt idx="1045">
                  <c:v>1589</c:v>
                </c:pt>
                <c:pt idx="1046">
                  <c:v>1589</c:v>
                </c:pt>
                <c:pt idx="1047">
                  <c:v>1589</c:v>
                </c:pt>
                <c:pt idx="1048">
                  <c:v>1589</c:v>
                </c:pt>
                <c:pt idx="1049">
                  <c:v>1589</c:v>
                </c:pt>
                <c:pt idx="1050">
                  <c:v>1589</c:v>
                </c:pt>
                <c:pt idx="1051">
                  <c:v>1589</c:v>
                </c:pt>
                <c:pt idx="1052">
                  <c:v>1621</c:v>
                </c:pt>
                <c:pt idx="1053">
                  <c:v>1621</c:v>
                </c:pt>
                <c:pt idx="1054">
                  <c:v>1633.5</c:v>
                </c:pt>
                <c:pt idx="1055">
                  <c:v>1633.5</c:v>
                </c:pt>
                <c:pt idx="1056">
                  <c:v>1633.5</c:v>
                </c:pt>
                <c:pt idx="1057">
                  <c:v>1633.5</c:v>
                </c:pt>
                <c:pt idx="1058">
                  <c:v>1633.5</c:v>
                </c:pt>
                <c:pt idx="1059">
                  <c:v>1633.5</c:v>
                </c:pt>
                <c:pt idx="1060">
                  <c:v>1633.5</c:v>
                </c:pt>
                <c:pt idx="1061">
                  <c:v>1633.5</c:v>
                </c:pt>
                <c:pt idx="1062">
                  <c:v>1683</c:v>
                </c:pt>
                <c:pt idx="1063">
                  <c:v>1736</c:v>
                </c:pt>
                <c:pt idx="1064">
                  <c:v>1784</c:v>
                </c:pt>
                <c:pt idx="1065">
                  <c:v>1827</c:v>
                </c:pt>
                <c:pt idx="1066">
                  <c:v>1827</c:v>
                </c:pt>
                <c:pt idx="1067">
                  <c:v>1913</c:v>
                </c:pt>
                <c:pt idx="1068">
                  <c:v>2042</c:v>
                </c:pt>
                <c:pt idx="1069">
                  <c:v>2166</c:v>
                </c:pt>
                <c:pt idx="1070">
                  <c:v>2340</c:v>
                </c:pt>
                <c:pt idx="1071">
                  <c:v>2363</c:v>
                </c:pt>
                <c:pt idx="1072">
                  <c:v>2363</c:v>
                </c:pt>
                <c:pt idx="1073">
                  <c:v>2363</c:v>
                </c:pt>
                <c:pt idx="1074">
                  <c:v>2394</c:v>
                </c:pt>
                <c:pt idx="1075">
                  <c:v>2394</c:v>
                </c:pt>
                <c:pt idx="1076">
                  <c:v>2497</c:v>
                </c:pt>
                <c:pt idx="1077">
                  <c:v>2497</c:v>
                </c:pt>
                <c:pt idx="1078">
                  <c:v>2497</c:v>
                </c:pt>
                <c:pt idx="1079">
                  <c:v>2497</c:v>
                </c:pt>
                <c:pt idx="1080">
                  <c:v>2497</c:v>
                </c:pt>
                <c:pt idx="1081">
                  <c:v>2497</c:v>
                </c:pt>
                <c:pt idx="1082">
                  <c:v>2497</c:v>
                </c:pt>
                <c:pt idx="1083">
                  <c:v>2563</c:v>
                </c:pt>
                <c:pt idx="1084">
                  <c:v>2602</c:v>
                </c:pt>
                <c:pt idx="1085">
                  <c:v>2602</c:v>
                </c:pt>
                <c:pt idx="1086">
                  <c:v>2602</c:v>
                </c:pt>
                <c:pt idx="1087">
                  <c:v>2602</c:v>
                </c:pt>
                <c:pt idx="1088">
                  <c:v>2709</c:v>
                </c:pt>
                <c:pt idx="1089">
                  <c:v>2709</c:v>
                </c:pt>
                <c:pt idx="1090">
                  <c:v>2709</c:v>
                </c:pt>
                <c:pt idx="1091">
                  <c:v>2709</c:v>
                </c:pt>
                <c:pt idx="1092">
                  <c:v>2709</c:v>
                </c:pt>
                <c:pt idx="1093">
                  <c:v>2709</c:v>
                </c:pt>
                <c:pt idx="1094">
                  <c:v>2709</c:v>
                </c:pt>
                <c:pt idx="1095">
                  <c:v>2709</c:v>
                </c:pt>
                <c:pt idx="1096">
                  <c:v>2709</c:v>
                </c:pt>
                <c:pt idx="1097">
                  <c:v>2709</c:v>
                </c:pt>
                <c:pt idx="1098">
                  <c:v>2709</c:v>
                </c:pt>
                <c:pt idx="1099">
                  <c:v>2709</c:v>
                </c:pt>
                <c:pt idx="1100">
                  <c:v>2709</c:v>
                </c:pt>
                <c:pt idx="1101">
                  <c:v>2709</c:v>
                </c:pt>
                <c:pt idx="1102">
                  <c:v>2709</c:v>
                </c:pt>
                <c:pt idx="1103">
                  <c:v>2709</c:v>
                </c:pt>
                <c:pt idx="1104">
                  <c:v>2709</c:v>
                </c:pt>
                <c:pt idx="1105">
                  <c:v>2709</c:v>
                </c:pt>
                <c:pt idx="1106">
                  <c:v>2709</c:v>
                </c:pt>
                <c:pt idx="1107">
                  <c:v>2709</c:v>
                </c:pt>
                <c:pt idx="1108">
                  <c:v>2709</c:v>
                </c:pt>
                <c:pt idx="1109">
                  <c:v>2709</c:v>
                </c:pt>
                <c:pt idx="1110">
                  <c:v>2709</c:v>
                </c:pt>
                <c:pt idx="1111">
                  <c:v>2894</c:v>
                </c:pt>
                <c:pt idx="1112">
                  <c:v>2997</c:v>
                </c:pt>
                <c:pt idx="1113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0-4E69-9639-492DA0A2C582}"/>
            </c:ext>
          </c:extLst>
        </c:ser>
        <c:ser>
          <c:idx val="8"/>
          <c:order val="8"/>
          <c:tx>
            <c:strRef>
              <c:f>Pages!$K$1</c:f>
              <c:strCache>
                <c:ptCount val="1"/>
                <c:pt idx="0">
                  <c:v>Max 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[0]!PagesMax2026</c:f>
              <c:numCache>
                <c:formatCode>General</c:formatCode>
                <c:ptCount val="1114"/>
                <c:pt idx="0">
                  <c:v>3102</c:v>
                </c:pt>
                <c:pt idx="1">
                  <c:v>3102</c:v>
                </c:pt>
                <c:pt idx="2">
                  <c:v>3102</c:v>
                </c:pt>
                <c:pt idx="3">
                  <c:v>3102</c:v>
                </c:pt>
                <c:pt idx="4">
                  <c:v>3102</c:v>
                </c:pt>
                <c:pt idx="5">
                  <c:v>3102</c:v>
                </c:pt>
                <c:pt idx="6">
                  <c:v>3102</c:v>
                </c:pt>
                <c:pt idx="7">
                  <c:v>3102</c:v>
                </c:pt>
                <c:pt idx="8">
                  <c:v>3102</c:v>
                </c:pt>
                <c:pt idx="9">
                  <c:v>3102</c:v>
                </c:pt>
                <c:pt idx="10">
                  <c:v>3102</c:v>
                </c:pt>
                <c:pt idx="11">
                  <c:v>3102</c:v>
                </c:pt>
                <c:pt idx="12">
                  <c:v>3102</c:v>
                </c:pt>
                <c:pt idx="13">
                  <c:v>3102</c:v>
                </c:pt>
                <c:pt idx="14">
                  <c:v>3102</c:v>
                </c:pt>
                <c:pt idx="15">
                  <c:v>3102</c:v>
                </c:pt>
                <c:pt idx="16">
                  <c:v>3102</c:v>
                </c:pt>
                <c:pt idx="17">
                  <c:v>3102</c:v>
                </c:pt>
                <c:pt idx="18">
                  <c:v>3102</c:v>
                </c:pt>
                <c:pt idx="19">
                  <c:v>3102</c:v>
                </c:pt>
                <c:pt idx="20">
                  <c:v>3102</c:v>
                </c:pt>
                <c:pt idx="21">
                  <c:v>3102</c:v>
                </c:pt>
                <c:pt idx="22">
                  <c:v>3102</c:v>
                </c:pt>
                <c:pt idx="23">
                  <c:v>3102</c:v>
                </c:pt>
                <c:pt idx="24">
                  <c:v>3102</c:v>
                </c:pt>
                <c:pt idx="25">
                  <c:v>3102</c:v>
                </c:pt>
                <c:pt idx="26">
                  <c:v>3102</c:v>
                </c:pt>
                <c:pt idx="27">
                  <c:v>3102</c:v>
                </c:pt>
                <c:pt idx="28">
                  <c:v>3102</c:v>
                </c:pt>
                <c:pt idx="29">
                  <c:v>3102</c:v>
                </c:pt>
                <c:pt idx="30">
                  <c:v>3102</c:v>
                </c:pt>
                <c:pt idx="31">
                  <c:v>3102</c:v>
                </c:pt>
                <c:pt idx="32">
                  <c:v>3102</c:v>
                </c:pt>
                <c:pt idx="33">
                  <c:v>3102</c:v>
                </c:pt>
                <c:pt idx="34">
                  <c:v>3102</c:v>
                </c:pt>
                <c:pt idx="35">
                  <c:v>3102</c:v>
                </c:pt>
                <c:pt idx="36">
                  <c:v>3102</c:v>
                </c:pt>
                <c:pt idx="37">
                  <c:v>3102</c:v>
                </c:pt>
                <c:pt idx="38">
                  <c:v>3102</c:v>
                </c:pt>
                <c:pt idx="39">
                  <c:v>3102</c:v>
                </c:pt>
                <c:pt idx="40">
                  <c:v>3102</c:v>
                </c:pt>
                <c:pt idx="41">
                  <c:v>3102</c:v>
                </c:pt>
                <c:pt idx="42">
                  <c:v>3102</c:v>
                </c:pt>
                <c:pt idx="43">
                  <c:v>3102</c:v>
                </c:pt>
                <c:pt idx="44">
                  <c:v>3102</c:v>
                </c:pt>
                <c:pt idx="45">
                  <c:v>3102</c:v>
                </c:pt>
                <c:pt idx="46">
                  <c:v>3102</c:v>
                </c:pt>
                <c:pt idx="47">
                  <c:v>3102</c:v>
                </c:pt>
                <c:pt idx="48">
                  <c:v>3102</c:v>
                </c:pt>
                <c:pt idx="49">
                  <c:v>3102</c:v>
                </c:pt>
                <c:pt idx="50">
                  <c:v>3102</c:v>
                </c:pt>
                <c:pt idx="51">
                  <c:v>3102</c:v>
                </c:pt>
                <c:pt idx="52">
                  <c:v>3102</c:v>
                </c:pt>
                <c:pt idx="53">
                  <c:v>3102</c:v>
                </c:pt>
                <c:pt idx="54">
                  <c:v>3102</c:v>
                </c:pt>
                <c:pt idx="55">
                  <c:v>3102</c:v>
                </c:pt>
                <c:pt idx="56">
                  <c:v>3102</c:v>
                </c:pt>
                <c:pt idx="57">
                  <c:v>3102</c:v>
                </c:pt>
                <c:pt idx="58">
                  <c:v>3102</c:v>
                </c:pt>
                <c:pt idx="59">
                  <c:v>3102</c:v>
                </c:pt>
                <c:pt idx="60">
                  <c:v>3102</c:v>
                </c:pt>
                <c:pt idx="61">
                  <c:v>3102</c:v>
                </c:pt>
                <c:pt idx="62">
                  <c:v>3102</c:v>
                </c:pt>
                <c:pt idx="63">
                  <c:v>3102</c:v>
                </c:pt>
                <c:pt idx="64">
                  <c:v>3102</c:v>
                </c:pt>
                <c:pt idx="65">
                  <c:v>3102</c:v>
                </c:pt>
                <c:pt idx="66">
                  <c:v>3102</c:v>
                </c:pt>
                <c:pt idx="67">
                  <c:v>3102</c:v>
                </c:pt>
                <c:pt idx="68">
                  <c:v>3102</c:v>
                </c:pt>
                <c:pt idx="69">
                  <c:v>3102</c:v>
                </c:pt>
                <c:pt idx="70">
                  <c:v>3102</c:v>
                </c:pt>
                <c:pt idx="71">
                  <c:v>3102</c:v>
                </c:pt>
                <c:pt idx="72">
                  <c:v>3102</c:v>
                </c:pt>
                <c:pt idx="73">
                  <c:v>3102</c:v>
                </c:pt>
                <c:pt idx="74">
                  <c:v>3102</c:v>
                </c:pt>
                <c:pt idx="75">
                  <c:v>3102</c:v>
                </c:pt>
                <c:pt idx="76">
                  <c:v>3102</c:v>
                </c:pt>
                <c:pt idx="77">
                  <c:v>3102</c:v>
                </c:pt>
                <c:pt idx="78">
                  <c:v>3102</c:v>
                </c:pt>
                <c:pt idx="79">
                  <c:v>3102</c:v>
                </c:pt>
                <c:pt idx="80">
                  <c:v>3102</c:v>
                </c:pt>
                <c:pt idx="81">
                  <c:v>3102</c:v>
                </c:pt>
                <c:pt idx="82">
                  <c:v>3102</c:v>
                </c:pt>
                <c:pt idx="83">
                  <c:v>3102</c:v>
                </c:pt>
                <c:pt idx="84">
                  <c:v>3102</c:v>
                </c:pt>
                <c:pt idx="85">
                  <c:v>3102</c:v>
                </c:pt>
                <c:pt idx="86">
                  <c:v>3102</c:v>
                </c:pt>
                <c:pt idx="87">
                  <c:v>3102</c:v>
                </c:pt>
                <c:pt idx="88">
                  <c:v>3102</c:v>
                </c:pt>
                <c:pt idx="89">
                  <c:v>3102</c:v>
                </c:pt>
                <c:pt idx="90">
                  <c:v>3102</c:v>
                </c:pt>
                <c:pt idx="91">
                  <c:v>3102</c:v>
                </c:pt>
                <c:pt idx="92">
                  <c:v>3102</c:v>
                </c:pt>
                <c:pt idx="93">
                  <c:v>3102</c:v>
                </c:pt>
                <c:pt idx="94">
                  <c:v>3102</c:v>
                </c:pt>
                <c:pt idx="95">
                  <c:v>3102</c:v>
                </c:pt>
                <c:pt idx="96">
                  <c:v>3102</c:v>
                </c:pt>
                <c:pt idx="97">
                  <c:v>3102</c:v>
                </c:pt>
                <c:pt idx="98">
                  <c:v>3102</c:v>
                </c:pt>
                <c:pt idx="99">
                  <c:v>3102</c:v>
                </c:pt>
                <c:pt idx="100">
                  <c:v>3102</c:v>
                </c:pt>
                <c:pt idx="101">
                  <c:v>3102</c:v>
                </c:pt>
                <c:pt idx="102">
                  <c:v>3102</c:v>
                </c:pt>
                <c:pt idx="103">
                  <c:v>3102</c:v>
                </c:pt>
                <c:pt idx="104">
                  <c:v>3102</c:v>
                </c:pt>
                <c:pt idx="105">
                  <c:v>3102</c:v>
                </c:pt>
                <c:pt idx="106">
                  <c:v>3102</c:v>
                </c:pt>
                <c:pt idx="107">
                  <c:v>3102</c:v>
                </c:pt>
                <c:pt idx="108">
                  <c:v>3102</c:v>
                </c:pt>
                <c:pt idx="109">
                  <c:v>3102</c:v>
                </c:pt>
                <c:pt idx="110">
                  <c:v>3102</c:v>
                </c:pt>
                <c:pt idx="111">
                  <c:v>3102</c:v>
                </c:pt>
                <c:pt idx="112">
                  <c:v>3102</c:v>
                </c:pt>
                <c:pt idx="113">
                  <c:v>3102</c:v>
                </c:pt>
                <c:pt idx="114">
                  <c:v>3102</c:v>
                </c:pt>
                <c:pt idx="115">
                  <c:v>3102</c:v>
                </c:pt>
                <c:pt idx="116">
                  <c:v>3102</c:v>
                </c:pt>
                <c:pt idx="117">
                  <c:v>3102</c:v>
                </c:pt>
                <c:pt idx="118">
                  <c:v>3102</c:v>
                </c:pt>
                <c:pt idx="119">
                  <c:v>3102</c:v>
                </c:pt>
                <c:pt idx="120">
                  <c:v>3102</c:v>
                </c:pt>
                <c:pt idx="121">
                  <c:v>3102</c:v>
                </c:pt>
                <c:pt idx="122">
                  <c:v>3102</c:v>
                </c:pt>
                <c:pt idx="123">
                  <c:v>3102</c:v>
                </c:pt>
                <c:pt idx="124">
                  <c:v>3102</c:v>
                </c:pt>
                <c:pt idx="125">
                  <c:v>3102</c:v>
                </c:pt>
                <c:pt idx="126">
                  <c:v>3102</c:v>
                </c:pt>
                <c:pt idx="127">
                  <c:v>3102</c:v>
                </c:pt>
                <c:pt idx="128">
                  <c:v>3102</c:v>
                </c:pt>
                <c:pt idx="129">
                  <c:v>3102</c:v>
                </c:pt>
                <c:pt idx="130">
                  <c:v>3102</c:v>
                </c:pt>
                <c:pt idx="131">
                  <c:v>3102</c:v>
                </c:pt>
                <c:pt idx="132">
                  <c:v>3102</c:v>
                </c:pt>
                <c:pt idx="133">
                  <c:v>3102</c:v>
                </c:pt>
                <c:pt idx="134">
                  <c:v>3102</c:v>
                </c:pt>
                <c:pt idx="135">
                  <c:v>3102</c:v>
                </c:pt>
                <c:pt idx="136">
                  <c:v>3102</c:v>
                </c:pt>
                <c:pt idx="137">
                  <c:v>3102</c:v>
                </c:pt>
                <c:pt idx="138">
                  <c:v>3102</c:v>
                </c:pt>
                <c:pt idx="139">
                  <c:v>3102</c:v>
                </c:pt>
                <c:pt idx="140">
                  <c:v>3102</c:v>
                </c:pt>
                <c:pt idx="141">
                  <c:v>3102</c:v>
                </c:pt>
                <c:pt idx="142">
                  <c:v>3102</c:v>
                </c:pt>
                <c:pt idx="143">
                  <c:v>3102</c:v>
                </c:pt>
                <c:pt idx="144">
                  <c:v>3102</c:v>
                </c:pt>
                <c:pt idx="145">
                  <c:v>3102</c:v>
                </c:pt>
                <c:pt idx="146">
                  <c:v>3102</c:v>
                </c:pt>
                <c:pt idx="147">
                  <c:v>3102</c:v>
                </c:pt>
                <c:pt idx="148">
                  <c:v>3102</c:v>
                </c:pt>
                <c:pt idx="149">
                  <c:v>3102</c:v>
                </c:pt>
                <c:pt idx="150">
                  <c:v>3102</c:v>
                </c:pt>
                <c:pt idx="151">
                  <c:v>3102</c:v>
                </c:pt>
                <c:pt idx="152">
                  <c:v>3102</c:v>
                </c:pt>
                <c:pt idx="153">
                  <c:v>3102</c:v>
                </c:pt>
                <c:pt idx="154">
                  <c:v>3102</c:v>
                </c:pt>
                <c:pt idx="155">
                  <c:v>3102</c:v>
                </c:pt>
                <c:pt idx="156">
                  <c:v>3102</c:v>
                </c:pt>
                <c:pt idx="157">
                  <c:v>3102</c:v>
                </c:pt>
                <c:pt idx="158">
                  <c:v>3102</c:v>
                </c:pt>
                <c:pt idx="159">
                  <c:v>3102</c:v>
                </c:pt>
                <c:pt idx="160">
                  <c:v>3102</c:v>
                </c:pt>
                <c:pt idx="161">
                  <c:v>3102</c:v>
                </c:pt>
                <c:pt idx="162">
                  <c:v>3102</c:v>
                </c:pt>
                <c:pt idx="163">
                  <c:v>3102</c:v>
                </c:pt>
                <c:pt idx="164">
                  <c:v>3102</c:v>
                </c:pt>
                <c:pt idx="165">
                  <c:v>3102</c:v>
                </c:pt>
                <c:pt idx="166">
                  <c:v>3102</c:v>
                </c:pt>
                <c:pt idx="167">
                  <c:v>3102</c:v>
                </c:pt>
                <c:pt idx="168">
                  <c:v>3102</c:v>
                </c:pt>
                <c:pt idx="169">
                  <c:v>3102</c:v>
                </c:pt>
                <c:pt idx="170">
                  <c:v>3102</c:v>
                </c:pt>
                <c:pt idx="171">
                  <c:v>3102</c:v>
                </c:pt>
                <c:pt idx="172">
                  <c:v>3102</c:v>
                </c:pt>
                <c:pt idx="173">
                  <c:v>3102</c:v>
                </c:pt>
                <c:pt idx="174">
                  <c:v>3102</c:v>
                </c:pt>
                <c:pt idx="175">
                  <c:v>3102</c:v>
                </c:pt>
                <c:pt idx="176">
                  <c:v>3102</c:v>
                </c:pt>
                <c:pt idx="177">
                  <c:v>3102</c:v>
                </c:pt>
                <c:pt idx="178">
                  <c:v>3102</c:v>
                </c:pt>
                <c:pt idx="179">
                  <c:v>3102</c:v>
                </c:pt>
                <c:pt idx="180">
                  <c:v>3102</c:v>
                </c:pt>
                <c:pt idx="181">
                  <c:v>3102</c:v>
                </c:pt>
                <c:pt idx="182">
                  <c:v>3102</c:v>
                </c:pt>
                <c:pt idx="183">
                  <c:v>3102</c:v>
                </c:pt>
                <c:pt idx="184">
                  <c:v>3102</c:v>
                </c:pt>
                <c:pt idx="185">
                  <c:v>3102</c:v>
                </c:pt>
                <c:pt idx="186">
                  <c:v>3102</c:v>
                </c:pt>
                <c:pt idx="187">
                  <c:v>3102</c:v>
                </c:pt>
                <c:pt idx="188">
                  <c:v>3102</c:v>
                </c:pt>
                <c:pt idx="189">
                  <c:v>3102</c:v>
                </c:pt>
                <c:pt idx="190">
                  <c:v>3102</c:v>
                </c:pt>
                <c:pt idx="191">
                  <c:v>3102</c:v>
                </c:pt>
                <c:pt idx="192">
                  <c:v>3102</c:v>
                </c:pt>
                <c:pt idx="193">
                  <c:v>3102</c:v>
                </c:pt>
                <c:pt idx="194">
                  <c:v>3102</c:v>
                </c:pt>
                <c:pt idx="195">
                  <c:v>3102</c:v>
                </c:pt>
                <c:pt idx="196">
                  <c:v>3102</c:v>
                </c:pt>
                <c:pt idx="197">
                  <c:v>3102</c:v>
                </c:pt>
                <c:pt idx="198">
                  <c:v>3102</c:v>
                </c:pt>
                <c:pt idx="199">
                  <c:v>3102</c:v>
                </c:pt>
                <c:pt idx="200">
                  <c:v>3102</c:v>
                </c:pt>
                <c:pt idx="201">
                  <c:v>3102</c:v>
                </c:pt>
                <c:pt idx="202">
                  <c:v>3102</c:v>
                </c:pt>
                <c:pt idx="203">
                  <c:v>3102</c:v>
                </c:pt>
                <c:pt idx="204">
                  <c:v>3102</c:v>
                </c:pt>
                <c:pt idx="205">
                  <c:v>3102</c:v>
                </c:pt>
                <c:pt idx="206">
                  <c:v>3102</c:v>
                </c:pt>
                <c:pt idx="207">
                  <c:v>3102</c:v>
                </c:pt>
                <c:pt idx="208">
                  <c:v>3102</c:v>
                </c:pt>
                <c:pt idx="209">
                  <c:v>3102</c:v>
                </c:pt>
                <c:pt idx="210">
                  <c:v>3102</c:v>
                </c:pt>
                <c:pt idx="211">
                  <c:v>3102</c:v>
                </c:pt>
                <c:pt idx="212">
                  <c:v>3102</c:v>
                </c:pt>
                <c:pt idx="213">
                  <c:v>3102</c:v>
                </c:pt>
                <c:pt idx="214">
                  <c:v>3102</c:v>
                </c:pt>
                <c:pt idx="215">
                  <c:v>3102</c:v>
                </c:pt>
                <c:pt idx="216">
                  <c:v>3102</c:v>
                </c:pt>
                <c:pt idx="217">
                  <c:v>3102</c:v>
                </c:pt>
                <c:pt idx="218">
                  <c:v>3102</c:v>
                </c:pt>
                <c:pt idx="219">
                  <c:v>3102</c:v>
                </c:pt>
                <c:pt idx="220">
                  <c:v>3102</c:v>
                </c:pt>
                <c:pt idx="221">
                  <c:v>3102</c:v>
                </c:pt>
                <c:pt idx="222">
                  <c:v>3102</c:v>
                </c:pt>
                <c:pt idx="223">
                  <c:v>3102</c:v>
                </c:pt>
                <c:pt idx="224">
                  <c:v>3102</c:v>
                </c:pt>
                <c:pt idx="225">
                  <c:v>3102</c:v>
                </c:pt>
                <c:pt idx="226">
                  <c:v>3102</c:v>
                </c:pt>
                <c:pt idx="227">
                  <c:v>3102</c:v>
                </c:pt>
                <c:pt idx="228">
                  <c:v>3102</c:v>
                </c:pt>
                <c:pt idx="229">
                  <c:v>3102</c:v>
                </c:pt>
                <c:pt idx="230">
                  <c:v>3102</c:v>
                </c:pt>
                <c:pt idx="231">
                  <c:v>3102</c:v>
                </c:pt>
                <c:pt idx="232">
                  <c:v>3102</c:v>
                </c:pt>
                <c:pt idx="233">
                  <c:v>3102</c:v>
                </c:pt>
                <c:pt idx="234">
                  <c:v>3102</c:v>
                </c:pt>
                <c:pt idx="235">
                  <c:v>3102</c:v>
                </c:pt>
                <c:pt idx="236">
                  <c:v>3102</c:v>
                </c:pt>
                <c:pt idx="237">
                  <c:v>3102</c:v>
                </c:pt>
                <c:pt idx="238">
                  <c:v>3102</c:v>
                </c:pt>
                <c:pt idx="239">
                  <c:v>3102</c:v>
                </c:pt>
                <c:pt idx="240">
                  <c:v>3102</c:v>
                </c:pt>
                <c:pt idx="241">
                  <c:v>3102</c:v>
                </c:pt>
                <c:pt idx="242">
                  <c:v>3102</c:v>
                </c:pt>
                <c:pt idx="243">
                  <c:v>3102</c:v>
                </c:pt>
                <c:pt idx="244">
                  <c:v>3102</c:v>
                </c:pt>
                <c:pt idx="245">
                  <c:v>3102</c:v>
                </c:pt>
                <c:pt idx="246">
                  <c:v>3102</c:v>
                </c:pt>
                <c:pt idx="247">
                  <c:v>3102</c:v>
                </c:pt>
                <c:pt idx="248">
                  <c:v>3102</c:v>
                </c:pt>
                <c:pt idx="249">
                  <c:v>3102</c:v>
                </c:pt>
                <c:pt idx="250">
                  <c:v>3102</c:v>
                </c:pt>
                <c:pt idx="251">
                  <c:v>3102</c:v>
                </c:pt>
                <c:pt idx="252">
                  <c:v>3102</c:v>
                </c:pt>
                <c:pt idx="253">
                  <c:v>3102</c:v>
                </c:pt>
                <c:pt idx="254">
                  <c:v>3102</c:v>
                </c:pt>
                <c:pt idx="255">
                  <c:v>3102</c:v>
                </c:pt>
                <c:pt idx="256">
                  <c:v>3102</c:v>
                </c:pt>
                <c:pt idx="257">
                  <c:v>3102</c:v>
                </c:pt>
                <c:pt idx="258">
                  <c:v>3102</c:v>
                </c:pt>
                <c:pt idx="259">
                  <c:v>3102</c:v>
                </c:pt>
                <c:pt idx="260">
                  <c:v>3102</c:v>
                </c:pt>
                <c:pt idx="261">
                  <c:v>3102</c:v>
                </c:pt>
                <c:pt idx="262">
                  <c:v>3102</c:v>
                </c:pt>
                <c:pt idx="263">
                  <c:v>3102</c:v>
                </c:pt>
                <c:pt idx="264">
                  <c:v>3102</c:v>
                </c:pt>
                <c:pt idx="265">
                  <c:v>3102</c:v>
                </c:pt>
                <c:pt idx="266">
                  <c:v>3102</c:v>
                </c:pt>
                <c:pt idx="267">
                  <c:v>3102</c:v>
                </c:pt>
                <c:pt idx="268">
                  <c:v>3102</c:v>
                </c:pt>
                <c:pt idx="269">
                  <c:v>3102</c:v>
                </c:pt>
                <c:pt idx="270">
                  <c:v>3102</c:v>
                </c:pt>
                <c:pt idx="271">
                  <c:v>3102</c:v>
                </c:pt>
                <c:pt idx="272">
                  <c:v>3102</c:v>
                </c:pt>
                <c:pt idx="273">
                  <c:v>3102</c:v>
                </c:pt>
                <c:pt idx="274">
                  <c:v>3102</c:v>
                </c:pt>
                <c:pt idx="275">
                  <c:v>3102</c:v>
                </c:pt>
                <c:pt idx="276">
                  <c:v>3102</c:v>
                </c:pt>
                <c:pt idx="277">
                  <c:v>3102</c:v>
                </c:pt>
                <c:pt idx="278">
                  <c:v>3102</c:v>
                </c:pt>
                <c:pt idx="279">
                  <c:v>3102</c:v>
                </c:pt>
                <c:pt idx="280">
                  <c:v>3102</c:v>
                </c:pt>
                <c:pt idx="281">
                  <c:v>3102</c:v>
                </c:pt>
                <c:pt idx="282">
                  <c:v>3102</c:v>
                </c:pt>
                <c:pt idx="283">
                  <c:v>3102</c:v>
                </c:pt>
                <c:pt idx="284">
                  <c:v>3102</c:v>
                </c:pt>
                <c:pt idx="285">
                  <c:v>3102</c:v>
                </c:pt>
                <c:pt idx="286">
                  <c:v>3102</c:v>
                </c:pt>
                <c:pt idx="287">
                  <c:v>3102</c:v>
                </c:pt>
                <c:pt idx="288">
                  <c:v>3102</c:v>
                </c:pt>
                <c:pt idx="289">
                  <c:v>3102</c:v>
                </c:pt>
                <c:pt idx="290">
                  <c:v>3102</c:v>
                </c:pt>
                <c:pt idx="291">
                  <c:v>3102</c:v>
                </c:pt>
                <c:pt idx="292">
                  <c:v>3102</c:v>
                </c:pt>
                <c:pt idx="293">
                  <c:v>3102</c:v>
                </c:pt>
                <c:pt idx="294">
                  <c:v>3102</c:v>
                </c:pt>
                <c:pt idx="295">
                  <c:v>3102</c:v>
                </c:pt>
                <c:pt idx="296">
                  <c:v>3102</c:v>
                </c:pt>
                <c:pt idx="297">
                  <c:v>3102</c:v>
                </c:pt>
                <c:pt idx="298">
                  <c:v>3102</c:v>
                </c:pt>
                <c:pt idx="299">
                  <c:v>3102</c:v>
                </c:pt>
                <c:pt idx="300">
                  <c:v>3102</c:v>
                </c:pt>
                <c:pt idx="301">
                  <c:v>3102</c:v>
                </c:pt>
                <c:pt idx="302">
                  <c:v>3102</c:v>
                </c:pt>
                <c:pt idx="303">
                  <c:v>3102</c:v>
                </c:pt>
                <c:pt idx="304">
                  <c:v>3102</c:v>
                </c:pt>
                <c:pt idx="305">
                  <c:v>3102</c:v>
                </c:pt>
                <c:pt idx="306">
                  <c:v>3102</c:v>
                </c:pt>
                <c:pt idx="307">
                  <c:v>3102</c:v>
                </c:pt>
                <c:pt idx="308">
                  <c:v>3102</c:v>
                </c:pt>
                <c:pt idx="309">
                  <c:v>3102</c:v>
                </c:pt>
                <c:pt idx="310">
                  <c:v>3102</c:v>
                </c:pt>
                <c:pt idx="311">
                  <c:v>3102</c:v>
                </c:pt>
                <c:pt idx="312">
                  <c:v>3102</c:v>
                </c:pt>
                <c:pt idx="313">
                  <c:v>3102</c:v>
                </c:pt>
                <c:pt idx="314">
                  <c:v>3102</c:v>
                </c:pt>
                <c:pt idx="315">
                  <c:v>3102</c:v>
                </c:pt>
                <c:pt idx="316">
                  <c:v>3102</c:v>
                </c:pt>
                <c:pt idx="317">
                  <c:v>3102</c:v>
                </c:pt>
                <c:pt idx="318">
                  <c:v>3102</c:v>
                </c:pt>
                <c:pt idx="319">
                  <c:v>3102</c:v>
                </c:pt>
                <c:pt idx="320">
                  <c:v>3102</c:v>
                </c:pt>
                <c:pt idx="321">
                  <c:v>3102</c:v>
                </c:pt>
                <c:pt idx="322">
                  <c:v>3102</c:v>
                </c:pt>
                <c:pt idx="323">
                  <c:v>3102</c:v>
                </c:pt>
                <c:pt idx="324">
                  <c:v>3102</c:v>
                </c:pt>
                <c:pt idx="325">
                  <c:v>3102</c:v>
                </c:pt>
                <c:pt idx="326">
                  <c:v>3102</c:v>
                </c:pt>
                <c:pt idx="327">
                  <c:v>3102</c:v>
                </c:pt>
                <c:pt idx="328">
                  <c:v>3102</c:v>
                </c:pt>
                <c:pt idx="329">
                  <c:v>3102</c:v>
                </c:pt>
                <c:pt idx="330">
                  <c:v>3102</c:v>
                </c:pt>
                <c:pt idx="331">
                  <c:v>3102</c:v>
                </c:pt>
                <c:pt idx="332">
                  <c:v>3102</c:v>
                </c:pt>
                <c:pt idx="333">
                  <c:v>3102</c:v>
                </c:pt>
                <c:pt idx="334">
                  <c:v>3102</c:v>
                </c:pt>
                <c:pt idx="335">
                  <c:v>3102</c:v>
                </c:pt>
                <c:pt idx="336">
                  <c:v>3102</c:v>
                </c:pt>
                <c:pt idx="337">
                  <c:v>3102</c:v>
                </c:pt>
                <c:pt idx="338">
                  <c:v>3102</c:v>
                </c:pt>
                <c:pt idx="339">
                  <c:v>3102</c:v>
                </c:pt>
                <c:pt idx="340">
                  <c:v>3102</c:v>
                </c:pt>
                <c:pt idx="341">
                  <c:v>3102</c:v>
                </c:pt>
                <c:pt idx="342">
                  <c:v>3102</c:v>
                </c:pt>
                <c:pt idx="343">
                  <c:v>3102</c:v>
                </c:pt>
                <c:pt idx="344">
                  <c:v>3102</c:v>
                </c:pt>
                <c:pt idx="345">
                  <c:v>3102</c:v>
                </c:pt>
                <c:pt idx="346">
                  <c:v>3102</c:v>
                </c:pt>
                <c:pt idx="347">
                  <c:v>3102</c:v>
                </c:pt>
                <c:pt idx="348">
                  <c:v>3102</c:v>
                </c:pt>
                <c:pt idx="349">
                  <c:v>3102</c:v>
                </c:pt>
                <c:pt idx="350">
                  <c:v>3102</c:v>
                </c:pt>
                <c:pt idx="351">
                  <c:v>3102</c:v>
                </c:pt>
                <c:pt idx="352">
                  <c:v>3102</c:v>
                </c:pt>
                <c:pt idx="353">
                  <c:v>3102</c:v>
                </c:pt>
                <c:pt idx="354">
                  <c:v>3102</c:v>
                </c:pt>
                <c:pt idx="355">
                  <c:v>3102</c:v>
                </c:pt>
                <c:pt idx="356">
                  <c:v>3102</c:v>
                </c:pt>
                <c:pt idx="357">
                  <c:v>3102</c:v>
                </c:pt>
                <c:pt idx="358">
                  <c:v>3102</c:v>
                </c:pt>
                <c:pt idx="359">
                  <c:v>3102</c:v>
                </c:pt>
                <c:pt idx="360">
                  <c:v>3102</c:v>
                </c:pt>
                <c:pt idx="361">
                  <c:v>3102</c:v>
                </c:pt>
                <c:pt idx="362">
                  <c:v>3102</c:v>
                </c:pt>
                <c:pt idx="363">
                  <c:v>3102</c:v>
                </c:pt>
                <c:pt idx="364">
                  <c:v>3102</c:v>
                </c:pt>
                <c:pt idx="365">
                  <c:v>3102</c:v>
                </c:pt>
                <c:pt idx="366">
                  <c:v>3102</c:v>
                </c:pt>
                <c:pt idx="367">
                  <c:v>3102</c:v>
                </c:pt>
                <c:pt idx="368">
                  <c:v>3102</c:v>
                </c:pt>
                <c:pt idx="369">
                  <c:v>3102</c:v>
                </c:pt>
                <c:pt idx="370">
                  <c:v>3102</c:v>
                </c:pt>
                <c:pt idx="371">
                  <c:v>3102</c:v>
                </c:pt>
                <c:pt idx="372">
                  <c:v>3102</c:v>
                </c:pt>
                <c:pt idx="373">
                  <c:v>3102</c:v>
                </c:pt>
                <c:pt idx="374">
                  <c:v>3102</c:v>
                </c:pt>
                <c:pt idx="375">
                  <c:v>3102</c:v>
                </c:pt>
                <c:pt idx="376">
                  <c:v>3102</c:v>
                </c:pt>
                <c:pt idx="377">
                  <c:v>3102</c:v>
                </c:pt>
                <c:pt idx="378">
                  <c:v>3102</c:v>
                </c:pt>
                <c:pt idx="379">
                  <c:v>3102</c:v>
                </c:pt>
                <c:pt idx="380">
                  <c:v>3102</c:v>
                </c:pt>
                <c:pt idx="381">
                  <c:v>3102</c:v>
                </c:pt>
                <c:pt idx="382">
                  <c:v>3102</c:v>
                </c:pt>
                <c:pt idx="383">
                  <c:v>3102</c:v>
                </c:pt>
                <c:pt idx="384">
                  <c:v>3102</c:v>
                </c:pt>
                <c:pt idx="385">
                  <c:v>3102</c:v>
                </c:pt>
                <c:pt idx="386">
                  <c:v>3102</c:v>
                </c:pt>
                <c:pt idx="387">
                  <c:v>3102</c:v>
                </c:pt>
                <c:pt idx="388">
                  <c:v>3102</c:v>
                </c:pt>
                <c:pt idx="389">
                  <c:v>3102</c:v>
                </c:pt>
                <c:pt idx="390">
                  <c:v>3102</c:v>
                </c:pt>
                <c:pt idx="391">
                  <c:v>3102</c:v>
                </c:pt>
                <c:pt idx="392">
                  <c:v>3102</c:v>
                </c:pt>
                <c:pt idx="393">
                  <c:v>3102</c:v>
                </c:pt>
                <c:pt idx="394">
                  <c:v>3102</c:v>
                </c:pt>
                <c:pt idx="395">
                  <c:v>3102</c:v>
                </c:pt>
                <c:pt idx="396">
                  <c:v>3102</c:v>
                </c:pt>
                <c:pt idx="397">
                  <c:v>3102</c:v>
                </c:pt>
                <c:pt idx="398">
                  <c:v>3102</c:v>
                </c:pt>
                <c:pt idx="399">
                  <c:v>3102</c:v>
                </c:pt>
                <c:pt idx="400">
                  <c:v>3102</c:v>
                </c:pt>
                <c:pt idx="401">
                  <c:v>3102</c:v>
                </c:pt>
                <c:pt idx="402">
                  <c:v>3102</c:v>
                </c:pt>
                <c:pt idx="403">
                  <c:v>3102</c:v>
                </c:pt>
                <c:pt idx="404">
                  <c:v>3102</c:v>
                </c:pt>
                <c:pt idx="405">
                  <c:v>3102</c:v>
                </c:pt>
                <c:pt idx="406">
                  <c:v>3102</c:v>
                </c:pt>
                <c:pt idx="407">
                  <c:v>3102</c:v>
                </c:pt>
                <c:pt idx="408">
                  <c:v>3102</c:v>
                </c:pt>
                <c:pt idx="409">
                  <c:v>3102</c:v>
                </c:pt>
                <c:pt idx="410">
                  <c:v>3102</c:v>
                </c:pt>
                <c:pt idx="411">
                  <c:v>3102</c:v>
                </c:pt>
                <c:pt idx="412">
                  <c:v>3102</c:v>
                </c:pt>
                <c:pt idx="413">
                  <c:v>3102</c:v>
                </c:pt>
                <c:pt idx="414">
                  <c:v>3102</c:v>
                </c:pt>
                <c:pt idx="415">
                  <c:v>3102</c:v>
                </c:pt>
                <c:pt idx="416">
                  <c:v>3102</c:v>
                </c:pt>
                <c:pt idx="417">
                  <c:v>3102</c:v>
                </c:pt>
                <c:pt idx="418">
                  <c:v>3102</c:v>
                </c:pt>
                <c:pt idx="419">
                  <c:v>3102</c:v>
                </c:pt>
                <c:pt idx="420">
                  <c:v>3102</c:v>
                </c:pt>
                <c:pt idx="421">
                  <c:v>3102</c:v>
                </c:pt>
                <c:pt idx="422">
                  <c:v>3102</c:v>
                </c:pt>
                <c:pt idx="423">
                  <c:v>3102</c:v>
                </c:pt>
                <c:pt idx="424">
                  <c:v>3102</c:v>
                </c:pt>
                <c:pt idx="425">
                  <c:v>3102</c:v>
                </c:pt>
                <c:pt idx="426">
                  <c:v>3102</c:v>
                </c:pt>
                <c:pt idx="427">
                  <c:v>3102</c:v>
                </c:pt>
                <c:pt idx="428">
                  <c:v>3102</c:v>
                </c:pt>
                <c:pt idx="429">
                  <c:v>3102</c:v>
                </c:pt>
                <c:pt idx="430">
                  <c:v>3102</c:v>
                </c:pt>
                <c:pt idx="431">
                  <c:v>3102</c:v>
                </c:pt>
                <c:pt idx="432">
                  <c:v>3102</c:v>
                </c:pt>
                <c:pt idx="433">
                  <c:v>3102</c:v>
                </c:pt>
                <c:pt idx="434">
                  <c:v>3102</c:v>
                </c:pt>
                <c:pt idx="435">
                  <c:v>3102</c:v>
                </c:pt>
                <c:pt idx="436">
                  <c:v>3102</c:v>
                </c:pt>
                <c:pt idx="437">
                  <c:v>3102</c:v>
                </c:pt>
                <c:pt idx="438">
                  <c:v>3102</c:v>
                </c:pt>
                <c:pt idx="439">
                  <c:v>3102</c:v>
                </c:pt>
                <c:pt idx="440">
                  <c:v>3102</c:v>
                </c:pt>
                <c:pt idx="441">
                  <c:v>3102</c:v>
                </c:pt>
                <c:pt idx="442">
                  <c:v>3102</c:v>
                </c:pt>
                <c:pt idx="443">
                  <c:v>3102</c:v>
                </c:pt>
                <c:pt idx="444">
                  <c:v>3102</c:v>
                </c:pt>
                <c:pt idx="445">
                  <c:v>3102</c:v>
                </c:pt>
                <c:pt idx="446">
                  <c:v>3102</c:v>
                </c:pt>
                <c:pt idx="447">
                  <c:v>3102</c:v>
                </c:pt>
                <c:pt idx="448">
                  <c:v>3102</c:v>
                </c:pt>
                <c:pt idx="449">
                  <c:v>3102</c:v>
                </c:pt>
                <c:pt idx="450">
                  <c:v>3102</c:v>
                </c:pt>
                <c:pt idx="451">
                  <c:v>3102</c:v>
                </c:pt>
                <c:pt idx="452">
                  <c:v>3102</c:v>
                </c:pt>
                <c:pt idx="453">
                  <c:v>3102</c:v>
                </c:pt>
                <c:pt idx="454">
                  <c:v>3102</c:v>
                </c:pt>
                <c:pt idx="455">
                  <c:v>3102</c:v>
                </c:pt>
                <c:pt idx="456">
                  <c:v>3102</c:v>
                </c:pt>
                <c:pt idx="457">
                  <c:v>3102</c:v>
                </c:pt>
                <c:pt idx="458">
                  <c:v>3102</c:v>
                </c:pt>
                <c:pt idx="459">
                  <c:v>3102</c:v>
                </c:pt>
                <c:pt idx="460">
                  <c:v>3102</c:v>
                </c:pt>
                <c:pt idx="461">
                  <c:v>3102</c:v>
                </c:pt>
                <c:pt idx="462">
                  <c:v>3102</c:v>
                </c:pt>
                <c:pt idx="463">
                  <c:v>3102</c:v>
                </c:pt>
                <c:pt idx="464">
                  <c:v>3102</c:v>
                </c:pt>
                <c:pt idx="465">
                  <c:v>3102</c:v>
                </c:pt>
                <c:pt idx="466">
                  <c:v>3102</c:v>
                </c:pt>
                <c:pt idx="467">
                  <c:v>3102</c:v>
                </c:pt>
                <c:pt idx="468">
                  <c:v>3102</c:v>
                </c:pt>
                <c:pt idx="469">
                  <c:v>3102</c:v>
                </c:pt>
                <c:pt idx="470">
                  <c:v>3102</c:v>
                </c:pt>
                <c:pt idx="471">
                  <c:v>3102</c:v>
                </c:pt>
                <c:pt idx="472">
                  <c:v>3102</c:v>
                </c:pt>
                <c:pt idx="473">
                  <c:v>3102</c:v>
                </c:pt>
                <c:pt idx="474">
                  <c:v>3102</c:v>
                </c:pt>
                <c:pt idx="475">
                  <c:v>3102</c:v>
                </c:pt>
                <c:pt idx="476">
                  <c:v>3102</c:v>
                </c:pt>
                <c:pt idx="477">
                  <c:v>3102</c:v>
                </c:pt>
                <c:pt idx="478">
                  <c:v>3102</c:v>
                </c:pt>
                <c:pt idx="479">
                  <c:v>3102</c:v>
                </c:pt>
                <c:pt idx="480">
                  <c:v>3102</c:v>
                </c:pt>
                <c:pt idx="481">
                  <c:v>3102</c:v>
                </c:pt>
                <c:pt idx="482">
                  <c:v>3102</c:v>
                </c:pt>
                <c:pt idx="483">
                  <c:v>3102</c:v>
                </c:pt>
                <c:pt idx="484">
                  <c:v>3102</c:v>
                </c:pt>
                <c:pt idx="485">
                  <c:v>3102</c:v>
                </c:pt>
                <c:pt idx="486">
                  <c:v>3102</c:v>
                </c:pt>
                <c:pt idx="487">
                  <c:v>3102</c:v>
                </c:pt>
                <c:pt idx="488">
                  <c:v>3102</c:v>
                </c:pt>
                <c:pt idx="489">
                  <c:v>3102</c:v>
                </c:pt>
                <c:pt idx="490">
                  <c:v>3102</c:v>
                </c:pt>
                <c:pt idx="491">
                  <c:v>3102</c:v>
                </c:pt>
                <c:pt idx="492">
                  <c:v>3102</c:v>
                </c:pt>
                <c:pt idx="493">
                  <c:v>3102</c:v>
                </c:pt>
                <c:pt idx="494">
                  <c:v>3102</c:v>
                </c:pt>
                <c:pt idx="495">
                  <c:v>3102</c:v>
                </c:pt>
                <c:pt idx="496">
                  <c:v>3102</c:v>
                </c:pt>
                <c:pt idx="497">
                  <c:v>3102</c:v>
                </c:pt>
                <c:pt idx="498">
                  <c:v>3102</c:v>
                </c:pt>
                <c:pt idx="499">
                  <c:v>3102</c:v>
                </c:pt>
                <c:pt idx="500">
                  <c:v>3102</c:v>
                </c:pt>
                <c:pt idx="501">
                  <c:v>3102</c:v>
                </c:pt>
                <c:pt idx="502">
                  <c:v>3102</c:v>
                </c:pt>
                <c:pt idx="503">
                  <c:v>3102</c:v>
                </c:pt>
                <c:pt idx="504">
                  <c:v>3102</c:v>
                </c:pt>
                <c:pt idx="505">
                  <c:v>3102</c:v>
                </c:pt>
                <c:pt idx="506">
                  <c:v>3102</c:v>
                </c:pt>
                <c:pt idx="507">
                  <c:v>3102</c:v>
                </c:pt>
                <c:pt idx="508">
                  <c:v>3102</c:v>
                </c:pt>
                <c:pt idx="509">
                  <c:v>3102</c:v>
                </c:pt>
                <c:pt idx="510">
                  <c:v>3102</c:v>
                </c:pt>
                <c:pt idx="511">
                  <c:v>3102</c:v>
                </c:pt>
                <c:pt idx="512">
                  <c:v>3102</c:v>
                </c:pt>
                <c:pt idx="513">
                  <c:v>3102</c:v>
                </c:pt>
                <c:pt idx="514">
                  <c:v>3102</c:v>
                </c:pt>
                <c:pt idx="515">
                  <c:v>3102</c:v>
                </c:pt>
                <c:pt idx="516">
                  <c:v>3102</c:v>
                </c:pt>
                <c:pt idx="517">
                  <c:v>3102</c:v>
                </c:pt>
                <c:pt idx="518">
                  <c:v>3102</c:v>
                </c:pt>
                <c:pt idx="519">
                  <c:v>3102</c:v>
                </c:pt>
                <c:pt idx="520">
                  <c:v>3102</c:v>
                </c:pt>
                <c:pt idx="521">
                  <c:v>3102</c:v>
                </c:pt>
                <c:pt idx="522">
                  <c:v>3102</c:v>
                </c:pt>
                <c:pt idx="523">
                  <c:v>3102</c:v>
                </c:pt>
                <c:pt idx="524">
                  <c:v>3102</c:v>
                </c:pt>
                <c:pt idx="525">
                  <c:v>3102</c:v>
                </c:pt>
                <c:pt idx="526">
                  <c:v>3102</c:v>
                </c:pt>
                <c:pt idx="527">
                  <c:v>3102</c:v>
                </c:pt>
                <c:pt idx="528">
                  <c:v>3102</c:v>
                </c:pt>
                <c:pt idx="529">
                  <c:v>3102</c:v>
                </c:pt>
                <c:pt idx="530">
                  <c:v>3102</c:v>
                </c:pt>
                <c:pt idx="531">
                  <c:v>3102</c:v>
                </c:pt>
                <c:pt idx="532">
                  <c:v>3102</c:v>
                </c:pt>
                <c:pt idx="533">
                  <c:v>3102</c:v>
                </c:pt>
                <c:pt idx="534">
                  <c:v>3102</c:v>
                </c:pt>
                <c:pt idx="535">
                  <c:v>3102</c:v>
                </c:pt>
                <c:pt idx="536">
                  <c:v>3102</c:v>
                </c:pt>
                <c:pt idx="537">
                  <c:v>3102</c:v>
                </c:pt>
                <c:pt idx="538">
                  <c:v>3102</c:v>
                </c:pt>
                <c:pt idx="539">
                  <c:v>3102</c:v>
                </c:pt>
                <c:pt idx="540">
                  <c:v>3102</c:v>
                </c:pt>
                <c:pt idx="541">
                  <c:v>3102</c:v>
                </c:pt>
                <c:pt idx="542">
                  <c:v>3102</c:v>
                </c:pt>
                <c:pt idx="543">
                  <c:v>3102</c:v>
                </c:pt>
                <c:pt idx="544">
                  <c:v>3102</c:v>
                </c:pt>
                <c:pt idx="545">
                  <c:v>3102</c:v>
                </c:pt>
                <c:pt idx="546">
                  <c:v>3102</c:v>
                </c:pt>
                <c:pt idx="547">
                  <c:v>3102</c:v>
                </c:pt>
                <c:pt idx="548">
                  <c:v>3102</c:v>
                </c:pt>
                <c:pt idx="549">
                  <c:v>3102</c:v>
                </c:pt>
                <c:pt idx="550">
                  <c:v>3102</c:v>
                </c:pt>
                <c:pt idx="551">
                  <c:v>3102</c:v>
                </c:pt>
                <c:pt idx="552">
                  <c:v>3102</c:v>
                </c:pt>
                <c:pt idx="553">
                  <c:v>3102</c:v>
                </c:pt>
                <c:pt idx="554">
                  <c:v>3102</c:v>
                </c:pt>
                <c:pt idx="555">
                  <c:v>3102</c:v>
                </c:pt>
                <c:pt idx="556">
                  <c:v>3102</c:v>
                </c:pt>
                <c:pt idx="557">
                  <c:v>3102</c:v>
                </c:pt>
                <c:pt idx="558">
                  <c:v>3102</c:v>
                </c:pt>
                <c:pt idx="559">
                  <c:v>3102</c:v>
                </c:pt>
                <c:pt idx="560">
                  <c:v>3102</c:v>
                </c:pt>
                <c:pt idx="561">
                  <c:v>3102</c:v>
                </c:pt>
                <c:pt idx="562">
                  <c:v>3102</c:v>
                </c:pt>
                <c:pt idx="563">
                  <c:v>3102</c:v>
                </c:pt>
                <c:pt idx="564">
                  <c:v>3102</c:v>
                </c:pt>
                <c:pt idx="565">
                  <c:v>3102</c:v>
                </c:pt>
                <c:pt idx="566">
                  <c:v>3102</c:v>
                </c:pt>
                <c:pt idx="567">
                  <c:v>3102</c:v>
                </c:pt>
                <c:pt idx="568">
                  <c:v>3102</c:v>
                </c:pt>
                <c:pt idx="569">
                  <c:v>3102</c:v>
                </c:pt>
                <c:pt idx="570">
                  <c:v>3102</c:v>
                </c:pt>
                <c:pt idx="571">
                  <c:v>3102</c:v>
                </c:pt>
                <c:pt idx="572">
                  <c:v>3102</c:v>
                </c:pt>
                <c:pt idx="573">
                  <c:v>3102</c:v>
                </c:pt>
                <c:pt idx="574">
                  <c:v>3102</c:v>
                </c:pt>
                <c:pt idx="575">
                  <c:v>3102</c:v>
                </c:pt>
                <c:pt idx="576">
                  <c:v>3102</c:v>
                </c:pt>
                <c:pt idx="577">
                  <c:v>3102</c:v>
                </c:pt>
                <c:pt idx="578">
                  <c:v>3102</c:v>
                </c:pt>
                <c:pt idx="579">
                  <c:v>3102</c:v>
                </c:pt>
                <c:pt idx="580">
                  <c:v>3102</c:v>
                </c:pt>
                <c:pt idx="581">
                  <c:v>3102</c:v>
                </c:pt>
                <c:pt idx="582">
                  <c:v>3102</c:v>
                </c:pt>
                <c:pt idx="583">
                  <c:v>3102</c:v>
                </c:pt>
                <c:pt idx="584">
                  <c:v>3102</c:v>
                </c:pt>
                <c:pt idx="585">
                  <c:v>3102</c:v>
                </c:pt>
                <c:pt idx="586">
                  <c:v>3102</c:v>
                </c:pt>
                <c:pt idx="587">
                  <c:v>3102</c:v>
                </c:pt>
                <c:pt idx="588">
                  <c:v>3102</c:v>
                </c:pt>
                <c:pt idx="589">
                  <c:v>3102</c:v>
                </c:pt>
                <c:pt idx="590">
                  <c:v>3102</c:v>
                </c:pt>
                <c:pt idx="591">
                  <c:v>3102</c:v>
                </c:pt>
                <c:pt idx="592">
                  <c:v>3102</c:v>
                </c:pt>
                <c:pt idx="593">
                  <c:v>3102</c:v>
                </c:pt>
                <c:pt idx="594">
                  <c:v>3102</c:v>
                </c:pt>
                <c:pt idx="595">
                  <c:v>3102</c:v>
                </c:pt>
                <c:pt idx="596">
                  <c:v>3102</c:v>
                </c:pt>
                <c:pt idx="597">
                  <c:v>3102</c:v>
                </c:pt>
                <c:pt idx="598">
                  <c:v>3102</c:v>
                </c:pt>
                <c:pt idx="599">
                  <c:v>3102</c:v>
                </c:pt>
                <c:pt idx="600">
                  <c:v>3102</c:v>
                </c:pt>
                <c:pt idx="601">
                  <c:v>3102</c:v>
                </c:pt>
                <c:pt idx="602">
                  <c:v>3102</c:v>
                </c:pt>
                <c:pt idx="603">
                  <c:v>3102</c:v>
                </c:pt>
                <c:pt idx="604">
                  <c:v>3102</c:v>
                </c:pt>
                <c:pt idx="605">
                  <c:v>3102</c:v>
                </c:pt>
                <c:pt idx="606">
                  <c:v>3102</c:v>
                </c:pt>
                <c:pt idx="607">
                  <c:v>3102</c:v>
                </c:pt>
                <c:pt idx="608">
                  <c:v>3102</c:v>
                </c:pt>
                <c:pt idx="609">
                  <c:v>3102</c:v>
                </c:pt>
                <c:pt idx="610">
                  <c:v>3102</c:v>
                </c:pt>
                <c:pt idx="611">
                  <c:v>3102</c:v>
                </c:pt>
                <c:pt idx="612">
                  <c:v>3102</c:v>
                </c:pt>
                <c:pt idx="613">
                  <c:v>3102</c:v>
                </c:pt>
                <c:pt idx="614">
                  <c:v>3102</c:v>
                </c:pt>
                <c:pt idx="615">
                  <c:v>3102</c:v>
                </c:pt>
                <c:pt idx="616">
                  <c:v>3102</c:v>
                </c:pt>
                <c:pt idx="617">
                  <c:v>3102</c:v>
                </c:pt>
                <c:pt idx="618">
                  <c:v>3102</c:v>
                </c:pt>
                <c:pt idx="619">
                  <c:v>3102</c:v>
                </c:pt>
                <c:pt idx="620">
                  <c:v>3102</c:v>
                </c:pt>
                <c:pt idx="621">
                  <c:v>3102</c:v>
                </c:pt>
                <c:pt idx="622">
                  <c:v>3102</c:v>
                </c:pt>
                <c:pt idx="623">
                  <c:v>3102</c:v>
                </c:pt>
                <c:pt idx="624">
                  <c:v>3102</c:v>
                </c:pt>
                <c:pt idx="625">
                  <c:v>3102</c:v>
                </c:pt>
                <c:pt idx="626">
                  <c:v>3102</c:v>
                </c:pt>
                <c:pt idx="627">
                  <c:v>3102</c:v>
                </c:pt>
                <c:pt idx="628">
                  <c:v>3102</c:v>
                </c:pt>
                <c:pt idx="629">
                  <c:v>3102</c:v>
                </c:pt>
                <c:pt idx="630">
                  <c:v>3102</c:v>
                </c:pt>
                <c:pt idx="631">
                  <c:v>3102</c:v>
                </c:pt>
                <c:pt idx="632">
                  <c:v>3102</c:v>
                </c:pt>
                <c:pt idx="633">
                  <c:v>3102</c:v>
                </c:pt>
                <c:pt idx="634">
                  <c:v>3102</c:v>
                </c:pt>
                <c:pt idx="635">
                  <c:v>3102</c:v>
                </c:pt>
                <c:pt idx="636">
                  <c:v>3102</c:v>
                </c:pt>
                <c:pt idx="637">
                  <c:v>3102</c:v>
                </c:pt>
                <c:pt idx="638">
                  <c:v>3102</c:v>
                </c:pt>
                <c:pt idx="639">
                  <c:v>3102</c:v>
                </c:pt>
                <c:pt idx="640">
                  <c:v>3102</c:v>
                </c:pt>
                <c:pt idx="641">
                  <c:v>3102</c:v>
                </c:pt>
                <c:pt idx="642">
                  <c:v>3102</c:v>
                </c:pt>
                <c:pt idx="643">
                  <c:v>3102</c:v>
                </c:pt>
                <c:pt idx="644">
                  <c:v>3102</c:v>
                </c:pt>
                <c:pt idx="645">
                  <c:v>3102</c:v>
                </c:pt>
                <c:pt idx="646">
                  <c:v>3102</c:v>
                </c:pt>
                <c:pt idx="647">
                  <c:v>3102</c:v>
                </c:pt>
                <c:pt idx="648">
                  <c:v>3102</c:v>
                </c:pt>
                <c:pt idx="649">
                  <c:v>3102</c:v>
                </c:pt>
                <c:pt idx="650">
                  <c:v>3102</c:v>
                </c:pt>
                <c:pt idx="651">
                  <c:v>3102</c:v>
                </c:pt>
                <c:pt idx="652">
                  <c:v>3102</c:v>
                </c:pt>
                <c:pt idx="653">
                  <c:v>3102</c:v>
                </c:pt>
                <c:pt idx="654">
                  <c:v>3102</c:v>
                </c:pt>
                <c:pt idx="655">
                  <c:v>3102</c:v>
                </c:pt>
                <c:pt idx="656">
                  <c:v>3102</c:v>
                </c:pt>
                <c:pt idx="657">
                  <c:v>3102</c:v>
                </c:pt>
                <c:pt idx="658">
                  <c:v>3102</c:v>
                </c:pt>
                <c:pt idx="659">
                  <c:v>3102</c:v>
                </c:pt>
                <c:pt idx="660">
                  <c:v>3102</c:v>
                </c:pt>
                <c:pt idx="661">
                  <c:v>3102</c:v>
                </c:pt>
                <c:pt idx="662">
                  <c:v>3102</c:v>
                </c:pt>
                <c:pt idx="663">
                  <c:v>3102</c:v>
                </c:pt>
                <c:pt idx="664">
                  <c:v>3102</c:v>
                </c:pt>
                <c:pt idx="665">
                  <c:v>3102</c:v>
                </c:pt>
                <c:pt idx="666">
                  <c:v>3102</c:v>
                </c:pt>
                <c:pt idx="667">
                  <c:v>3102</c:v>
                </c:pt>
                <c:pt idx="668">
                  <c:v>3102</c:v>
                </c:pt>
                <c:pt idx="669">
                  <c:v>3102</c:v>
                </c:pt>
                <c:pt idx="670">
                  <c:v>3102</c:v>
                </c:pt>
                <c:pt idx="671">
                  <c:v>3102</c:v>
                </c:pt>
                <c:pt idx="672">
                  <c:v>3102</c:v>
                </c:pt>
                <c:pt idx="673">
                  <c:v>3102</c:v>
                </c:pt>
                <c:pt idx="674">
                  <c:v>3102</c:v>
                </c:pt>
                <c:pt idx="675">
                  <c:v>3102</c:v>
                </c:pt>
                <c:pt idx="676">
                  <c:v>3102</c:v>
                </c:pt>
                <c:pt idx="677">
                  <c:v>3102</c:v>
                </c:pt>
                <c:pt idx="678">
                  <c:v>3102</c:v>
                </c:pt>
                <c:pt idx="679">
                  <c:v>3102</c:v>
                </c:pt>
                <c:pt idx="680">
                  <c:v>3102</c:v>
                </c:pt>
                <c:pt idx="681">
                  <c:v>3102</c:v>
                </c:pt>
                <c:pt idx="682">
                  <c:v>3102</c:v>
                </c:pt>
                <c:pt idx="683">
                  <c:v>3102</c:v>
                </c:pt>
                <c:pt idx="684">
                  <c:v>3102</c:v>
                </c:pt>
                <c:pt idx="685">
                  <c:v>3102</c:v>
                </c:pt>
                <c:pt idx="686">
                  <c:v>3102</c:v>
                </c:pt>
                <c:pt idx="687">
                  <c:v>3102</c:v>
                </c:pt>
                <c:pt idx="688">
                  <c:v>3102</c:v>
                </c:pt>
                <c:pt idx="689">
                  <c:v>3102</c:v>
                </c:pt>
                <c:pt idx="690">
                  <c:v>3102</c:v>
                </c:pt>
                <c:pt idx="691">
                  <c:v>3102</c:v>
                </c:pt>
                <c:pt idx="692">
                  <c:v>3102</c:v>
                </c:pt>
                <c:pt idx="693">
                  <c:v>3102</c:v>
                </c:pt>
                <c:pt idx="694">
                  <c:v>3102</c:v>
                </c:pt>
                <c:pt idx="695">
                  <c:v>3102</c:v>
                </c:pt>
                <c:pt idx="696">
                  <c:v>3102</c:v>
                </c:pt>
                <c:pt idx="697">
                  <c:v>3102</c:v>
                </c:pt>
                <c:pt idx="698">
                  <c:v>3102</c:v>
                </c:pt>
                <c:pt idx="699">
                  <c:v>3102</c:v>
                </c:pt>
                <c:pt idx="700">
                  <c:v>3102</c:v>
                </c:pt>
                <c:pt idx="701">
                  <c:v>3102</c:v>
                </c:pt>
                <c:pt idx="702">
                  <c:v>3102</c:v>
                </c:pt>
                <c:pt idx="703">
                  <c:v>3102</c:v>
                </c:pt>
                <c:pt idx="704">
                  <c:v>3102</c:v>
                </c:pt>
                <c:pt idx="705">
                  <c:v>3102</c:v>
                </c:pt>
                <c:pt idx="706">
                  <c:v>3102</c:v>
                </c:pt>
                <c:pt idx="707">
                  <c:v>3102</c:v>
                </c:pt>
                <c:pt idx="708">
                  <c:v>3102</c:v>
                </c:pt>
                <c:pt idx="709">
                  <c:v>3102</c:v>
                </c:pt>
                <c:pt idx="710">
                  <c:v>3102</c:v>
                </c:pt>
                <c:pt idx="711">
                  <c:v>3102</c:v>
                </c:pt>
                <c:pt idx="712">
                  <c:v>3102</c:v>
                </c:pt>
                <c:pt idx="713">
                  <c:v>3102</c:v>
                </c:pt>
                <c:pt idx="714">
                  <c:v>3102</c:v>
                </c:pt>
                <c:pt idx="715">
                  <c:v>3102</c:v>
                </c:pt>
                <c:pt idx="716">
                  <c:v>3102</c:v>
                </c:pt>
                <c:pt idx="717">
                  <c:v>3102</c:v>
                </c:pt>
                <c:pt idx="718">
                  <c:v>3102</c:v>
                </c:pt>
                <c:pt idx="719">
                  <c:v>3102</c:v>
                </c:pt>
                <c:pt idx="720">
                  <c:v>3102</c:v>
                </c:pt>
                <c:pt idx="721">
                  <c:v>3102</c:v>
                </c:pt>
                <c:pt idx="722">
                  <c:v>3102</c:v>
                </c:pt>
                <c:pt idx="723">
                  <c:v>3102</c:v>
                </c:pt>
                <c:pt idx="724">
                  <c:v>3102</c:v>
                </c:pt>
                <c:pt idx="725">
                  <c:v>3102</c:v>
                </c:pt>
                <c:pt idx="726">
                  <c:v>3102</c:v>
                </c:pt>
                <c:pt idx="727">
                  <c:v>3102</c:v>
                </c:pt>
                <c:pt idx="728">
                  <c:v>3102</c:v>
                </c:pt>
                <c:pt idx="729">
                  <c:v>3102</c:v>
                </c:pt>
                <c:pt idx="730">
                  <c:v>3102</c:v>
                </c:pt>
                <c:pt idx="731">
                  <c:v>3102</c:v>
                </c:pt>
                <c:pt idx="732">
                  <c:v>3102</c:v>
                </c:pt>
                <c:pt idx="733">
                  <c:v>3102</c:v>
                </c:pt>
                <c:pt idx="734">
                  <c:v>3102</c:v>
                </c:pt>
                <c:pt idx="735">
                  <c:v>3102</c:v>
                </c:pt>
                <c:pt idx="736">
                  <c:v>3102</c:v>
                </c:pt>
                <c:pt idx="737">
                  <c:v>3102</c:v>
                </c:pt>
                <c:pt idx="738">
                  <c:v>3102</c:v>
                </c:pt>
                <c:pt idx="739">
                  <c:v>3102</c:v>
                </c:pt>
                <c:pt idx="740">
                  <c:v>3102</c:v>
                </c:pt>
                <c:pt idx="741">
                  <c:v>3102</c:v>
                </c:pt>
                <c:pt idx="742">
                  <c:v>3102</c:v>
                </c:pt>
                <c:pt idx="743">
                  <c:v>3102</c:v>
                </c:pt>
                <c:pt idx="744">
                  <c:v>3102</c:v>
                </c:pt>
                <c:pt idx="745">
                  <c:v>3102</c:v>
                </c:pt>
                <c:pt idx="746">
                  <c:v>3102</c:v>
                </c:pt>
                <c:pt idx="747">
                  <c:v>3102</c:v>
                </c:pt>
                <c:pt idx="748">
                  <c:v>3102</c:v>
                </c:pt>
                <c:pt idx="749">
                  <c:v>3102</c:v>
                </c:pt>
                <c:pt idx="750">
                  <c:v>3102</c:v>
                </c:pt>
                <c:pt idx="751">
                  <c:v>3102</c:v>
                </c:pt>
                <c:pt idx="752">
                  <c:v>3102</c:v>
                </c:pt>
                <c:pt idx="753">
                  <c:v>3102</c:v>
                </c:pt>
                <c:pt idx="754">
                  <c:v>3102</c:v>
                </c:pt>
                <c:pt idx="755">
                  <c:v>3102</c:v>
                </c:pt>
                <c:pt idx="756">
                  <c:v>3102</c:v>
                </c:pt>
                <c:pt idx="757">
                  <c:v>3102</c:v>
                </c:pt>
                <c:pt idx="758">
                  <c:v>3102</c:v>
                </c:pt>
                <c:pt idx="759">
                  <c:v>3102</c:v>
                </c:pt>
                <c:pt idx="760">
                  <c:v>3102</c:v>
                </c:pt>
                <c:pt idx="761">
                  <c:v>3102</c:v>
                </c:pt>
                <c:pt idx="762">
                  <c:v>3102</c:v>
                </c:pt>
                <c:pt idx="763">
                  <c:v>3102</c:v>
                </c:pt>
                <c:pt idx="764">
                  <c:v>3102</c:v>
                </c:pt>
                <c:pt idx="765">
                  <c:v>3102</c:v>
                </c:pt>
                <c:pt idx="766">
                  <c:v>3102</c:v>
                </c:pt>
                <c:pt idx="767">
                  <c:v>3102</c:v>
                </c:pt>
                <c:pt idx="768">
                  <c:v>3102</c:v>
                </c:pt>
                <c:pt idx="769">
                  <c:v>3102</c:v>
                </c:pt>
                <c:pt idx="770">
                  <c:v>3102</c:v>
                </c:pt>
                <c:pt idx="771">
                  <c:v>3102</c:v>
                </c:pt>
                <c:pt idx="772">
                  <c:v>3102</c:v>
                </c:pt>
                <c:pt idx="773">
                  <c:v>3102</c:v>
                </c:pt>
                <c:pt idx="774">
                  <c:v>3102</c:v>
                </c:pt>
                <c:pt idx="775">
                  <c:v>3102</c:v>
                </c:pt>
                <c:pt idx="776">
                  <c:v>3102</c:v>
                </c:pt>
                <c:pt idx="777">
                  <c:v>3102</c:v>
                </c:pt>
                <c:pt idx="778">
                  <c:v>3102</c:v>
                </c:pt>
                <c:pt idx="779">
                  <c:v>3102</c:v>
                </c:pt>
                <c:pt idx="780">
                  <c:v>3102</c:v>
                </c:pt>
                <c:pt idx="781">
                  <c:v>3102</c:v>
                </c:pt>
                <c:pt idx="782">
                  <c:v>3102</c:v>
                </c:pt>
                <c:pt idx="783">
                  <c:v>3102</c:v>
                </c:pt>
                <c:pt idx="784">
                  <c:v>3102</c:v>
                </c:pt>
                <c:pt idx="785">
                  <c:v>3102</c:v>
                </c:pt>
                <c:pt idx="786">
                  <c:v>3102</c:v>
                </c:pt>
                <c:pt idx="787">
                  <c:v>3102</c:v>
                </c:pt>
                <c:pt idx="788">
                  <c:v>3102</c:v>
                </c:pt>
                <c:pt idx="789">
                  <c:v>3102</c:v>
                </c:pt>
                <c:pt idx="790">
                  <c:v>3102</c:v>
                </c:pt>
                <c:pt idx="791">
                  <c:v>3102</c:v>
                </c:pt>
                <c:pt idx="792">
                  <c:v>3102</c:v>
                </c:pt>
                <c:pt idx="793">
                  <c:v>3102</c:v>
                </c:pt>
                <c:pt idx="794">
                  <c:v>3102</c:v>
                </c:pt>
                <c:pt idx="795">
                  <c:v>3102</c:v>
                </c:pt>
                <c:pt idx="796">
                  <c:v>3102</c:v>
                </c:pt>
                <c:pt idx="797">
                  <c:v>3102</c:v>
                </c:pt>
                <c:pt idx="798">
                  <c:v>3102</c:v>
                </c:pt>
                <c:pt idx="799">
                  <c:v>3102</c:v>
                </c:pt>
                <c:pt idx="800">
                  <c:v>3102</c:v>
                </c:pt>
                <c:pt idx="801">
                  <c:v>3102</c:v>
                </c:pt>
                <c:pt idx="802">
                  <c:v>3102</c:v>
                </c:pt>
                <c:pt idx="803">
                  <c:v>3102</c:v>
                </c:pt>
                <c:pt idx="804">
                  <c:v>3102</c:v>
                </c:pt>
                <c:pt idx="805">
                  <c:v>3102</c:v>
                </c:pt>
                <c:pt idx="806">
                  <c:v>3102</c:v>
                </c:pt>
                <c:pt idx="807">
                  <c:v>3102</c:v>
                </c:pt>
                <c:pt idx="808">
                  <c:v>3102</c:v>
                </c:pt>
                <c:pt idx="809">
                  <c:v>3102</c:v>
                </c:pt>
                <c:pt idx="810">
                  <c:v>3102</c:v>
                </c:pt>
                <c:pt idx="811">
                  <c:v>3102</c:v>
                </c:pt>
                <c:pt idx="812">
                  <c:v>3102</c:v>
                </c:pt>
                <c:pt idx="813">
                  <c:v>3102</c:v>
                </c:pt>
                <c:pt idx="814">
                  <c:v>3102</c:v>
                </c:pt>
                <c:pt idx="815">
                  <c:v>3102</c:v>
                </c:pt>
                <c:pt idx="816">
                  <c:v>3102</c:v>
                </c:pt>
                <c:pt idx="817">
                  <c:v>3102</c:v>
                </c:pt>
                <c:pt idx="818">
                  <c:v>3102</c:v>
                </c:pt>
                <c:pt idx="819">
                  <c:v>3102</c:v>
                </c:pt>
                <c:pt idx="820">
                  <c:v>3102</c:v>
                </c:pt>
                <c:pt idx="821">
                  <c:v>3102</c:v>
                </c:pt>
                <c:pt idx="822">
                  <c:v>3102</c:v>
                </c:pt>
                <c:pt idx="823">
                  <c:v>3102</c:v>
                </c:pt>
                <c:pt idx="824">
                  <c:v>3102</c:v>
                </c:pt>
                <c:pt idx="825">
                  <c:v>3102</c:v>
                </c:pt>
                <c:pt idx="826">
                  <c:v>3102</c:v>
                </c:pt>
                <c:pt idx="827">
                  <c:v>3102</c:v>
                </c:pt>
                <c:pt idx="828">
                  <c:v>3102</c:v>
                </c:pt>
                <c:pt idx="829">
                  <c:v>3102</c:v>
                </c:pt>
                <c:pt idx="830">
                  <c:v>3102</c:v>
                </c:pt>
                <c:pt idx="831">
                  <c:v>3102</c:v>
                </c:pt>
                <c:pt idx="832">
                  <c:v>3102</c:v>
                </c:pt>
                <c:pt idx="833">
                  <c:v>3102</c:v>
                </c:pt>
                <c:pt idx="834">
                  <c:v>3102</c:v>
                </c:pt>
                <c:pt idx="835">
                  <c:v>3102</c:v>
                </c:pt>
                <c:pt idx="836">
                  <c:v>3102</c:v>
                </c:pt>
                <c:pt idx="837">
                  <c:v>3102</c:v>
                </c:pt>
                <c:pt idx="838">
                  <c:v>3102</c:v>
                </c:pt>
                <c:pt idx="839">
                  <c:v>3102</c:v>
                </c:pt>
                <c:pt idx="840">
                  <c:v>3102</c:v>
                </c:pt>
                <c:pt idx="841">
                  <c:v>3102</c:v>
                </c:pt>
                <c:pt idx="842">
                  <c:v>3102</c:v>
                </c:pt>
                <c:pt idx="843">
                  <c:v>3102</c:v>
                </c:pt>
                <c:pt idx="844">
                  <c:v>3102</c:v>
                </c:pt>
                <c:pt idx="845">
                  <c:v>3102</c:v>
                </c:pt>
                <c:pt idx="846">
                  <c:v>3102</c:v>
                </c:pt>
                <c:pt idx="847">
                  <c:v>3102</c:v>
                </c:pt>
                <c:pt idx="848">
                  <c:v>3102</c:v>
                </c:pt>
                <c:pt idx="849">
                  <c:v>3102</c:v>
                </c:pt>
                <c:pt idx="850">
                  <c:v>3102</c:v>
                </c:pt>
                <c:pt idx="851">
                  <c:v>3102</c:v>
                </c:pt>
                <c:pt idx="852">
                  <c:v>3102</c:v>
                </c:pt>
                <c:pt idx="853">
                  <c:v>3102</c:v>
                </c:pt>
                <c:pt idx="854">
                  <c:v>3102</c:v>
                </c:pt>
                <c:pt idx="855">
                  <c:v>3102</c:v>
                </c:pt>
                <c:pt idx="856">
                  <c:v>3102</c:v>
                </c:pt>
                <c:pt idx="857">
                  <c:v>3102</c:v>
                </c:pt>
                <c:pt idx="858">
                  <c:v>3102</c:v>
                </c:pt>
                <c:pt idx="859">
                  <c:v>3102</c:v>
                </c:pt>
                <c:pt idx="860">
                  <c:v>3102</c:v>
                </c:pt>
                <c:pt idx="861">
                  <c:v>3102</c:v>
                </c:pt>
                <c:pt idx="862">
                  <c:v>3102</c:v>
                </c:pt>
                <c:pt idx="863">
                  <c:v>3102</c:v>
                </c:pt>
                <c:pt idx="864">
                  <c:v>3102</c:v>
                </c:pt>
                <c:pt idx="865">
                  <c:v>3102</c:v>
                </c:pt>
                <c:pt idx="866">
                  <c:v>3102</c:v>
                </c:pt>
                <c:pt idx="867">
                  <c:v>3102</c:v>
                </c:pt>
                <c:pt idx="868">
                  <c:v>3102</c:v>
                </c:pt>
                <c:pt idx="869">
                  <c:v>3102</c:v>
                </c:pt>
                <c:pt idx="870">
                  <c:v>3102</c:v>
                </c:pt>
                <c:pt idx="871">
                  <c:v>3102</c:v>
                </c:pt>
                <c:pt idx="872">
                  <c:v>3102</c:v>
                </c:pt>
                <c:pt idx="873">
                  <c:v>3102</c:v>
                </c:pt>
                <c:pt idx="874">
                  <c:v>3102</c:v>
                </c:pt>
                <c:pt idx="875">
                  <c:v>3102</c:v>
                </c:pt>
                <c:pt idx="876">
                  <c:v>3102</c:v>
                </c:pt>
                <c:pt idx="877">
                  <c:v>3102</c:v>
                </c:pt>
                <c:pt idx="878">
                  <c:v>3102</c:v>
                </c:pt>
                <c:pt idx="879">
                  <c:v>3102</c:v>
                </c:pt>
                <c:pt idx="880">
                  <c:v>3102</c:v>
                </c:pt>
                <c:pt idx="881">
                  <c:v>3102</c:v>
                </c:pt>
                <c:pt idx="882">
                  <c:v>3102</c:v>
                </c:pt>
                <c:pt idx="883">
                  <c:v>3102</c:v>
                </c:pt>
                <c:pt idx="884">
                  <c:v>3102</c:v>
                </c:pt>
                <c:pt idx="885">
                  <c:v>3102</c:v>
                </c:pt>
                <c:pt idx="886">
                  <c:v>3102</c:v>
                </c:pt>
                <c:pt idx="887">
                  <c:v>3102</c:v>
                </c:pt>
                <c:pt idx="888">
                  <c:v>3102</c:v>
                </c:pt>
                <c:pt idx="889">
                  <c:v>3102</c:v>
                </c:pt>
                <c:pt idx="890">
                  <c:v>3102</c:v>
                </c:pt>
                <c:pt idx="891">
                  <c:v>3102</c:v>
                </c:pt>
                <c:pt idx="892">
                  <c:v>3102</c:v>
                </c:pt>
                <c:pt idx="893">
                  <c:v>3102</c:v>
                </c:pt>
                <c:pt idx="894">
                  <c:v>3102</c:v>
                </c:pt>
                <c:pt idx="895">
                  <c:v>3102</c:v>
                </c:pt>
                <c:pt idx="896">
                  <c:v>3102</c:v>
                </c:pt>
                <c:pt idx="897">
                  <c:v>3102</c:v>
                </c:pt>
                <c:pt idx="898">
                  <c:v>3102</c:v>
                </c:pt>
                <c:pt idx="899">
                  <c:v>3102</c:v>
                </c:pt>
                <c:pt idx="900">
                  <c:v>3102</c:v>
                </c:pt>
                <c:pt idx="901">
                  <c:v>3102</c:v>
                </c:pt>
                <c:pt idx="902">
                  <c:v>3102</c:v>
                </c:pt>
                <c:pt idx="903">
                  <c:v>3102</c:v>
                </c:pt>
                <c:pt idx="904">
                  <c:v>3102</c:v>
                </c:pt>
                <c:pt idx="905">
                  <c:v>3102</c:v>
                </c:pt>
                <c:pt idx="906">
                  <c:v>3102</c:v>
                </c:pt>
                <c:pt idx="907">
                  <c:v>3102</c:v>
                </c:pt>
                <c:pt idx="908">
                  <c:v>3102</c:v>
                </c:pt>
                <c:pt idx="909">
                  <c:v>3102</c:v>
                </c:pt>
                <c:pt idx="910">
                  <c:v>3102</c:v>
                </c:pt>
                <c:pt idx="911">
                  <c:v>3102</c:v>
                </c:pt>
                <c:pt idx="912">
                  <c:v>3102</c:v>
                </c:pt>
                <c:pt idx="913">
                  <c:v>3102</c:v>
                </c:pt>
                <c:pt idx="914">
                  <c:v>3102</c:v>
                </c:pt>
                <c:pt idx="915">
                  <c:v>3102</c:v>
                </c:pt>
                <c:pt idx="916">
                  <c:v>3102</c:v>
                </c:pt>
                <c:pt idx="917">
                  <c:v>3102</c:v>
                </c:pt>
                <c:pt idx="918">
                  <c:v>3102</c:v>
                </c:pt>
                <c:pt idx="919">
                  <c:v>3102</c:v>
                </c:pt>
                <c:pt idx="920">
                  <c:v>3102</c:v>
                </c:pt>
                <c:pt idx="921">
                  <c:v>3102</c:v>
                </c:pt>
                <c:pt idx="922">
                  <c:v>3102</c:v>
                </c:pt>
                <c:pt idx="923">
                  <c:v>3102</c:v>
                </c:pt>
                <c:pt idx="924">
                  <c:v>3102</c:v>
                </c:pt>
                <c:pt idx="925">
                  <c:v>3102</c:v>
                </c:pt>
                <c:pt idx="926">
                  <c:v>3102</c:v>
                </c:pt>
                <c:pt idx="927">
                  <c:v>3102</c:v>
                </c:pt>
                <c:pt idx="928">
                  <c:v>3102</c:v>
                </c:pt>
                <c:pt idx="929">
                  <c:v>3102</c:v>
                </c:pt>
                <c:pt idx="930">
                  <c:v>3102</c:v>
                </c:pt>
                <c:pt idx="931">
                  <c:v>3102</c:v>
                </c:pt>
                <c:pt idx="932">
                  <c:v>3102</c:v>
                </c:pt>
                <c:pt idx="933">
                  <c:v>3102</c:v>
                </c:pt>
                <c:pt idx="934">
                  <c:v>3102</c:v>
                </c:pt>
                <c:pt idx="935">
                  <c:v>3102</c:v>
                </c:pt>
                <c:pt idx="936">
                  <c:v>3102</c:v>
                </c:pt>
                <c:pt idx="937">
                  <c:v>3102</c:v>
                </c:pt>
                <c:pt idx="938">
                  <c:v>3102</c:v>
                </c:pt>
                <c:pt idx="939">
                  <c:v>3102</c:v>
                </c:pt>
                <c:pt idx="940">
                  <c:v>3102</c:v>
                </c:pt>
                <c:pt idx="941">
                  <c:v>3102</c:v>
                </c:pt>
                <c:pt idx="942">
                  <c:v>3102</c:v>
                </c:pt>
                <c:pt idx="943">
                  <c:v>3102</c:v>
                </c:pt>
                <c:pt idx="944">
                  <c:v>3102</c:v>
                </c:pt>
                <c:pt idx="945">
                  <c:v>3102</c:v>
                </c:pt>
                <c:pt idx="946">
                  <c:v>3102</c:v>
                </c:pt>
                <c:pt idx="947">
                  <c:v>3102</c:v>
                </c:pt>
                <c:pt idx="948">
                  <c:v>3102</c:v>
                </c:pt>
                <c:pt idx="949">
                  <c:v>3102</c:v>
                </c:pt>
                <c:pt idx="950">
                  <c:v>3102</c:v>
                </c:pt>
                <c:pt idx="951">
                  <c:v>3102</c:v>
                </c:pt>
                <c:pt idx="952">
                  <c:v>3102</c:v>
                </c:pt>
                <c:pt idx="953">
                  <c:v>3102</c:v>
                </c:pt>
                <c:pt idx="954">
                  <c:v>3102</c:v>
                </c:pt>
                <c:pt idx="955">
                  <c:v>3102</c:v>
                </c:pt>
                <c:pt idx="956">
                  <c:v>3102</c:v>
                </c:pt>
                <c:pt idx="957">
                  <c:v>3102</c:v>
                </c:pt>
                <c:pt idx="958">
                  <c:v>3102</c:v>
                </c:pt>
                <c:pt idx="959">
                  <c:v>3102</c:v>
                </c:pt>
                <c:pt idx="960">
                  <c:v>3102</c:v>
                </c:pt>
                <c:pt idx="961">
                  <c:v>3102</c:v>
                </c:pt>
                <c:pt idx="962">
                  <c:v>3102</c:v>
                </c:pt>
                <c:pt idx="963">
                  <c:v>3102</c:v>
                </c:pt>
                <c:pt idx="964">
                  <c:v>3102</c:v>
                </c:pt>
                <c:pt idx="965">
                  <c:v>3102</c:v>
                </c:pt>
                <c:pt idx="966">
                  <c:v>3102</c:v>
                </c:pt>
                <c:pt idx="967">
                  <c:v>3102</c:v>
                </c:pt>
                <c:pt idx="968">
                  <c:v>3102</c:v>
                </c:pt>
                <c:pt idx="969">
                  <c:v>3102</c:v>
                </c:pt>
                <c:pt idx="970">
                  <c:v>3102</c:v>
                </c:pt>
                <c:pt idx="971">
                  <c:v>3102</c:v>
                </c:pt>
                <c:pt idx="972">
                  <c:v>3102</c:v>
                </c:pt>
                <c:pt idx="973">
                  <c:v>3102</c:v>
                </c:pt>
                <c:pt idx="974">
                  <c:v>3102</c:v>
                </c:pt>
                <c:pt idx="975">
                  <c:v>3102</c:v>
                </c:pt>
                <c:pt idx="976">
                  <c:v>3102</c:v>
                </c:pt>
                <c:pt idx="977">
                  <c:v>3102</c:v>
                </c:pt>
                <c:pt idx="978">
                  <c:v>3102</c:v>
                </c:pt>
                <c:pt idx="979">
                  <c:v>3102</c:v>
                </c:pt>
                <c:pt idx="980">
                  <c:v>3102</c:v>
                </c:pt>
                <c:pt idx="981">
                  <c:v>3102</c:v>
                </c:pt>
                <c:pt idx="982">
                  <c:v>3102</c:v>
                </c:pt>
                <c:pt idx="983">
                  <c:v>3102</c:v>
                </c:pt>
                <c:pt idx="984">
                  <c:v>3102</c:v>
                </c:pt>
                <c:pt idx="985">
                  <c:v>3102</c:v>
                </c:pt>
                <c:pt idx="986">
                  <c:v>3102</c:v>
                </c:pt>
                <c:pt idx="987">
                  <c:v>3102</c:v>
                </c:pt>
                <c:pt idx="988">
                  <c:v>3102</c:v>
                </c:pt>
                <c:pt idx="989">
                  <c:v>3102</c:v>
                </c:pt>
                <c:pt idx="990">
                  <c:v>3102</c:v>
                </c:pt>
                <c:pt idx="991">
                  <c:v>3102</c:v>
                </c:pt>
                <c:pt idx="992">
                  <c:v>3102</c:v>
                </c:pt>
                <c:pt idx="993">
                  <c:v>3102</c:v>
                </c:pt>
                <c:pt idx="994">
                  <c:v>3102</c:v>
                </c:pt>
                <c:pt idx="995">
                  <c:v>3102</c:v>
                </c:pt>
                <c:pt idx="996">
                  <c:v>3102</c:v>
                </c:pt>
                <c:pt idx="997">
                  <c:v>3102</c:v>
                </c:pt>
                <c:pt idx="998">
                  <c:v>3102</c:v>
                </c:pt>
                <c:pt idx="999">
                  <c:v>3102</c:v>
                </c:pt>
                <c:pt idx="1000">
                  <c:v>3102</c:v>
                </c:pt>
                <c:pt idx="1001">
                  <c:v>3102</c:v>
                </c:pt>
                <c:pt idx="1002">
                  <c:v>3102</c:v>
                </c:pt>
                <c:pt idx="1003">
                  <c:v>3102</c:v>
                </c:pt>
                <c:pt idx="1004">
                  <c:v>3102</c:v>
                </c:pt>
                <c:pt idx="1005">
                  <c:v>3102</c:v>
                </c:pt>
                <c:pt idx="1006">
                  <c:v>3102</c:v>
                </c:pt>
                <c:pt idx="1007">
                  <c:v>3102</c:v>
                </c:pt>
                <c:pt idx="1008">
                  <c:v>3102</c:v>
                </c:pt>
                <c:pt idx="1009">
                  <c:v>3102</c:v>
                </c:pt>
                <c:pt idx="1010">
                  <c:v>3102</c:v>
                </c:pt>
                <c:pt idx="1011">
                  <c:v>3102</c:v>
                </c:pt>
                <c:pt idx="1012">
                  <c:v>3102</c:v>
                </c:pt>
                <c:pt idx="1013">
                  <c:v>3102</c:v>
                </c:pt>
                <c:pt idx="1014">
                  <c:v>3102</c:v>
                </c:pt>
                <c:pt idx="1015">
                  <c:v>3102</c:v>
                </c:pt>
                <c:pt idx="1016">
                  <c:v>3102</c:v>
                </c:pt>
                <c:pt idx="1017">
                  <c:v>3102</c:v>
                </c:pt>
                <c:pt idx="1018">
                  <c:v>3102</c:v>
                </c:pt>
                <c:pt idx="1019">
                  <c:v>3102</c:v>
                </c:pt>
                <c:pt idx="1020">
                  <c:v>3102</c:v>
                </c:pt>
                <c:pt idx="1021">
                  <c:v>3102</c:v>
                </c:pt>
                <c:pt idx="1022">
                  <c:v>3102</c:v>
                </c:pt>
                <c:pt idx="1023">
                  <c:v>3102</c:v>
                </c:pt>
                <c:pt idx="1024">
                  <c:v>3102</c:v>
                </c:pt>
                <c:pt idx="1025">
                  <c:v>3102</c:v>
                </c:pt>
                <c:pt idx="1026">
                  <c:v>3102</c:v>
                </c:pt>
                <c:pt idx="1027">
                  <c:v>3102</c:v>
                </c:pt>
                <c:pt idx="1028">
                  <c:v>3102</c:v>
                </c:pt>
                <c:pt idx="1029">
                  <c:v>3102</c:v>
                </c:pt>
                <c:pt idx="1030">
                  <c:v>3102</c:v>
                </c:pt>
                <c:pt idx="1031">
                  <c:v>3102</c:v>
                </c:pt>
                <c:pt idx="1032">
                  <c:v>3102</c:v>
                </c:pt>
                <c:pt idx="1033">
                  <c:v>3102</c:v>
                </c:pt>
                <c:pt idx="1034">
                  <c:v>3102</c:v>
                </c:pt>
                <c:pt idx="1035">
                  <c:v>3102</c:v>
                </c:pt>
                <c:pt idx="1036">
                  <c:v>3102</c:v>
                </c:pt>
                <c:pt idx="1037">
                  <c:v>3102</c:v>
                </c:pt>
                <c:pt idx="1038">
                  <c:v>3102</c:v>
                </c:pt>
                <c:pt idx="1039">
                  <c:v>3102</c:v>
                </c:pt>
                <c:pt idx="1040">
                  <c:v>3102</c:v>
                </c:pt>
                <c:pt idx="1041">
                  <c:v>3102</c:v>
                </c:pt>
                <c:pt idx="1042">
                  <c:v>3102</c:v>
                </c:pt>
                <c:pt idx="1043">
                  <c:v>3102</c:v>
                </c:pt>
                <c:pt idx="1044">
                  <c:v>3102</c:v>
                </c:pt>
                <c:pt idx="1045">
                  <c:v>3102</c:v>
                </c:pt>
                <c:pt idx="1046">
                  <c:v>3102</c:v>
                </c:pt>
                <c:pt idx="1047">
                  <c:v>3102</c:v>
                </c:pt>
                <c:pt idx="1048">
                  <c:v>3102</c:v>
                </c:pt>
                <c:pt idx="1049">
                  <c:v>3102</c:v>
                </c:pt>
                <c:pt idx="1050">
                  <c:v>3102</c:v>
                </c:pt>
                <c:pt idx="1051">
                  <c:v>3102</c:v>
                </c:pt>
                <c:pt idx="1052">
                  <c:v>3102</c:v>
                </c:pt>
                <c:pt idx="1053">
                  <c:v>3102</c:v>
                </c:pt>
                <c:pt idx="1054">
                  <c:v>3102</c:v>
                </c:pt>
                <c:pt idx="1055">
                  <c:v>3102</c:v>
                </c:pt>
                <c:pt idx="1056">
                  <c:v>3102</c:v>
                </c:pt>
                <c:pt idx="1057">
                  <c:v>3102</c:v>
                </c:pt>
                <c:pt idx="1058">
                  <c:v>3102</c:v>
                </c:pt>
                <c:pt idx="1059">
                  <c:v>3102</c:v>
                </c:pt>
                <c:pt idx="1060">
                  <c:v>3102</c:v>
                </c:pt>
                <c:pt idx="1061">
                  <c:v>3102</c:v>
                </c:pt>
                <c:pt idx="1062">
                  <c:v>3102</c:v>
                </c:pt>
                <c:pt idx="1063">
                  <c:v>3102</c:v>
                </c:pt>
                <c:pt idx="1064">
                  <c:v>3102</c:v>
                </c:pt>
                <c:pt idx="1065">
                  <c:v>3102</c:v>
                </c:pt>
                <c:pt idx="1066">
                  <c:v>3102</c:v>
                </c:pt>
                <c:pt idx="1067">
                  <c:v>3102</c:v>
                </c:pt>
                <c:pt idx="1068">
                  <c:v>3102</c:v>
                </c:pt>
                <c:pt idx="1069">
                  <c:v>3102</c:v>
                </c:pt>
                <c:pt idx="1070">
                  <c:v>3102</c:v>
                </c:pt>
                <c:pt idx="1071">
                  <c:v>3102</c:v>
                </c:pt>
                <c:pt idx="1072">
                  <c:v>3102</c:v>
                </c:pt>
                <c:pt idx="1073">
                  <c:v>3102</c:v>
                </c:pt>
                <c:pt idx="1074">
                  <c:v>3102</c:v>
                </c:pt>
                <c:pt idx="1075">
                  <c:v>3102</c:v>
                </c:pt>
                <c:pt idx="1076">
                  <c:v>3102</c:v>
                </c:pt>
                <c:pt idx="1077">
                  <c:v>3102</c:v>
                </c:pt>
                <c:pt idx="1078">
                  <c:v>3102</c:v>
                </c:pt>
                <c:pt idx="1079">
                  <c:v>3102</c:v>
                </c:pt>
                <c:pt idx="1080">
                  <c:v>3102</c:v>
                </c:pt>
                <c:pt idx="1081">
                  <c:v>3102</c:v>
                </c:pt>
                <c:pt idx="1082">
                  <c:v>3102</c:v>
                </c:pt>
                <c:pt idx="1083">
                  <c:v>3102</c:v>
                </c:pt>
                <c:pt idx="1084">
                  <c:v>3102</c:v>
                </c:pt>
                <c:pt idx="1085">
                  <c:v>3102</c:v>
                </c:pt>
                <c:pt idx="1086">
                  <c:v>3102</c:v>
                </c:pt>
                <c:pt idx="1087">
                  <c:v>3102</c:v>
                </c:pt>
                <c:pt idx="1088">
                  <c:v>3102</c:v>
                </c:pt>
                <c:pt idx="1089">
                  <c:v>3102</c:v>
                </c:pt>
                <c:pt idx="1090">
                  <c:v>3102</c:v>
                </c:pt>
                <c:pt idx="1091">
                  <c:v>3102</c:v>
                </c:pt>
                <c:pt idx="1092">
                  <c:v>3102</c:v>
                </c:pt>
                <c:pt idx="1093">
                  <c:v>3102</c:v>
                </c:pt>
                <c:pt idx="1094">
                  <c:v>3102</c:v>
                </c:pt>
                <c:pt idx="1095">
                  <c:v>3102</c:v>
                </c:pt>
                <c:pt idx="1096">
                  <c:v>3102</c:v>
                </c:pt>
                <c:pt idx="1097">
                  <c:v>3102</c:v>
                </c:pt>
                <c:pt idx="1098">
                  <c:v>3102</c:v>
                </c:pt>
                <c:pt idx="1099">
                  <c:v>3102</c:v>
                </c:pt>
                <c:pt idx="1100">
                  <c:v>3102</c:v>
                </c:pt>
                <c:pt idx="1101">
                  <c:v>3102</c:v>
                </c:pt>
                <c:pt idx="1102">
                  <c:v>3102</c:v>
                </c:pt>
                <c:pt idx="1103">
                  <c:v>3102</c:v>
                </c:pt>
                <c:pt idx="1104">
                  <c:v>3102</c:v>
                </c:pt>
                <c:pt idx="1105">
                  <c:v>3102</c:v>
                </c:pt>
                <c:pt idx="1106">
                  <c:v>3102</c:v>
                </c:pt>
                <c:pt idx="1107">
                  <c:v>3102</c:v>
                </c:pt>
                <c:pt idx="1108">
                  <c:v>3102</c:v>
                </c:pt>
                <c:pt idx="1109">
                  <c:v>3102</c:v>
                </c:pt>
                <c:pt idx="1110">
                  <c:v>3102</c:v>
                </c:pt>
                <c:pt idx="1111">
                  <c:v>3102</c:v>
                </c:pt>
                <c:pt idx="1112">
                  <c:v>3102</c:v>
                </c:pt>
                <c:pt idx="1113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6B-4398-A07C-8480D969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Day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</c:valAx>
      <c:valAx>
        <c:axId val="540095055"/>
        <c:scaling>
          <c:orientation val="minMax"/>
          <c:max val="6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Cumulative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</c:valAx>
      <c:date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</a:t>
            </a:r>
            <a:r>
              <a:rPr lang="en-US" baseline="0"/>
              <a:t> Day Overlay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'Pages+'!$AP$1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'Pages+'!$AO$2:$AO$367</c:f>
              <c:strCache>
                <c:ptCount val="366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  <c:pt idx="31">
                  <c:v>2/1</c:v>
                </c:pt>
                <c:pt idx="32">
                  <c:v>2/2</c:v>
                </c:pt>
                <c:pt idx="33">
                  <c:v>2/3</c:v>
                </c:pt>
                <c:pt idx="34">
                  <c:v>2/4</c:v>
                </c:pt>
                <c:pt idx="35">
                  <c:v>2/5</c:v>
                </c:pt>
                <c:pt idx="36">
                  <c:v>2/6</c:v>
                </c:pt>
                <c:pt idx="37">
                  <c:v>2/7</c:v>
                </c:pt>
                <c:pt idx="38">
                  <c:v>2/8</c:v>
                </c:pt>
                <c:pt idx="39">
                  <c:v>2/9</c:v>
                </c:pt>
                <c:pt idx="40">
                  <c:v>2/10</c:v>
                </c:pt>
                <c:pt idx="41">
                  <c:v>2/11</c:v>
                </c:pt>
                <c:pt idx="42">
                  <c:v>2/12</c:v>
                </c:pt>
                <c:pt idx="43">
                  <c:v>2/13</c:v>
                </c:pt>
                <c:pt idx="44">
                  <c:v>2/14</c:v>
                </c:pt>
                <c:pt idx="45">
                  <c:v>2/15</c:v>
                </c:pt>
                <c:pt idx="46">
                  <c:v>2/16</c:v>
                </c:pt>
                <c:pt idx="47">
                  <c:v>2/17</c:v>
                </c:pt>
                <c:pt idx="48">
                  <c:v>2/18</c:v>
                </c:pt>
                <c:pt idx="49">
                  <c:v>2/19</c:v>
                </c:pt>
                <c:pt idx="50">
                  <c:v>2/20</c:v>
                </c:pt>
                <c:pt idx="51">
                  <c:v>2/21</c:v>
                </c:pt>
                <c:pt idx="52">
                  <c:v>2/22</c:v>
                </c:pt>
                <c:pt idx="53">
                  <c:v>2/23</c:v>
                </c:pt>
                <c:pt idx="54">
                  <c:v>2/24</c:v>
                </c:pt>
                <c:pt idx="55">
                  <c:v>2/25</c:v>
                </c:pt>
                <c:pt idx="56">
                  <c:v>2/26</c:v>
                </c:pt>
                <c:pt idx="57">
                  <c:v>2/27</c:v>
                </c:pt>
                <c:pt idx="58">
                  <c:v>2/28</c:v>
                </c:pt>
                <c:pt idx="59">
                  <c:v>2/29</c:v>
                </c:pt>
                <c:pt idx="60">
                  <c:v>3/1</c:v>
                </c:pt>
                <c:pt idx="61">
                  <c:v>3/2</c:v>
                </c:pt>
                <c:pt idx="62">
                  <c:v>3/3</c:v>
                </c:pt>
                <c:pt idx="63">
                  <c:v>3/4</c:v>
                </c:pt>
                <c:pt idx="64">
                  <c:v>3/5</c:v>
                </c:pt>
                <c:pt idx="65">
                  <c:v>3/6</c:v>
                </c:pt>
                <c:pt idx="66">
                  <c:v>3/7</c:v>
                </c:pt>
                <c:pt idx="67">
                  <c:v>3/8</c:v>
                </c:pt>
                <c:pt idx="68">
                  <c:v>3/9</c:v>
                </c:pt>
                <c:pt idx="69">
                  <c:v>3/10</c:v>
                </c:pt>
                <c:pt idx="70">
                  <c:v>3/11</c:v>
                </c:pt>
                <c:pt idx="71">
                  <c:v>3/12</c:v>
                </c:pt>
                <c:pt idx="72">
                  <c:v>3/13</c:v>
                </c:pt>
                <c:pt idx="73">
                  <c:v>3/14</c:v>
                </c:pt>
                <c:pt idx="74">
                  <c:v>3/15</c:v>
                </c:pt>
                <c:pt idx="75">
                  <c:v>3/16</c:v>
                </c:pt>
                <c:pt idx="76">
                  <c:v>3/17</c:v>
                </c:pt>
                <c:pt idx="77">
                  <c:v>3/18</c:v>
                </c:pt>
                <c:pt idx="78">
                  <c:v>3/19</c:v>
                </c:pt>
                <c:pt idx="79">
                  <c:v>3/20</c:v>
                </c:pt>
                <c:pt idx="80">
                  <c:v>3/21</c:v>
                </c:pt>
                <c:pt idx="81">
                  <c:v>3/22</c:v>
                </c:pt>
                <c:pt idx="82">
                  <c:v>3/23</c:v>
                </c:pt>
                <c:pt idx="83">
                  <c:v>3/24</c:v>
                </c:pt>
                <c:pt idx="84">
                  <c:v>3/25</c:v>
                </c:pt>
                <c:pt idx="85">
                  <c:v>3/26</c:v>
                </c:pt>
                <c:pt idx="86">
                  <c:v>3/27</c:v>
                </c:pt>
                <c:pt idx="87">
                  <c:v>3/28</c:v>
                </c:pt>
                <c:pt idx="88">
                  <c:v>3/29</c:v>
                </c:pt>
                <c:pt idx="89">
                  <c:v>3/30</c:v>
                </c:pt>
                <c:pt idx="90">
                  <c:v>3/31</c:v>
                </c:pt>
                <c:pt idx="91">
                  <c:v>4/1</c:v>
                </c:pt>
                <c:pt idx="92">
                  <c:v>4/2</c:v>
                </c:pt>
                <c:pt idx="93">
                  <c:v>4/3</c:v>
                </c:pt>
                <c:pt idx="94">
                  <c:v>4/4</c:v>
                </c:pt>
                <c:pt idx="95">
                  <c:v>4/5</c:v>
                </c:pt>
                <c:pt idx="96">
                  <c:v>4/6</c:v>
                </c:pt>
                <c:pt idx="97">
                  <c:v>4/7</c:v>
                </c:pt>
                <c:pt idx="98">
                  <c:v>4/8</c:v>
                </c:pt>
                <c:pt idx="99">
                  <c:v>4/9</c:v>
                </c:pt>
                <c:pt idx="100">
                  <c:v>4/10</c:v>
                </c:pt>
                <c:pt idx="101">
                  <c:v>4/11</c:v>
                </c:pt>
                <c:pt idx="102">
                  <c:v>4/12</c:v>
                </c:pt>
                <c:pt idx="103">
                  <c:v>4/13</c:v>
                </c:pt>
                <c:pt idx="104">
                  <c:v>4/14</c:v>
                </c:pt>
                <c:pt idx="105">
                  <c:v>4/15</c:v>
                </c:pt>
                <c:pt idx="106">
                  <c:v>4/16</c:v>
                </c:pt>
                <c:pt idx="107">
                  <c:v>4/17</c:v>
                </c:pt>
                <c:pt idx="108">
                  <c:v>4/18</c:v>
                </c:pt>
                <c:pt idx="109">
                  <c:v>4/19</c:v>
                </c:pt>
                <c:pt idx="110">
                  <c:v>4/20</c:v>
                </c:pt>
                <c:pt idx="111">
                  <c:v>4/21</c:v>
                </c:pt>
                <c:pt idx="112">
                  <c:v>4/22</c:v>
                </c:pt>
                <c:pt idx="113">
                  <c:v>4/23</c:v>
                </c:pt>
                <c:pt idx="114">
                  <c:v>4/24</c:v>
                </c:pt>
                <c:pt idx="115">
                  <c:v>4/25</c:v>
                </c:pt>
                <c:pt idx="116">
                  <c:v>4/26</c:v>
                </c:pt>
                <c:pt idx="117">
                  <c:v>4/27</c:v>
                </c:pt>
                <c:pt idx="118">
                  <c:v>4/28</c:v>
                </c:pt>
                <c:pt idx="119">
                  <c:v>4/29</c:v>
                </c:pt>
                <c:pt idx="120">
                  <c:v>4/30</c:v>
                </c:pt>
                <c:pt idx="121">
                  <c:v>5/1</c:v>
                </c:pt>
                <c:pt idx="122">
                  <c:v>5/2</c:v>
                </c:pt>
                <c:pt idx="123">
                  <c:v>5/3</c:v>
                </c:pt>
                <c:pt idx="124">
                  <c:v>5/4</c:v>
                </c:pt>
                <c:pt idx="125">
                  <c:v>5/5</c:v>
                </c:pt>
                <c:pt idx="126">
                  <c:v>5/6</c:v>
                </c:pt>
                <c:pt idx="127">
                  <c:v>5/7</c:v>
                </c:pt>
                <c:pt idx="128">
                  <c:v>5/8</c:v>
                </c:pt>
                <c:pt idx="129">
                  <c:v>5/9</c:v>
                </c:pt>
                <c:pt idx="130">
                  <c:v>5/10</c:v>
                </c:pt>
                <c:pt idx="131">
                  <c:v>5/11</c:v>
                </c:pt>
                <c:pt idx="132">
                  <c:v>5/12</c:v>
                </c:pt>
                <c:pt idx="133">
                  <c:v>5/13</c:v>
                </c:pt>
                <c:pt idx="134">
                  <c:v>5/14</c:v>
                </c:pt>
                <c:pt idx="135">
                  <c:v>5/15</c:v>
                </c:pt>
                <c:pt idx="136">
                  <c:v>5/16</c:v>
                </c:pt>
                <c:pt idx="137">
                  <c:v>5/17</c:v>
                </c:pt>
                <c:pt idx="138">
                  <c:v>5/18</c:v>
                </c:pt>
                <c:pt idx="139">
                  <c:v>5/19</c:v>
                </c:pt>
                <c:pt idx="140">
                  <c:v>5/20</c:v>
                </c:pt>
                <c:pt idx="141">
                  <c:v>5/21</c:v>
                </c:pt>
                <c:pt idx="142">
                  <c:v>5/22</c:v>
                </c:pt>
                <c:pt idx="143">
                  <c:v>5/23</c:v>
                </c:pt>
                <c:pt idx="144">
                  <c:v>5/24</c:v>
                </c:pt>
                <c:pt idx="145">
                  <c:v>5/25</c:v>
                </c:pt>
                <c:pt idx="146">
                  <c:v>5/26</c:v>
                </c:pt>
                <c:pt idx="147">
                  <c:v>5/27</c:v>
                </c:pt>
                <c:pt idx="148">
                  <c:v>5/28</c:v>
                </c:pt>
                <c:pt idx="149">
                  <c:v>5/29</c:v>
                </c:pt>
                <c:pt idx="150">
                  <c:v>5/30</c:v>
                </c:pt>
                <c:pt idx="151">
                  <c:v>5/31</c:v>
                </c:pt>
                <c:pt idx="152">
                  <c:v>6/1</c:v>
                </c:pt>
                <c:pt idx="153">
                  <c:v>6/2</c:v>
                </c:pt>
                <c:pt idx="154">
                  <c:v>6/3</c:v>
                </c:pt>
                <c:pt idx="155">
                  <c:v>6/4</c:v>
                </c:pt>
                <c:pt idx="156">
                  <c:v>6/5</c:v>
                </c:pt>
                <c:pt idx="157">
                  <c:v>6/6</c:v>
                </c:pt>
                <c:pt idx="158">
                  <c:v>6/7</c:v>
                </c:pt>
                <c:pt idx="159">
                  <c:v>6/8</c:v>
                </c:pt>
                <c:pt idx="160">
                  <c:v>6/9</c:v>
                </c:pt>
                <c:pt idx="161">
                  <c:v>6/10</c:v>
                </c:pt>
                <c:pt idx="162">
                  <c:v>6/11</c:v>
                </c:pt>
                <c:pt idx="163">
                  <c:v>6/12</c:v>
                </c:pt>
                <c:pt idx="164">
                  <c:v>6/13</c:v>
                </c:pt>
                <c:pt idx="165">
                  <c:v>6/14</c:v>
                </c:pt>
                <c:pt idx="166">
                  <c:v>6/15</c:v>
                </c:pt>
                <c:pt idx="167">
                  <c:v>6/16</c:v>
                </c:pt>
                <c:pt idx="168">
                  <c:v>6/17</c:v>
                </c:pt>
                <c:pt idx="169">
                  <c:v>6/18</c:v>
                </c:pt>
                <c:pt idx="170">
                  <c:v>6/19</c:v>
                </c:pt>
                <c:pt idx="171">
                  <c:v>6/20</c:v>
                </c:pt>
                <c:pt idx="172">
                  <c:v>6/21</c:v>
                </c:pt>
                <c:pt idx="173">
                  <c:v>6/22</c:v>
                </c:pt>
                <c:pt idx="174">
                  <c:v>6/23</c:v>
                </c:pt>
                <c:pt idx="175">
                  <c:v>6/24</c:v>
                </c:pt>
                <c:pt idx="176">
                  <c:v>6/25</c:v>
                </c:pt>
                <c:pt idx="177">
                  <c:v>6/26</c:v>
                </c:pt>
                <c:pt idx="178">
                  <c:v>6/27</c:v>
                </c:pt>
                <c:pt idx="179">
                  <c:v>6/28</c:v>
                </c:pt>
                <c:pt idx="180">
                  <c:v>6/29</c:v>
                </c:pt>
                <c:pt idx="181">
                  <c:v>6/30</c:v>
                </c:pt>
                <c:pt idx="182">
                  <c:v>7/1</c:v>
                </c:pt>
                <c:pt idx="183">
                  <c:v>7/2</c:v>
                </c:pt>
                <c:pt idx="184">
                  <c:v>7/3</c:v>
                </c:pt>
                <c:pt idx="185">
                  <c:v>7/4</c:v>
                </c:pt>
                <c:pt idx="186">
                  <c:v>7/5</c:v>
                </c:pt>
                <c:pt idx="187">
                  <c:v>7/6</c:v>
                </c:pt>
                <c:pt idx="188">
                  <c:v>7/7</c:v>
                </c:pt>
                <c:pt idx="189">
                  <c:v>7/8</c:v>
                </c:pt>
                <c:pt idx="190">
                  <c:v>7/9</c:v>
                </c:pt>
                <c:pt idx="191">
                  <c:v>7/10</c:v>
                </c:pt>
                <c:pt idx="192">
                  <c:v>7/11</c:v>
                </c:pt>
                <c:pt idx="193">
                  <c:v>7/12</c:v>
                </c:pt>
                <c:pt idx="194">
                  <c:v>7/13</c:v>
                </c:pt>
                <c:pt idx="195">
                  <c:v>7/14</c:v>
                </c:pt>
                <c:pt idx="196">
                  <c:v>7/15</c:v>
                </c:pt>
                <c:pt idx="197">
                  <c:v>7/16</c:v>
                </c:pt>
                <c:pt idx="198">
                  <c:v>7/17</c:v>
                </c:pt>
                <c:pt idx="199">
                  <c:v>7/18</c:v>
                </c:pt>
                <c:pt idx="200">
                  <c:v>7/19</c:v>
                </c:pt>
                <c:pt idx="201">
                  <c:v>7/20</c:v>
                </c:pt>
                <c:pt idx="202">
                  <c:v>7/21</c:v>
                </c:pt>
                <c:pt idx="203">
                  <c:v>7/22</c:v>
                </c:pt>
                <c:pt idx="204">
                  <c:v>7/23</c:v>
                </c:pt>
                <c:pt idx="205">
                  <c:v>7/24</c:v>
                </c:pt>
                <c:pt idx="206">
                  <c:v>7/25</c:v>
                </c:pt>
                <c:pt idx="207">
                  <c:v>7/26</c:v>
                </c:pt>
                <c:pt idx="208">
                  <c:v>7/27</c:v>
                </c:pt>
                <c:pt idx="209">
                  <c:v>7/28</c:v>
                </c:pt>
                <c:pt idx="210">
                  <c:v>7/29</c:v>
                </c:pt>
                <c:pt idx="211">
                  <c:v>7/30</c:v>
                </c:pt>
                <c:pt idx="212">
                  <c:v>7/31</c:v>
                </c:pt>
                <c:pt idx="213">
                  <c:v>8/1</c:v>
                </c:pt>
                <c:pt idx="214">
                  <c:v>8/2</c:v>
                </c:pt>
                <c:pt idx="215">
                  <c:v>8/3</c:v>
                </c:pt>
                <c:pt idx="216">
                  <c:v>8/4</c:v>
                </c:pt>
                <c:pt idx="217">
                  <c:v>8/5</c:v>
                </c:pt>
                <c:pt idx="218">
                  <c:v>8/6</c:v>
                </c:pt>
                <c:pt idx="219">
                  <c:v>8/7</c:v>
                </c:pt>
                <c:pt idx="220">
                  <c:v>8/8</c:v>
                </c:pt>
                <c:pt idx="221">
                  <c:v>8/9</c:v>
                </c:pt>
                <c:pt idx="222">
                  <c:v>8/10</c:v>
                </c:pt>
                <c:pt idx="223">
                  <c:v>8/11</c:v>
                </c:pt>
                <c:pt idx="224">
                  <c:v>8/12</c:v>
                </c:pt>
                <c:pt idx="225">
                  <c:v>8/13</c:v>
                </c:pt>
                <c:pt idx="226">
                  <c:v>8/14</c:v>
                </c:pt>
                <c:pt idx="227">
                  <c:v>8/15</c:v>
                </c:pt>
                <c:pt idx="228">
                  <c:v>8/16</c:v>
                </c:pt>
                <c:pt idx="229">
                  <c:v>8/17</c:v>
                </c:pt>
                <c:pt idx="230">
                  <c:v>8/18</c:v>
                </c:pt>
                <c:pt idx="231">
                  <c:v>8/19</c:v>
                </c:pt>
                <c:pt idx="232">
                  <c:v>8/20</c:v>
                </c:pt>
                <c:pt idx="233">
                  <c:v>8/21</c:v>
                </c:pt>
                <c:pt idx="234">
                  <c:v>8/22</c:v>
                </c:pt>
                <c:pt idx="235">
                  <c:v>8/23</c:v>
                </c:pt>
                <c:pt idx="236">
                  <c:v>8/24</c:v>
                </c:pt>
                <c:pt idx="237">
                  <c:v>8/25</c:v>
                </c:pt>
                <c:pt idx="238">
                  <c:v>8/26</c:v>
                </c:pt>
                <c:pt idx="239">
                  <c:v>8/27</c:v>
                </c:pt>
                <c:pt idx="240">
                  <c:v>8/28</c:v>
                </c:pt>
                <c:pt idx="241">
                  <c:v>8/29</c:v>
                </c:pt>
                <c:pt idx="242">
                  <c:v>8/30</c:v>
                </c:pt>
                <c:pt idx="243">
                  <c:v>8/31</c:v>
                </c:pt>
                <c:pt idx="244">
                  <c:v>9/1</c:v>
                </c:pt>
                <c:pt idx="245">
                  <c:v>9/2</c:v>
                </c:pt>
                <c:pt idx="246">
                  <c:v>9/3</c:v>
                </c:pt>
                <c:pt idx="247">
                  <c:v>9/4</c:v>
                </c:pt>
                <c:pt idx="248">
                  <c:v>9/5</c:v>
                </c:pt>
                <c:pt idx="249">
                  <c:v>9/6</c:v>
                </c:pt>
                <c:pt idx="250">
                  <c:v>9/7</c:v>
                </c:pt>
                <c:pt idx="251">
                  <c:v>9/8</c:v>
                </c:pt>
                <c:pt idx="252">
                  <c:v>9/9</c:v>
                </c:pt>
                <c:pt idx="253">
                  <c:v>9/10</c:v>
                </c:pt>
                <c:pt idx="254">
                  <c:v>9/11</c:v>
                </c:pt>
                <c:pt idx="255">
                  <c:v>9/12</c:v>
                </c:pt>
                <c:pt idx="256">
                  <c:v>9/13</c:v>
                </c:pt>
                <c:pt idx="257">
                  <c:v>9/14</c:v>
                </c:pt>
                <c:pt idx="258">
                  <c:v>9/15</c:v>
                </c:pt>
                <c:pt idx="259">
                  <c:v>9/16</c:v>
                </c:pt>
                <c:pt idx="260">
                  <c:v>9/17</c:v>
                </c:pt>
                <c:pt idx="261">
                  <c:v>9/18</c:v>
                </c:pt>
                <c:pt idx="262">
                  <c:v>9/19</c:v>
                </c:pt>
                <c:pt idx="263">
                  <c:v>9/20</c:v>
                </c:pt>
                <c:pt idx="264">
                  <c:v>9/21</c:v>
                </c:pt>
                <c:pt idx="265">
                  <c:v>9/22</c:v>
                </c:pt>
                <c:pt idx="266">
                  <c:v>9/23</c:v>
                </c:pt>
                <c:pt idx="267">
                  <c:v>9/24</c:v>
                </c:pt>
                <c:pt idx="268">
                  <c:v>9/25</c:v>
                </c:pt>
                <c:pt idx="269">
                  <c:v>9/26</c:v>
                </c:pt>
                <c:pt idx="270">
                  <c:v>9/27</c:v>
                </c:pt>
                <c:pt idx="271">
                  <c:v>9/28</c:v>
                </c:pt>
                <c:pt idx="272">
                  <c:v>9/29</c:v>
                </c:pt>
                <c:pt idx="273">
                  <c:v>9/30</c:v>
                </c:pt>
                <c:pt idx="274">
                  <c:v>10/1</c:v>
                </c:pt>
                <c:pt idx="275">
                  <c:v>10/2</c:v>
                </c:pt>
                <c:pt idx="276">
                  <c:v>10/3</c:v>
                </c:pt>
                <c:pt idx="277">
                  <c:v>10/4</c:v>
                </c:pt>
                <c:pt idx="278">
                  <c:v>10/5</c:v>
                </c:pt>
                <c:pt idx="279">
                  <c:v>10/6</c:v>
                </c:pt>
                <c:pt idx="280">
                  <c:v>10/7</c:v>
                </c:pt>
                <c:pt idx="281">
                  <c:v>10/8</c:v>
                </c:pt>
                <c:pt idx="282">
                  <c:v>10/9</c:v>
                </c:pt>
                <c:pt idx="283">
                  <c:v>10/10</c:v>
                </c:pt>
                <c:pt idx="284">
                  <c:v>10/11</c:v>
                </c:pt>
                <c:pt idx="285">
                  <c:v>10/12</c:v>
                </c:pt>
                <c:pt idx="286">
                  <c:v>10/13</c:v>
                </c:pt>
                <c:pt idx="287">
                  <c:v>10/14</c:v>
                </c:pt>
                <c:pt idx="288">
                  <c:v>10/15</c:v>
                </c:pt>
                <c:pt idx="289">
                  <c:v>10/16</c:v>
                </c:pt>
                <c:pt idx="290">
                  <c:v>10/17</c:v>
                </c:pt>
                <c:pt idx="291">
                  <c:v>10/18</c:v>
                </c:pt>
                <c:pt idx="292">
                  <c:v>10/19</c:v>
                </c:pt>
                <c:pt idx="293">
                  <c:v>10/20</c:v>
                </c:pt>
                <c:pt idx="294">
                  <c:v>10/21</c:v>
                </c:pt>
                <c:pt idx="295">
                  <c:v>10/22</c:v>
                </c:pt>
                <c:pt idx="296">
                  <c:v>10/23</c:v>
                </c:pt>
                <c:pt idx="297">
                  <c:v>10/24</c:v>
                </c:pt>
                <c:pt idx="298">
                  <c:v>10/25</c:v>
                </c:pt>
                <c:pt idx="299">
                  <c:v>10/26</c:v>
                </c:pt>
                <c:pt idx="300">
                  <c:v>10/27</c:v>
                </c:pt>
                <c:pt idx="301">
                  <c:v>10/28</c:v>
                </c:pt>
                <c:pt idx="302">
                  <c:v>10/29</c:v>
                </c:pt>
                <c:pt idx="303">
                  <c:v>10/30</c:v>
                </c:pt>
                <c:pt idx="304">
                  <c:v>10/31</c:v>
                </c:pt>
                <c:pt idx="305">
                  <c:v>11/1</c:v>
                </c:pt>
                <c:pt idx="306">
                  <c:v>11/2</c:v>
                </c:pt>
                <c:pt idx="307">
                  <c:v>11/3</c:v>
                </c:pt>
                <c:pt idx="308">
                  <c:v>11/4</c:v>
                </c:pt>
                <c:pt idx="309">
                  <c:v>11/5</c:v>
                </c:pt>
                <c:pt idx="310">
                  <c:v>11/6</c:v>
                </c:pt>
                <c:pt idx="311">
                  <c:v>11/7</c:v>
                </c:pt>
                <c:pt idx="312">
                  <c:v>11/8</c:v>
                </c:pt>
                <c:pt idx="313">
                  <c:v>11/9</c:v>
                </c:pt>
                <c:pt idx="314">
                  <c:v>11/10</c:v>
                </c:pt>
                <c:pt idx="315">
                  <c:v>11/11</c:v>
                </c:pt>
                <c:pt idx="316">
                  <c:v>11/12</c:v>
                </c:pt>
                <c:pt idx="317">
                  <c:v>11/13</c:v>
                </c:pt>
                <c:pt idx="318">
                  <c:v>11/14</c:v>
                </c:pt>
                <c:pt idx="319">
                  <c:v>11/15</c:v>
                </c:pt>
                <c:pt idx="320">
                  <c:v>11/16</c:v>
                </c:pt>
                <c:pt idx="321">
                  <c:v>11/17</c:v>
                </c:pt>
                <c:pt idx="322">
                  <c:v>11/18</c:v>
                </c:pt>
                <c:pt idx="323">
                  <c:v>11/19</c:v>
                </c:pt>
                <c:pt idx="324">
                  <c:v>11/20</c:v>
                </c:pt>
                <c:pt idx="325">
                  <c:v>11/21</c:v>
                </c:pt>
                <c:pt idx="326">
                  <c:v>11/22</c:v>
                </c:pt>
                <c:pt idx="327">
                  <c:v>11/23</c:v>
                </c:pt>
                <c:pt idx="328">
                  <c:v>11/24</c:v>
                </c:pt>
                <c:pt idx="329">
                  <c:v>11/25</c:v>
                </c:pt>
                <c:pt idx="330">
                  <c:v>11/26</c:v>
                </c:pt>
                <c:pt idx="331">
                  <c:v>11/27</c:v>
                </c:pt>
                <c:pt idx="332">
                  <c:v>11/28</c:v>
                </c:pt>
                <c:pt idx="333">
                  <c:v>11/29</c:v>
                </c:pt>
                <c:pt idx="334">
                  <c:v>11/30</c:v>
                </c:pt>
                <c:pt idx="335">
                  <c:v>12/1</c:v>
                </c:pt>
                <c:pt idx="336">
                  <c:v>12/2</c:v>
                </c:pt>
                <c:pt idx="337">
                  <c:v>12/3</c:v>
                </c:pt>
                <c:pt idx="338">
                  <c:v>12/4</c:v>
                </c:pt>
                <c:pt idx="339">
                  <c:v>12/5</c:v>
                </c:pt>
                <c:pt idx="340">
                  <c:v>12/6</c:v>
                </c:pt>
                <c:pt idx="341">
                  <c:v>12/7</c:v>
                </c:pt>
                <c:pt idx="342">
                  <c:v>12/8</c:v>
                </c:pt>
                <c:pt idx="343">
                  <c:v>12/9</c:v>
                </c:pt>
                <c:pt idx="344">
                  <c:v>12/10</c:v>
                </c:pt>
                <c:pt idx="345">
                  <c:v>12/11</c:v>
                </c:pt>
                <c:pt idx="346">
                  <c:v>12/12</c:v>
                </c:pt>
                <c:pt idx="347">
                  <c:v>12/13</c:v>
                </c:pt>
                <c:pt idx="348">
                  <c:v>12/14</c:v>
                </c:pt>
                <c:pt idx="349">
                  <c:v>12/15</c:v>
                </c:pt>
                <c:pt idx="350">
                  <c:v>12/16</c:v>
                </c:pt>
                <c:pt idx="351">
                  <c:v>12/17</c:v>
                </c:pt>
                <c:pt idx="352">
                  <c:v>12/18</c:v>
                </c:pt>
                <c:pt idx="353">
                  <c:v>12/19</c:v>
                </c:pt>
                <c:pt idx="354">
                  <c:v>12/20</c:v>
                </c:pt>
                <c:pt idx="355">
                  <c:v>12/21</c:v>
                </c:pt>
                <c:pt idx="356">
                  <c:v>12/22</c:v>
                </c:pt>
                <c:pt idx="357">
                  <c:v>12/23</c:v>
                </c:pt>
                <c:pt idx="358">
                  <c:v>12/24</c:v>
                </c:pt>
                <c:pt idx="359">
                  <c:v>12/25</c:v>
                </c:pt>
                <c:pt idx="360">
                  <c:v>12/26</c:v>
                </c:pt>
                <c:pt idx="361">
                  <c:v>12/27</c:v>
                </c:pt>
                <c:pt idx="362">
                  <c:v>12/28</c:v>
                </c:pt>
                <c:pt idx="363">
                  <c:v>12/29</c:v>
                </c:pt>
                <c:pt idx="364">
                  <c:v>12/30</c:v>
                </c:pt>
                <c:pt idx="365">
                  <c:v>12/31</c:v>
                </c:pt>
              </c:strCache>
            </c:strRef>
          </c:cat>
          <c:val>
            <c:numRef>
              <c:f>'Pages+'!$AQ$2:$AQ$367</c:f>
              <c:numCache>
                <c:formatCode>General</c:formatCode>
                <c:ptCount val="366"/>
                <c:pt idx="284">
                  <c:v>0</c:v>
                </c:pt>
                <c:pt idx="285">
                  <c:v>129</c:v>
                </c:pt>
                <c:pt idx="286">
                  <c:v>129</c:v>
                </c:pt>
                <c:pt idx="287">
                  <c:v>129</c:v>
                </c:pt>
                <c:pt idx="288">
                  <c:v>129</c:v>
                </c:pt>
                <c:pt idx="289">
                  <c:v>129</c:v>
                </c:pt>
                <c:pt idx="290">
                  <c:v>163</c:v>
                </c:pt>
                <c:pt idx="291">
                  <c:v>204</c:v>
                </c:pt>
                <c:pt idx="292">
                  <c:v>204</c:v>
                </c:pt>
                <c:pt idx="293">
                  <c:v>204</c:v>
                </c:pt>
                <c:pt idx="294">
                  <c:v>204</c:v>
                </c:pt>
                <c:pt idx="295">
                  <c:v>204</c:v>
                </c:pt>
                <c:pt idx="296">
                  <c:v>436</c:v>
                </c:pt>
                <c:pt idx="297">
                  <c:v>538</c:v>
                </c:pt>
                <c:pt idx="298">
                  <c:v>633</c:v>
                </c:pt>
                <c:pt idx="299">
                  <c:v>761</c:v>
                </c:pt>
                <c:pt idx="300">
                  <c:v>843</c:v>
                </c:pt>
                <c:pt idx="301">
                  <c:v>843</c:v>
                </c:pt>
                <c:pt idx="302">
                  <c:v>843</c:v>
                </c:pt>
                <c:pt idx="303">
                  <c:v>843</c:v>
                </c:pt>
                <c:pt idx="304">
                  <c:v>919</c:v>
                </c:pt>
                <c:pt idx="305">
                  <c:v>1085</c:v>
                </c:pt>
                <c:pt idx="306">
                  <c:v>1224</c:v>
                </c:pt>
                <c:pt idx="307">
                  <c:v>1224</c:v>
                </c:pt>
                <c:pt idx="308">
                  <c:v>1224</c:v>
                </c:pt>
                <c:pt idx="309">
                  <c:v>1224</c:v>
                </c:pt>
                <c:pt idx="310">
                  <c:v>1301</c:v>
                </c:pt>
                <c:pt idx="311">
                  <c:v>1430</c:v>
                </c:pt>
                <c:pt idx="312">
                  <c:v>1472</c:v>
                </c:pt>
                <c:pt idx="313">
                  <c:v>1560</c:v>
                </c:pt>
                <c:pt idx="314">
                  <c:v>1623</c:v>
                </c:pt>
                <c:pt idx="315">
                  <c:v>1623</c:v>
                </c:pt>
                <c:pt idx="316">
                  <c:v>1677</c:v>
                </c:pt>
                <c:pt idx="317">
                  <c:v>1798</c:v>
                </c:pt>
                <c:pt idx="318">
                  <c:v>1860</c:v>
                </c:pt>
                <c:pt idx="319">
                  <c:v>1907</c:v>
                </c:pt>
                <c:pt idx="320">
                  <c:v>2008</c:v>
                </c:pt>
                <c:pt idx="321">
                  <c:v>2208</c:v>
                </c:pt>
                <c:pt idx="322">
                  <c:v>2352</c:v>
                </c:pt>
                <c:pt idx="323">
                  <c:v>2423</c:v>
                </c:pt>
                <c:pt idx="324">
                  <c:v>2523</c:v>
                </c:pt>
                <c:pt idx="325">
                  <c:v>2538</c:v>
                </c:pt>
                <c:pt idx="326">
                  <c:v>2610</c:v>
                </c:pt>
                <c:pt idx="327">
                  <c:v>2610</c:v>
                </c:pt>
                <c:pt idx="328">
                  <c:v>2654</c:v>
                </c:pt>
                <c:pt idx="329">
                  <c:v>2676</c:v>
                </c:pt>
                <c:pt idx="330">
                  <c:v>2752</c:v>
                </c:pt>
                <c:pt idx="331">
                  <c:v>2841</c:v>
                </c:pt>
                <c:pt idx="332">
                  <c:v>2841</c:v>
                </c:pt>
                <c:pt idx="333">
                  <c:v>2904</c:v>
                </c:pt>
                <c:pt idx="334">
                  <c:v>3083</c:v>
                </c:pt>
                <c:pt idx="335">
                  <c:v>3127</c:v>
                </c:pt>
                <c:pt idx="336">
                  <c:v>3127</c:v>
                </c:pt>
                <c:pt idx="337">
                  <c:v>3241</c:v>
                </c:pt>
                <c:pt idx="338">
                  <c:v>3241</c:v>
                </c:pt>
                <c:pt idx="339">
                  <c:v>3504</c:v>
                </c:pt>
                <c:pt idx="340">
                  <c:v>3546</c:v>
                </c:pt>
                <c:pt idx="341">
                  <c:v>3649</c:v>
                </c:pt>
                <c:pt idx="342">
                  <c:v>3711</c:v>
                </c:pt>
                <c:pt idx="343">
                  <c:v>3711</c:v>
                </c:pt>
                <c:pt idx="344">
                  <c:v>3711</c:v>
                </c:pt>
                <c:pt idx="345">
                  <c:v>3838</c:v>
                </c:pt>
                <c:pt idx="346">
                  <c:v>3872</c:v>
                </c:pt>
                <c:pt idx="347">
                  <c:v>3872</c:v>
                </c:pt>
                <c:pt idx="348">
                  <c:v>3898</c:v>
                </c:pt>
                <c:pt idx="349">
                  <c:v>3946</c:v>
                </c:pt>
                <c:pt idx="350">
                  <c:v>3946</c:v>
                </c:pt>
                <c:pt idx="351">
                  <c:v>3946</c:v>
                </c:pt>
                <c:pt idx="352">
                  <c:v>3946</c:v>
                </c:pt>
                <c:pt idx="353">
                  <c:v>3946</c:v>
                </c:pt>
                <c:pt idx="354">
                  <c:v>3946</c:v>
                </c:pt>
                <c:pt idx="355">
                  <c:v>3946</c:v>
                </c:pt>
                <c:pt idx="356">
                  <c:v>3946</c:v>
                </c:pt>
                <c:pt idx="357">
                  <c:v>3967</c:v>
                </c:pt>
                <c:pt idx="358">
                  <c:v>4006</c:v>
                </c:pt>
                <c:pt idx="359">
                  <c:v>4095</c:v>
                </c:pt>
                <c:pt idx="360">
                  <c:v>4125</c:v>
                </c:pt>
                <c:pt idx="361">
                  <c:v>4145</c:v>
                </c:pt>
                <c:pt idx="362">
                  <c:v>4195</c:v>
                </c:pt>
                <c:pt idx="363">
                  <c:v>4195</c:v>
                </c:pt>
                <c:pt idx="364">
                  <c:v>4195</c:v>
                </c:pt>
                <c:pt idx="365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1-4A39-8585-C171B747B10F}"/>
            </c:ext>
          </c:extLst>
        </c:ser>
        <c:ser>
          <c:idx val="1"/>
          <c:order val="1"/>
          <c:tx>
            <c:strRef>
              <c:f>'Pages+'!$AR$1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'Pages+'!$AO$2:$AO$367</c:f>
              <c:strCache>
                <c:ptCount val="366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  <c:pt idx="31">
                  <c:v>2/1</c:v>
                </c:pt>
                <c:pt idx="32">
                  <c:v>2/2</c:v>
                </c:pt>
                <c:pt idx="33">
                  <c:v>2/3</c:v>
                </c:pt>
                <c:pt idx="34">
                  <c:v>2/4</c:v>
                </c:pt>
                <c:pt idx="35">
                  <c:v>2/5</c:v>
                </c:pt>
                <c:pt idx="36">
                  <c:v>2/6</c:v>
                </c:pt>
                <c:pt idx="37">
                  <c:v>2/7</c:v>
                </c:pt>
                <c:pt idx="38">
                  <c:v>2/8</c:v>
                </c:pt>
                <c:pt idx="39">
                  <c:v>2/9</c:v>
                </c:pt>
                <c:pt idx="40">
                  <c:v>2/10</c:v>
                </c:pt>
                <c:pt idx="41">
                  <c:v>2/11</c:v>
                </c:pt>
                <c:pt idx="42">
                  <c:v>2/12</c:v>
                </c:pt>
                <c:pt idx="43">
                  <c:v>2/13</c:v>
                </c:pt>
                <c:pt idx="44">
                  <c:v>2/14</c:v>
                </c:pt>
                <c:pt idx="45">
                  <c:v>2/15</c:v>
                </c:pt>
                <c:pt idx="46">
                  <c:v>2/16</c:v>
                </c:pt>
                <c:pt idx="47">
                  <c:v>2/17</c:v>
                </c:pt>
                <c:pt idx="48">
                  <c:v>2/18</c:v>
                </c:pt>
                <c:pt idx="49">
                  <c:v>2/19</c:v>
                </c:pt>
                <c:pt idx="50">
                  <c:v>2/20</c:v>
                </c:pt>
                <c:pt idx="51">
                  <c:v>2/21</c:v>
                </c:pt>
                <c:pt idx="52">
                  <c:v>2/22</c:v>
                </c:pt>
                <c:pt idx="53">
                  <c:v>2/23</c:v>
                </c:pt>
                <c:pt idx="54">
                  <c:v>2/24</c:v>
                </c:pt>
                <c:pt idx="55">
                  <c:v>2/25</c:v>
                </c:pt>
                <c:pt idx="56">
                  <c:v>2/26</c:v>
                </c:pt>
                <c:pt idx="57">
                  <c:v>2/27</c:v>
                </c:pt>
                <c:pt idx="58">
                  <c:v>2/28</c:v>
                </c:pt>
                <c:pt idx="59">
                  <c:v>2/29</c:v>
                </c:pt>
                <c:pt idx="60">
                  <c:v>3/1</c:v>
                </c:pt>
                <c:pt idx="61">
                  <c:v>3/2</c:v>
                </c:pt>
                <c:pt idx="62">
                  <c:v>3/3</c:v>
                </c:pt>
                <c:pt idx="63">
                  <c:v>3/4</c:v>
                </c:pt>
                <c:pt idx="64">
                  <c:v>3/5</c:v>
                </c:pt>
                <c:pt idx="65">
                  <c:v>3/6</c:v>
                </c:pt>
                <c:pt idx="66">
                  <c:v>3/7</c:v>
                </c:pt>
                <c:pt idx="67">
                  <c:v>3/8</c:v>
                </c:pt>
                <c:pt idx="68">
                  <c:v>3/9</c:v>
                </c:pt>
                <c:pt idx="69">
                  <c:v>3/10</c:v>
                </c:pt>
                <c:pt idx="70">
                  <c:v>3/11</c:v>
                </c:pt>
                <c:pt idx="71">
                  <c:v>3/12</c:v>
                </c:pt>
                <c:pt idx="72">
                  <c:v>3/13</c:v>
                </c:pt>
                <c:pt idx="73">
                  <c:v>3/14</c:v>
                </c:pt>
                <c:pt idx="74">
                  <c:v>3/15</c:v>
                </c:pt>
                <c:pt idx="75">
                  <c:v>3/16</c:v>
                </c:pt>
                <c:pt idx="76">
                  <c:v>3/17</c:v>
                </c:pt>
                <c:pt idx="77">
                  <c:v>3/18</c:v>
                </c:pt>
                <c:pt idx="78">
                  <c:v>3/19</c:v>
                </c:pt>
                <c:pt idx="79">
                  <c:v>3/20</c:v>
                </c:pt>
                <c:pt idx="80">
                  <c:v>3/21</c:v>
                </c:pt>
                <c:pt idx="81">
                  <c:v>3/22</c:v>
                </c:pt>
                <c:pt idx="82">
                  <c:v>3/23</c:v>
                </c:pt>
                <c:pt idx="83">
                  <c:v>3/24</c:v>
                </c:pt>
                <c:pt idx="84">
                  <c:v>3/25</c:v>
                </c:pt>
                <c:pt idx="85">
                  <c:v>3/26</c:v>
                </c:pt>
                <c:pt idx="86">
                  <c:v>3/27</c:v>
                </c:pt>
                <c:pt idx="87">
                  <c:v>3/28</c:v>
                </c:pt>
                <c:pt idx="88">
                  <c:v>3/29</c:v>
                </c:pt>
                <c:pt idx="89">
                  <c:v>3/30</c:v>
                </c:pt>
                <c:pt idx="90">
                  <c:v>3/31</c:v>
                </c:pt>
                <c:pt idx="91">
                  <c:v>4/1</c:v>
                </c:pt>
                <c:pt idx="92">
                  <c:v>4/2</c:v>
                </c:pt>
                <c:pt idx="93">
                  <c:v>4/3</c:v>
                </c:pt>
                <c:pt idx="94">
                  <c:v>4/4</c:v>
                </c:pt>
                <c:pt idx="95">
                  <c:v>4/5</c:v>
                </c:pt>
                <c:pt idx="96">
                  <c:v>4/6</c:v>
                </c:pt>
                <c:pt idx="97">
                  <c:v>4/7</c:v>
                </c:pt>
                <c:pt idx="98">
                  <c:v>4/8</c:v>
                </c:pt>
                <c:pt idx="99">
                  <c:v>4/9</c:v>
                </c:pt>
                <c:pt idx="100">
                  <c:v>4/10</c:v>
                </c:pt>
                <c:pt idx="101">
                  <c:v>4/11</c:v>
                </c:pt>
                <c:pt idx="102">
                  <c:v>4/12</c:v>
                </c:pt>
                <c:pt idx="103">
                  <c:v>4/13</c:v>
                </c:pt>
                <c:pt idx="104">
                  <c:v>4/14</c:v>
                </c:pt>
                <c:pt idx="105">
                  <c:v>4/15</c:v>
                </c:pt>
                <c:pt idx="106">
                  <c:v>4/16</c:v>
                </c:pt>
                <c:pt idx="107">
                  <c:v>4/17</c:v>
                </c:pt>
                <c:pt idx="108">
                  <c:v>4/18</c:v>
                </c:pt>
                <c:pt idx="109">
                  <c:v>4/19</c:v>
                </c:pt>
                <c:pt idx="110">
                  <c:v>4/20</c:v>
                </c:pt>
                <c:pt idx="111">
                  <c:v>4/21</c:v>
                </c:pt>
                <c:pt idx="112">
                  <c:v>4/22</c:v>
                </c:pt>
                <c:pt idx="113">
                  <c:v>4/23</c:v>
                </c:pt>
                <c:pt idx="114">
                  <c:v>4/24</c:v>
                </c:pt>
                <c:pt idx="115">
                  <c:v>4/25</c:v>
                </c:pt>
                <c:pt idx="116">
                  <c:v>4/26</c:v>
                </c:pt>
                <c:pt idx="117">
                  <c:v>4/27</c:v>
                </c:pt>
                <c:pt idx="118">
                  <c:v>4/28</c:v>
                </c:pt>
                <c:pt idx="119">
                  <c:v>4/29</c:v>
                </c:pt>
                <c:pt idx="120">
                  <c:v>4/30</c:v>
                </c:pt>
                <c:pt idx="121">
                  <c:v>5/1</c:v>
                </c:pt>
                <c:pt idx="122">
                  <c:v>5/2</c:v>
                </c:pt>
                <c:pt idx="123">
                  <c:v>5/3</c:v>
                </c:pt>
                <c:pt idx="124">
                  <c:v>5/4</c:v>
                </c:pt>
                <c:pt idx="125">
                  <c:v>5/5</c:v>
                </c:pt>
                <c:pt idx="126">
                  <c:v>5/6</c:v>
                </c:pt>
                <c:pt idx="127">
                  <c:v>5/7</c:v>
                </c:pt>
                <c:pt idx="128">
                  <c:v>5/8</c:v>
                </c:pt>
                <c:pt idx="129">
                  <c:v>5/9</c:v>
                </c:pt>
                <c:pt idx="130">
                  <c:v>5/10</c:v>
                </c:pt>
                <c:pt idx="131">
                  <c:v>5/11</c:v>
                </c:pt>
                <c:pt idx="132">
                  <c:v>5/12</c:v>
                </c:pt>
                <c:pt idx="133">
                  <c:v>5/13</c:v>
                </c:pt>
                <c:pt idx="134">
                  <c:v>5/14</c:v>
                </c:pt>
                <c:pt idx="135">
                  <c:v>5/15</c:v>
                </c:pt>
                <c:pt idx="136">
                  <c:v>5/16</c:v>
                </c:pt>
                <c:pt idx="137">
                  <c:v>5/17</c:v>
                </c:pt>
                <c:pt idx="138">
                  <c:v>5/18</c:v>
                </c:pt>
                <c:pt idx="139">
                  <c:v>5/19</c:v>
                </c:pt>
                <c:pt idx="140">
                  <c:v>5/20</c:v>
                </c:pt>
                <c:pt idx="141">
                  <c:v>5/21</c:v>
                </c:pt>
                <c:pt idx="142">
                  <c:v>5/22</c:v>
                </c:pt>
                <c:pt idx="143">
                  <c:v>5/23</c:v>
                </c:pt>
                <c:pt idx="144">
                  <c:v>5/24</c:v>
                </c:pt>
                <c:pt idx="145">
                  <c:v>5/25</c:v>
                </c:pt>
                <c:pt idx="146">
                  <c:v>5/26</c:v>
                </c:pt>
                <c:pt idx="147">
                  <c:v>5/27</c:v>
                </c:pt>
                <c:pt idx="148">
                  <c:v>5/28</c:v>
                </c:pt>
                <c:pt idx="149">
                  <c:v>5/29</c:v>
                </c:pt>
                <c:pt idx="150">
                  <c:v>5/30</c:v>
                </c:pt>
                <c:pt idx="151">
                  <c:v>5/31</c:v>
                </c:pt>
                <c:pt idx="152">
                  <c:v>6/1</c:v>
                </c:pt>
                <c:pt idx="153">
                  <c:v>6/2</c:v>
                </c:pt>
                <c:pt idx="154">
                  <c:v>6/3</c:v>
                </c:pt>
                <c:pt idx="155">
                  <c:v>6/4</c:v>
                </c:pt>
                <c:pt idx="156">
                  <c:v>6/5</c:v>
                </c:pt>
                <c:pt idx="157">
                  <c:v>6/6</c:v>
                </c:pt>
                <c:pt idx="158">
                  <c:v>6/7</c:v>
                </c:pt>
                <c:pt idx="159">
                  <c:v>6/8</c:v>
                </c:pt>
                <c:pt idx="160">
                  <c:v>6/9</c:v>
                </c:pt>
                <c:pt idx="161">
                  <c:v>6/10</c:v>
                </c:pt>
                <c:pt idx="162">
                  <c:v>6/11</c:v>
                </c:pt>
                <c:pt idx="163">
                  <c:v>6/12</c:v>
                </c:pt>
                <c:pt idx="164">
                  <c:v>6/13</c:v>
                </c:pt>
                <c:pt idx="165">
                  <c:v>6/14</c:v>
                </c:pt>
                <c:pt idx="166">
                  <c:v>6/15</c:v>
                </c:pt>
                <c:pt idx="167">
                  <c:v>6/16</c:v>
                </c:pt>
                <c:pt idx="168">
                  <c:v>6/17</c:v>
                </c:pt>
                <c:pt idx="169">
                  <c:v>6/18</c:v>
                </c:pt>
                <c:pt idx="170">
                  <c:v>6/19</c:v>
                </c:pt>
                <c:pt idx="171">
                  <c:v>6/20</c:v>
                </c:pt>
                <c:pt idx="172">
                  <c:v>6/21</c:v>
                </c:pt>
                <c:pt idx="173">
                  <c:v>6/22</c:v>
                </c:pt>
                <c:pt idx="174">
                  <c:v>6/23</c:v>
                </c:pt>
                <c:pt idx="175">
                  <c:v>6/24</c:v>
                </c:pt>
                <c:pt idx="176">
                  <c:v>6/25</c:v>
                </c:pt>
                <c:pt idx="177">
                  <c:v>6/26</c:v>
                </c:pt>
                <c:pt idx="178">
                  <c:v>6/27</c:v>
                </c:pt>
                <c:pt idx="179">
                  <c:v>6/28</c:v>
                </c:pt>
                <c:pt idx="180">
                  <c:v>6/29</c:v>
                </c:pt>
                <c:pt idx="181">
                  <c:v>6/30</c:v>
                </c:pt>
                <c:pt idx="182">
                  <c:v>7/1</c:v>
                </c:pt>
                <c:pt idx="183">
                  <c:v>7/2</c:v>
                </c:pt>
                <c:pt idx="184">
                  <c:v>7/3</c:v>
                </c:pt>
                <c:pt idx="185">
                  <c:v>7/4</c:v>
                </c:pt>
                <c:pt idx="186">
                  <c:v>7/5</c:v>
                </c:pt>
                <c:pt idx="187">
                  <c:v>7/6</c:v>
                </c:pt>
                <c:pt idx="188">
                  <c:v>7/7</c:v>
                </c:pt>
                <c:pt idx="189">
                  <c:v>7/8</c:v>
                </c:pt>
                <c:pt idx="190">
                  <c:v>7/9</c:v>
                </c:pt>
                <c:pt idx="191">
                  <c:v>7/10</c:v>
                </c:pt>
                <c:pt idx="192">
                  <c:v>7/11</c:v>
                </c:pt>
                <c:pt idx="193">
                  <c:v>7/12</c:v>
                </c:pt>
                <c:pt idx="194">
                  <c:v>7/13</c:v>
                </c:pt>
                <c:pt idx="195">
                  <c:v>7/14</c:v>
                </c:pt>
                <c:pt idx="196">
                  <c:v>7/15</c:v>
                </c:pt>
                <c:pt idx="197">
                  <c:v>7/16</c:v>
                </c:pt>
                <c:pt idx="198">
                  <c:v>7/17</c:v>
                </c:pt>
                <c:pt idx="199">
                  <c:v>7/18</c:v>
                </c:pt>
                <c:pt idx="200">
                  <c:v>7/19</c:v>
                </c:pt>
                <c:pt idx="201">
                  <c:v>7/20</c:v>
                </c:pt>
                <c:pt idx="202">
                  <c:v>7/21</c:v>
                </c:pt>
                <c:pt idx="203">
                  <c:v>7/22</c:v>
                </c:pt>
                <c:pt idx="204">
                  <c:v>7/23</c:v>
                </c:pt>
                <c:pt idx="205">
                  <c:v>7/24</c:v>
                </c:pt>
                <c:pt idx="206">
                  <c:v>7/25</c:v>
                </c:pt>
                <c:pt idx="207">
                  <c:v>7/26</c:v>
                </c:pt>
                <c:pt idx="208">
                  <c:v>7/27</c:v>
                </c:pt>
                <c:pt idx="209">
                  <c:v>7/28</c:v>
                </c:pt>
                <c:pt idx="210">
                  <c:v>7/29</c:v>
                </c:pt>
                <c:pt idx="211">
                  <c:v>7/30</c:v>
                </c:pt>
                <c:pt idx="212">
                  <c:v>7/31</c:v>
                </c:pt>
                <c:pt idx="213">
                  <c:v>8/1</c:v>
                </c:pt>
                <c:pt idx="214">
                  <c:v>8/2</c:v>
                </c:pt>
                <c:pt idx="215">
                  <c:v>8/3</c:v>
                </c:pt>
                <c:pt idx="216">
                  <c:v>8/4</c:v>
                </c:pt>
                <c:pt idx="217">
                  <c:v>8/5</c:v>
                </c:pt>
                <c:pt idx="218">
                  <c:v>8/6</c:v>
                </c:pt>
                <c:pt idx="219">
                  <c:v>8/7</c:v>
                </c:pt>
                <c:pt idx="220">
                  <c:v>8/8</c:v>
                </c:pt>
                <c:pt idx="221">
                  <c:v>8/9</c:v>
                </c:pt>
                <c:pt idx="222">
                  <c:v>8/10</c:v>
                </c:pt>
                <c:pt idx="223">
                  <c:v>8/11</c:v>
                </c:pt>
                <c:pt idx="224">
                  <c:v>8/12</c:v>
                </c:pt>
                <c:pt idx="225">
                  <c:v>8/13</c:v>
                </c:pt>
                <c:pt idx="226">
                  <c:v>8/14</c:v>
                </c:pt>
                <c:pt idx="227">
                  <c:v>8/15</c:v>
                </c:pt>
                <c:pt idx="228">
                  <c:v>8/16</c:v>
                </c:pt>
                <c:pt idx="229">
                  <c:v>8/17</c:v>
                </c:pt>
                <c:pt idx="230">
                  <c:v>8/18</c:v>
                </c:pt>
                <c:pt idx="231">
                  <c:v>8/19</c:v>
                </c:pt>
                <c:pt idx="232">
                  <c:v>8/20</c:v>
                </c:pt>
                <c:pt idx="233">
                  <c:v>8/21</c:v>
                </c:pt>
                <c:pt idx="234">
                  <c:v>8/22</c:v>
                </c:pt>
                <c:pt idx="235">
                  <c:v>8/23</c:v>
                </c:pt>
                <c:pt idx="236">
                  <c:v>8/24</c:v>
                </c:pt>
                <c:pt idx="237">
                  <c:v>8/25</c:v>
                </c:pt>
                <c:pt idx="238">
                  <c:v>8/26</c:v>
                </c:pt>
                <c:pt idx="239">
                  <c:v>8/27</c:v>
                </c:pt>
                <c:pt idx="240">
                  <c:v>8/28</c:v>
                </c:pt>
                <c:pt idx="241">
                  <c:v>8/29</c:v>
                </c:pt>
                <c:pt idx="242">
                  <c:v>8/30</c:v>
                </c:pt>
                <c:pt idx="243">
                  <c:v>8/31</c:v>
                </c:pt>
                <c:pt idx="244">
                  <c:v>9/1</c:v>
                </c:pt>
                <c:pt idx="245">
                  <c:v>9/2</c:v>
                </c:pt>
                <c:pt idx="246">
                  <c:v>9/3</c:v>
                </c:pt>
                <c:pt idx="247">
                  <c:v>9/4</c:v>
                </c:pt>
                <c:pt idx="248">
                  <c:v>9/5</c:v>
                </c:pt>
                <c:pt idx="249">
                  <c:v>9/6</c:v>
                </c:pt>
                <c:pt idx="250">
                  <c:v>9/7</c:v>
                </c:pt>
                <c:pt idx="251">
                  <c:v>9/8</c:v>
                </c:pt>
                <c:pt idx="252">
                  <c:v>9/9</c:v>
                </c:pt>
                <c:pt idx="253">
                  <c:v>9/10</c:v>
                </c:pt>
                <c:pt idx="254">
                  <c:v>9/11</c:v>
                </c:pt>
                <c:pt idx="255">
                  <c:v>9/12</c:v>
                </c:pt>
                <c:pt idx="256">
                  <c:v>9/13</c:v>
                </c:pt>
                <c:pt idx="257">
                  <c:v>9/14</c:v>
                </c:pt>
                <c:pt idx="258">
                  <c:v>9/15</c:v>
                </c:pt>
                <c:pt idx="259">
                  <c:v>9/16</c:v>
                </c:pt>
                <c:pt idx="260">
                  <c:v>9/17</c:v>
                </c:pt>
                <c:pt idx="261">
                  <c:v>9/18</c:v>
                </c:pt>
                <c:pt idx="262">
                  <c:v>9/19</c:v>
                </c:pt>
                <c:pt idx="263">
                  <c:v>9/20</c:v>
                </c:pt>
                <c:pt idx="264">
                  <c:v>9/21</c:v>
                </c:pt>
                <c:pt idx="265">
                  <c:v>9/22</c:v>
                </c:pt>
                <c:pt idx="266">
                  <c:v>9/23</c:v>
                </c:pt>
                <c:pt idx="267">
                  <c:v>9/24</c:v>
                </c:pt>
                <c:pt idx="268">
                  <c:v>9/25</c:v>
                </c:pt>
                <c:pt idx="269">
                  <c:v>9/26</c:v>
                </c:pt>
                <c:pt idx="270">
                  <c:v>9/27</c:v>
                </c:pt>
                <c:pt idx="271">
                  <c:v>9/28</c:v>
                </c:pt>
                <c:pt idx="272">
                  <c:v>9/29</c:v>
                </c:pt>
                <c:pt idx="273">
                  <c:v>9/30</c:v>
                </c:pt>
                <c:pt idx="274">
                  <c:v>10/1</c:v>
                </c:pt>
                <c:pt idx="275">
                  <c:v>10/2</c:v>
                </c:pt>
                <c:pt idx="276">
                  <c:v>10/3</c:v>
                </c:pt>
                <c:pt idx="277">
                  <c:v>10/4</c:v>
                </c:pt>
                <c:pt idx="278">
                  <c:v>10/5</c:v>
                </c:pt>
                <c:pt idx="279">
                  <c:v>10/6</c:v>
                </c:pt>
                <c:pt idx="280">
                  <c:v>10/7</c:v>
                </c:pt>
                <c:pt idx="281">
                  <c:v>10/8</c:v>
                </c:pt>
                <c:pt idx="282">
                  <c:v>10/9</c:v>
                </c:pt>
                <c:pt idx="283">
                  <c:v>10/10</c:v>
                </c:pt>
                <c:pt idx="284">
                  <c:v>10/11</c:v>
                </c:pt>
                <c:pt idx="285">
                  <c:v>10/12</c:v>
                </c:pt>
                <c:pt idx="286">
                  <c:v>10/13</c:v>
                </c:pt>
                <c:pt idx="287">
                  <c:v>10/14</c:v>
                </c:pt>
                <c:pt idx="288">
                  <c:v>10/15</c:v>
                </c:pt>
                <c:pt idx="289">
                  <c:v>10/16</c:v>
                </c:pt>
                <c:pt idx="290">
                  <c:v>10/17</c:v>
                </c:pt>
                <c:pt idx="291">
                  <c:v>10/18</c:v>
                </c:pt>
                <c:pt idx="292">
                  <c:v>10/19</c:v>
                </c:pt>
                <c:pt idx="293">
                  <c:v>10/20</c:v>
                </c:pt>
                <c:pt idx="294">
                  <c:v>10/21</c:v>
                </c:pt>
                <c:pt idx="295">
                  <c:v>10/22</c:v>
                </c:pt>
                <c:pt idx="296">
                  <c:v>10/23</c:v>
                </c:pt>
                <c:pt idx="297">
                  <c:v>10/24</c:v>
                </c:pt>
                <c:pt idx="298">
                  <c:v>10/25</c:v>
                </c:pt>
                <c:pt idx="299">
                  <c:v>10/26</c:v>
                </c:pt>
                <c:pt idx="300">
                  <c:v>10/27</c:v>
                </c:pt>
                <c:pt idx="301">
                  <c:v>10/28</c:v>
                </c:pt>
                <c:pt idx="302">
                  <c:v>10/29</c:v>
                </c:pt>
                <c:pt idx="303">
                  <c:v>10/30</c:v>
                </c:pt>
                <c:pt idx="304">
                  <c:v>10/31</c:v>
                </c:pt>
                <c:pt idx="305">
                  <c:v>11/1</c:v>
                </c:pt>
                <c:pt idx="306">
                  <c:v>11/2</c:v>
                </c:pt>
                <c:pt idx="307">
                  <c:v>11/3</c:v>
                </c:pt>
                <c:pt idx="308">
                  <c:v>11/4</c:v>
                </c:pt>
                <c:pt idx="309">
                  <c:v>11/5</c:v>
                </c:pt>
                <c:pt idx="310">
                  <c:v>11/6</c:v>
                </c:pt>
                <c:pt idx="311">
                  <c:v>11/7</c:v>
                </c:pt>
                <c:pt idx="312">
                  <c:v>11/8</c:v>
                </c:pt>
                <c:pt idx="313">
                  <c:v>11/9</c:v>
                </c:pt>
                <c:pt idx="314">
                  <c:v>11/10</c:v>
                </c:pt>
                <c:pt idx="315">
                  <c:v>11/11</c:v>
                </c:pt>
                <c:pt idx="316">
                  <c:v>11/12</c:v>
                </c:pt>
                <c:pt idx="317">
                  <c:v>11/13</c:v>
                </c:pt>
                <c:pt idx="318">
                  <c:v>11/14</c:v>
                </c:pt>
                <c:pt idx="319">
                  <c:v>11/15</c:v>
                </c:pt>
                <c:pt idx="320">
                  <c:v>11/16</c:v>
                </c:pt>
                <c:pt idx="321">
                  <c:v>11/17</c:v>
                </c:pt>
                <c:pt idx="322">
                  <c:v>11/18</c:v>
                </c:pt>
                <c:pt idx="323">
                  <c:v>11/19</c:v>
                </c:pt>
                <c:pt idx="324">
                  <c:v>11/20</c:v>
                </c:pt>
                <c:pt idx="325">
                  <c:v>11/21</c:v>
                </c:pt>
                <c:pt idx="326">
                  <c:v>11/22</c:v>
                </c:pt>
                <c:pt idx="327">
                  <c:v>11/23</c:v>
                </c:pt>
                <c:pt idx="328">
                  <c:v>11/24</c:v>
                </c:pt>
                <c:pt idx="329">
                  <c:v>11/25</c:v>
                </c:pt>
                <c:pt idx="330">
                  <c:v>11/26</c:v>
                </c:pt>
                <c:pt idx="331">
                  <c:v>11/27</c:v>
                </c:pt>
                <c:pt idx="332">
                  <c:v>11/28</c:v>
                </c:pt>
                <c:pt idx="333">
                  <c:v>11/29</c:v>
                </c:pt>
                <c:pt idx="334">
                  <c:v>11/30</c:v>
                </c:pt>
                <c:pt idx="335">
                  <c:v>12/1</c:v>
                </c:pt>
                <c:pt idx="336">
                  <c:v>12/2</c:v>
                </c:pt>
                <c:pt idx="337">
                  <c:v>12/3</c:v>
                </c:pt>
                <c:pt idx="338">
                  <c:v>12/4</c:v>
                </c:pt>
                <c:pt idx="339">
                  <c:v>12/5</c:v>
                </c:pt>
                <c:pt idx="340">
                  <c:v>12/6</c:v>
                </c:pt>
                <c:pt idx="341">
                  <c:v>12/7</c:v>
                </c:pt>
                <c:pt idx="342">
                  <c:v>12/8</c:v>
                </c:pt>
                <c:pt idx="343">
                  <c:v>12/9</c:v>
                </c:pt>
                <c:pt idx="344">
                  <c:v>12/10</c:v>
                </c:pt>
                <c:pt idx="345">
                  <c:v>12/11</c:v>
                </c:pt>
                <c:pt idx="346">
                  <c:v>12/12</c:v>
                </c:pt>
                <c:pt idx="347">
                  <c:v>12/13</c:v>
                </c:pt>
                <c:pt idx="348">
                  <c:v>12/14</c:v>
                </c:pt>
                <c:pt idx="349">
                  <c:v>12/15</c:v>
                </c:pt>
                <c:pt idx="350">
                  <c:v>12/16</c:v>
                </c:pt>
                <c:pt idx="351">
                  <c:v>12/17</c:v>
                </c:pt>
                <c:pt idx="352">
                  <c:v>12/18</c:v>
                </c:pt>
                <c:pt idx="353">
                  <c:v>12/19</c:v>
                </c:pt>
                <c:pt idx="354">
                  <c:v>12/20</c:v>
                </c:pt>
                <c:pt idx="355">
                  <c:v>12/21</c:v>
                </c:pt>
                <c:pt idx="356">
                  <c:v>12/22</c:v>
                </c:pt>
                <c:pt idx="357">
                  <c:v>12/23</c:v>
                </c:pt>
                <c:pt idx="358">
                  <c:v>12/24</c:v>
                </c:pt>
                <c:pt idx="359">
                  <c:v>12/25</c:v>
                </c:pt>
                <c:pt idx="360">
                  <c:v>12/26</c:v>
                </c:pt>
                <c:pt idx="361">
                  <c:v>12/27</c:v>
                </c:pt>
                <c:pt idx="362">
                  <c:v>12/28</c:v>
                </c:pt>
                <c:pt idx="363">
                  <c:v>12/29</c:v>
                </c:pt>
                <c:pt idx="364">
                  <c:v>12/30</c:v>
                </c:pt>
                <c:pt idx="365">
                  <c:v>12/31</c:v>
                </c:pt>
              </c:strCache>
            </c:strRef>
          </c:cat>
          <c:val>
            <c:numRef>
              <c:f>'Pages+'!$AS$2:$AS$367</c:f>
              <c:numCache>
                <c:formatCode>General</c:formatCode>
                <c:ptCount val="366"/>
                <c:pt idx="0">
                  <c:v>102</c:v>
                </c:pt>
                <c:pt idx="1">
                  <c:v>255</c:v>
                </c:pt>
                <c:pt idx="2">
                  <c:v>394</c:v>
                </c:pt>
                <c:pt idx="3">
                  <c:v>430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477</c:v>
                </c:pt>
                <c:pt idx="8">
                  <c:v>496</c:v>
                </c:pt>
                <c:pt idx="9">
                  <c:v>496</c:v>
                </c:pt>
                <c:pt idx="10">
                  <c:v>496</c:v>
                </c:pt>
                <c:pt idx="11">
                  <c:v>532</c:v>
                </c:pt>
                <c:pt idx="12">
                  <c:v>532</c:v>
                </c:pt>
                <c:pt idx="13">
                  <c:v>583</c:v>
                </c:pt>
                <c:pt idx="14">
                  <c:v>620</c:v>
                </c:pt>
                <c:pt idx="15">
                  <c:v>661</c:v>
                </c:pt>
                <c:pt idx="16">
                  <c:v>749</c:v>
                </c:pt>
                <c:pt idx="17">
                  <c:v>803</c:v>
                </c:pt>
                <c:pt idx="18">
                  <c:v>803</c:v>
                </c:pt>
                <c:pt idx="19">
                  <c:v>803</c:v>
                </c:pt>
                <c:pt idx="20">
                  <c:v>917</c:v>
                </c:pt>
                <c:pt idx="21">
                  <c:v>917</c:v>
                </c:pt>
                <c:pt idx="22">
                  <c:v>917</c:v>
                </c:pt>
                <c:pt idx="23">
                  <c:v>917</c:v>
                </c:pt>
                <c:pt idx="24">
                  <c:v>917</c:v>
                </c:pt>
                <c:pt idx="25">
                  <c:v>935</c:v>
                </c:pt>
                <c:pt idx="26">
                  <c:v>935</c:v>
                </c:pt>
                <c:pt idx="27">
                  <c:v>951</c:v>
                </c:pt>
                <c:pt idx="28">
                  <c:v>1023</c:v>
                </c:pt>
                <c:pt idx="29">
                  <c:v>1101</c:v>
                </c:pt>
                <c:pt idx="30">
                  <c:v>1319</c:v>
                </c:pt>
                <c:pt idx="31">
                  <c:v>1319</c:v>
                </c:pt>
                <c:pt idx="32">
                  <c:v>1319</c:v>
                </c:pt>
                <c:pt idx="33">
                  <c:v>1356</c:v>
                </c:pt>
                <c:pt idx="34">
                  <c:v>1356</c:v>
                </c:pt>
                <c:pt idx="35">
                  <c:v>1563</c:v>
                </c:pt>
                <c:pt idx="36">
                  <c:v>1563</c:v>
                </c:pt>
                <c:pt idx="37">
                  <c:v>1605</c:v>
                </c:pt>
                <c:pt idx="38">
                  <c:v>1605</c:v>
                </c:pt>
                <c:pt idx="39">
                  <c:v>1605</c:v>
                </c:pt>
                <c:pt idx="40">
                  <c:v>1605</c:v>
                </c:pt>
                <c:pt idx="41">
                  <c:v>1605</c:v>
                </c:pt>
                <c:pt idx="42">
                  <c:v>1638</c:v>
                </c:pt>
                <c:pt idx="43">
                  <c:v>1681</c:v>
                </c:pt>
                <c:pt idx="44">
                  <c:v>1746</c:v>
                </c:pt>
                <c:pt idx="45">
                  <c:v>1746</c:v>
                </c:pt>
                <c:pt idx="46">
                  <c:v>1746</c:v>
                </c:pt>
                <c:pt idx="47">
                  <c:v>1746</c:v>
                </c:pt>
                <c:pt idx="48">
                  <c:v>1746</c:v>
                </c:pt>
                <c:pt idx="49">
                  <c:v>1746</c:v>
                </c:pt>
                <c:pt idx="50">
                  <c:v>1746</c:v>
                </c:pt>
                <c:pt idx="51">
                  <c:v>1746</c:v>
                </c:pt>
                <c:pt idx="52">
                  <c:v>1746</c:v>
                </c:pt>
                <c:pt idx="53">
                  <c:v>1746</c:v>
                </c:pt>
                <c:pt idx="54">
                  <c:v>1746</c:v>
                </c:pt>
                <c:pt idx="55">
                  <c:v>1746</c:v>
                </c:pt>
                <c:pt idx="56">
                  <c:v>1746</c:v>
                </c:pt>
                <c:pt idx="57">
                  <c:v>1746</c:v>
                </c:pt>
                <c:pt idx="58">
                  <c:v>1746</c:v>
                </c:pt>
                <c:pt idx="59">
                  <c:v>1746</c:v>
                </c:pt>
                <c:pt idx="60">
                  <c:v>1746</c:v>
                </c:pt>
                <c:pt idx="61">
                  <c:v>1823</c:v>
                </c:pt>
                <c:pt idx="62">
                  <c:v>1823</c:v>
                </c:pt>
                <c:pt idx="63">
                  <c:v>1844</c:v>
                </c:pt>
                <c:pt idx="64">
                  <c:v>1844</c:v>
                </c:pt>
                <c:pt idx="65">
                  <c:v>1844</c:v>
                </c:pt>
                <c:pt idx="66">
                  <c:v>1844</c:v>
                </c:pt>
                <c:pt idx="67">
                  <c:v>1844</c:v>
                </c:pt>
                <c:pt idx="68">
                  <c:v>1844</c:v>
                </c:pt>
                <c:pt idx="69">
                  <c:v>1844</c:v>
                </c:pt>
                <c:pt idx="70">
                  <c:v>1844</c:v>
                </c:pt>
                <c:pt idx="71">
                  <c:v>1844</c:v>
                </c:pt>
                <c:pt idx="72">
                  <c:v>1844</c:v>
                </c:pt>
                <c:pt idx="73">
                  <c:v>1844</c:v>
                </c:pt>
                <c:pt idx="74">
                  <c:v>1844</c:v>
                </c:pt>
                <c:pt idx="75">
                  <c:v>1844</c:v>
                </c:pt>
                <c:pt idx="76">
                  <c:v>1844</c:v>
                </c:pt>
                <c:pt idx="77">
                  <c:v>1844</c:v>
                </c:pt>
                <c:pt idx="78">
                  <c:v>1844</c:v>
                </c:pt>
                <c:pt idx="79">
                  <c:v>1844</c:v>
                </c:pt>
                <c:pt idx="80">
                  <c:v>1844</c:v>
                </c:pt>
                <c:pt idx="81">
                  <c:v>1844</c:v>
                </c:pt>
                <c:pt idx="82">
                  <c:v>1844</c:v>
                </c:pt>
                <c:pt idx="83">
                  <c:v>1900</c:v>
                </c:pt>
                <c:pt idx="84">
                  <c:v>1900</c:v>
                </c:pt>
                <c:pt idx="85">
                  <c:v>1900</c:v>
                </c:pt>
                <c:pt idx="86">
                  <c:v>1949</c:v>
                </c:pt>
                <c:pt idx="87">
                  <c:v>1949</c:v>
                </c:pt>
                <c:pt idx="88">
                  <c:v>1949</c:v>
                </c:pt>
                <c:pt idx="89">
                  <c:v>1949</c:v>
                </c:pt>
                <c:pt idx="90">
                  <c:v>2024</c:v>
                </c:pt>
                <c:pt idx="91">
                  <c:v>2067</c:v>
                </c:pt>
                <c:pt idx="92">
                  <c:v>2067</c:v>
                </c:pt>
                <c:pt idx="93">
                  <c:v>2150</c:v>
                </c:pt>
                <c:pt idx="94">
                  <c:v>2150</c:v>
                </c:pt>
                <c:pt idx="95">
                  <c:v>2181</c:v>
                </c:pt>
                <c:pt idx="96">
                  <c:v>2206</c:v>
                </c:pt>
                <c:pt idx="97">
                  <c:v>2206</c:v>
                </c:pt>
                <c:pt idx="98">
                  <c:v>2206</c:v>
                </c:pt>
                <c:pt idx="99">
                  <c:v>2206</c:v>
                </c:pt>
                <c:pt idx="100">
                  <c:v>2238</c:v>
                </c:pt>
                <c:pt idx="101">
                  <c:v>2238</c:v>
                </c:pt>
                <c:pt idx="102">
                  <c:v>2238</c:v>
                </c:pt>
                <c:pt idx="103">
                  <c:v>2238</c:v>
                </c:pt>
                <c:pt idx="104">
                  <c:v>2238</c:v>
                </c:pt>
                <c:pt idx="105">
                  <c:v>2238</c:v>
                </c:pt>
                <c:pt idx="106">
                  <c:v>2238</c:v>
                </c:pt>
                <c:pt idx="107">
                  <c:v>2238</c:v>
                </c:pt>
                <c:pt idx="108">
                  <c:v>2274</c:v>
                </c:pt>
                <c:pt idx="109">
                  <c:v>2274</c:v>
                </c:pt>
                <c:pt idx="110">
                  <c:v>2274</c:v>
                </c:pt>
                <c:pt idx="111">
                  <c:v>2274</c:v>
                </c:pt>
                <c:pt idx="112">
                  <c:v>2386</c:v>
                </c:pt>
                <c:pt idx="113">
                  <c:v>2430</c:v>
                </c:pt>
                <c:pt idx="114">
                  <c:v>2467</c:v>
                </c:pt>
                <c:pt idx="115">
                  <c:v>2571</c:v>
                </c:pt>
                <c:pt idx="116">
                  <c:v>2650</c:v>
                </c:pt>
                <c:pt idx="117">
                  <c:v>2714</c:v>
                </c:pt>
                <c:pt idx="118">
                  <c:v>2778</c:v>
                </c:pt>
                <c:pt idx="119">
                  <c:v>2859</c:v>
                </c:pt>
                <c:pt idx="120">
                  <c:v>2913</c:v>
                </c:pt>
                <c:pt idx="121">
                  <c:v>2952</c:v>
                </c:pt>
                <c:pt idx="122">
                  <c:v>2952</c:v>
                </c:pt>
                <c:pt idx="123">
                  <c:v>2952</c:v>
                </c:pt>
                <c:pt idx="124">
                  <c:v>2952</c:v>
                </c:pt>
                <c:pt idx="125">
                  <c:v>2952</c:v>
                </c:pt>
                <c:pt idx="126">
                  <c:v>2996</c:v>
                </c:pt>
                <c:pt idx="127">
                  <c:v>3020</c:v>
                </c:pt>
                <c:pt idx="128">
                  <c:v>3021</c:v>
                </c:pt>
                <c:pt idx="129">
                  <c:v>3043</c:v>
                </c:pt>
                <c:pt idx="130">
                  <c:v>3043</c:v>
                </c:pt>
                <c:pt idx="131">
                  <c:v>3053</c:v>
                </c:pt>
                <c:pt idx="132">
                  <c:v>3053</c:v>
                </c:pt>
                <c:pt idx="133">
                  <c:v>3104</c:v>
                </c:pt>
                <c:pt idx="134">
                  <c:v>3224</c:v>
                </c:pt>
                <c:pt idx="135">
                  <c:v>3309</c:v>
                </c:pt>
                <c:pt idx="136">
                  <c:v>3519</c:v>
                </c:pt>
                <c:pt idx="137">
                  <c:v>3565</c:v>
                </c:pt>
                <c:pt idx="138">
                  <c:v>3648</c:v>
                </c:pt>
                <c:pt idx="139">
                  <c:v>3732</c:v>
                </c:pt>
                <c:pt idx="140">
                  <c:v>3872</c:v>
                </c:pt>
                <c:pt idx="141">
                  <c:v>3970</c:v>
                </c:pt>
                <c:pt idx="142">
                  <c:v>3997</c:v>
                </c:pt>
                <c:pt idx="143">
                  <c:v>3997</c:v>
                </c:pt>
                <c:pt idx="144">
                  <c:v>3998</c:v>
                </c:pt>
                <c:pt idx="145">
                  <c:v>3998</c:v>
                </c:pt>
                <c:pt idx="146">
                  <c:v>3998</c:v>
                </c:pt>
                <c:pt idx="147">
                  <c:v>3998</c:v>
                </c:pt>
                <c:pt idx="148">
                  <c:v>4001</c:v>
                </c:pt>
                <c:pt idx="149">
                  <c:v>4076</c:v>
                </c:pt>
                <c:pt idx="150">
                  <c:v>4076</c:v>
                </c:pt>
                <c:pt idx="151">
                  <c:v>4187</c:v>
                </c:pt>
                <c:pt idx="152">
                  <c:v>4187</c:v>
                </c:pt>
                <c:pt idx="153">
                  <c:v>4187</c:v>
                </c:pt>
                <c:pt idx="154">
                  <c:v>4187</c:v>
                </c:pt>
                <c:pt idx="155">
                  <c:v>4187</c:v>
                </c:pt>
                <c:pt idx="156">
                  <c:v>4188</c:v>
                </c:pt>
                <c:pt idx="157">
                  <c:v>4188</c:v>
                </c:pt>
                <c:pt idx="158">
                  <c:v>4188</c:v>
                </c:pt>
                <c:pt idx="159">
                  <c:v>4188</c:v>
                </c:pt>
                <c:pt idx="160">
                  <c:v>4188</c:v>
                </c:pt>
                <c:pt idx="161">
                  <c:v>4188</c:v>
                </c:pt>
                <c:pt idx="162">
                  <c:v>4188</c:v>
                </c:pt>
                <c:pt idx="163">
                  <c:v>4188</c:v>
                </c:pt>
                <c:pt idx="164">
                  <c:v>4188</c:v>
                </c:pt>
                <c:pt idx="165">
                  <c:v>4188</c:v>
                </c:pt>
                <c:pt idx="166">
                  <c:v>4188</c:v>
                </c:pt>
                <c:pt idx="167">
                  <c:v>4188</c:v>
                </c:pt>
                <c:pt idx="168">
                  <c:v>4189</c:v>
                </c:pt>
                <c:pt idx="169">
                  <c:v>4190</c:v>
                </c:pt>
                <c:pt idx="170">
                  <c:v>4190</c:v>
                </c:pt>
                <c:pt idx="171">
                  <c:v>4190</c:v>
                </c:pt>
                <c:pt idx="172">
                  <c:v>4190</c:v>
                </c:pt>
                <c:pt idx="173">
                  <c:v>4190</c:v>
                </c:pt>
                <c:pt idx="174">
                  <c:v>4190</c:v>
                </c:pt>
                <c:pt idx="175">
                  <c:v>4191</c:v>
                </c:pt>
                <c:pt idx="176">
                  <c:v>4192</c:v>
                </c:pt>
                <c:pt idx="177">
                  <c:v>4192</c:v>
                </c:pt>
                <c:pt idx="178">
                  <c:v>4192</c:v>
                </c:pt>
                <c:pt idx="179">
                  <c:v>4192</c:v>
                </c:pt>
                <c:pt idx="180">
                  <c:v>4192</c:v>
                </c:pt>
                <c:pt idx="181">
                  <c:v>4192</c:v>
                </c:pt>
                <c:pt idx="182">
                  <c:v>4192</c:v>
                </c:pt>
                <c:pt idx="183">
                  <c:v>4192</c:v>
                </c:pt>
                <c:pt idx="184">
                  <c:v>4192</c:v>
                </c:pt>
                <c:pt idx="185">
                  <c:v>4192</c:v>
                </c:pt>
                <c:pt idx="186">
                  <c:v>4192</c:v>
                </c:pt>
                <c:pt idx="187">
                  <c:v>4192</c:v>
                </c:pt>
                <c:pt idx="188">
                  <c:v>4192</c:v>
                </c:pt>
                <c:pt idx="189">
                  <c:v>4192</c:v>
                </c:pt>
                <c:pt idx="190">
                  <c:v>4196</c:v>
                </c:pt>
                <c:pt idx="191">
                  <c:v>4196</c:v>
                </c:pt>
                <c:pt idx="192">
                  <c:v>4196</c:v>
                </c:pt>
                <c:pt idx="193">
                  <c:v>4196</c:v>
                </c:pt>
                <c:pt idx="194">
                  <c:v>4196</c:v>
                </c:pt>
                <c:pt idx="195">
                  <c:v>4196</c:v>
                </c:pt>
                <c:pt idx="196">
                  <c:v>4196</c:v>
                </c:pt>
                <c:pt idx="197">
                  <c:v>4196</c:v>
                </c:pt>
                <c:pt idx="198">
                  <c:v>4196</c:v>
                </c:pt>
                <c:pt idx="199">
                  <c:v>4196</c:v>
                </c:pt>
                <c:pt idx="200">
                  <c:v>4196</c:v>
                </c:pt>
                <c:pt idx="201">
                  <c:v>4196</c:v>
                </c:pt>
                <c:pt idx="202">
                  <c:v>4196</c:v>
                </c:pt>
                <c:pt idx="203">
                  <c:v>4196</c:v>
                </c:pt>
                <c:pt idx="204">
                  <c:v>4200</c:v>
                </c:pt>
                <c:pt idx="205">
                  <c:v>4200</c:v>
                </c:pt>
                <c:pt idx="206">
                  <c:v>4200</c:v>
                </c:pt>
                <c:pt idx="207">
                  <c:v>4200</c:v>
                </c:pt>
                <c:pt idx="208">
                  <c:v>4200</c:v>
                </c:pt>
                <c:pt idx="209">
                  <c:v>4200</c:v>
                </c:pt>
                <c:pt idx="210">
                  <c:v>4205</c:v>
                </c:pt>
                <c:pt idx="211">
                  <c:v>4206</c:v>
                </c:pt>
                <c:pt idx="212">
                  <c:v>4206</c:v>
                </c:pt>
                <c:pt idx="213">
                  <c:v>4206</c:v>
                </c:pt>
                <c:pt idx="214">
                  <c:v>4206</c:v>
                </c:pt>
                <c:pt idx="215">
                  <c:v>4206</c:v>
                </c:pt>
                <c:pt idx="216">
                  <c:v>4206</c:v>
                </c:pt>
                <c:pt idx="217">
                  <c:v>4243</c:v>
                </c:pt>
                <c:pt idx="218">
                  <c:v>4243</c:v>
                </c:pt>
                <c:pt idx="219">
                  <c:v>4275</c:v>
                </c:pt>
                <c:pt idx="220">
                  <c:v>4275</c:v>
                </c:pt>
                <c:pt idx="221">
                  <c:v>4275</c:v>
                </c:pt>
                <c:pt idx="222">
                  <c:v>4275</c:v>
                </c:pt>
                <c:pt idx="223">
                  <c:v>4275</c:v>
                </c:pt>
                <c:pt idx="224">
                  <c:v>4321</c:v>
                </c:pt>
                <c:pt idx="225">
                  <c:v>4321</c:v>
                </c:pt>
                <c:pt idx="226">
                  <c:v>4321</c:v>
                </c:pt>
                <c:pt idx="227">
                  <c:v>4321</c:v>
                </c:pt>
                <c:pt idx="228">
                  <c:v>4321</c:v>
                </c:pt>
                <c:pt idx="229">
                  <c:v>4321</c:v>
                </c:pt>
                <c:pt idx="230">
                  <c:v>4321</c:v>
                </c:pt>
                <c:pt idx="231">
                  <c:v>4321</c:v>
                </c:pt>
                <c:pt idx="232">
                  <c:v>4321</c:v>
                </c:pt>
                <c:pt idx="233">
                  <c:v>4321</c:v>
                </c:pt>
                <c:pt idx="234">
                  <c:v>4321</c:v>
                </c:pt>
                <c:pt idx="235">
                  <c:v>4321</c:v>
                </c:pt>
                <c:pt idx="236">
                  <c:v>4321</c:v>
                </c:pt>
                <c:pt idx="237">
                  <c:v>4321</c:v>
                </c:pt>
                <c:pt idx="238">
                  <c:v>4356</c:v>
                </c:pt>
                <c:pt idx="239">
                  <c:v>4376</c:v>
                </c:pt>
                <c:pt idx="240">
                  <c:v>4435</c:v>
                </c:pt>
                <c:pt idx="241">
                  <c:v>4435</c:v>
                </c:pt>
                <c:pt idx="242">
                  <c:v>4435</c:v>
                </c:pt>
                <c:pt idx="243">
                  <c:v>4435</c:v>
                </c:pt>
                <c:pt idx="244">
                  <c:v>4562</c:v>
                </c:pt>
                <c:pt idx="245">
                  <c:v>4584</c:v>
                </c:pt>
                <c:pt idx="246">
                  <c:v>4654</c:v>
                </c:pt>
                <c:pt idx="247">
                  <c:v>4716</c:v>
                </c:pt>
                <c:pt idx="248">
                  <c:v>4723</c:v>
                </c:pt>
                <c:pt idx="249">
                  <c:v>4730</c:v>
                </c:pt>
                <c:pt idx="250">
                  <c:v>4731</c:v>
                </c:pt>
                <c:pt idx="251">
                  <c:v>4731</c:v>
                </c:pt>
                <c:pt idx="252">
                  <c:v>4731</c:v>
                </c:pt>
                <c:pt idx="253">
                  <c:v>4731</c:v>
                </c:pt>
                <c:pt idx="254">
                  <c:v>4731</c:v>
                </c:pt>
                <c:pt idx="255">
                  <c:v>4731</c:v>
                </c:pt>
                <c:pt idx="256">
                  <c:v>4731</c:v>
                </c:pt>
                <c:pt idx="257">
                  <c:v>4792</c:v>
                </c:pt>
                <c:pt idx="258">
                  <c:v>4800</c:v>
                </c:pt>
                <c:pt idx="259">
                  <c:v>4819</c:v>
                </c:pt>
                <c:pt idx="260">
                  <c:v>4871</c:v>
                </c:pt>
                <c:pt idx="261">
                  <c:v>4871</c:v>
                </c:pt>
                <c:pt idx="262">
                  <c:v>4871</c:v>
                </c:pt>
                <c:pt idx="263">
                  <c:v>4871</c:v>
                </c:pt>
                <c:pt idx="264">
                  <c:v>4871</c:v>
                </c:pt>
                <c:pt idx="265">
                  <c:v>4871</c:v>
                </c:pt>
                <c:pt idx="266">
                  <c:v>4931</c:v>
                </c:pt>
                <c:pt idx="267">
                  <c:v>4941</c:v>
                </c:pt>
                <c:pt idx="268">
                  <c:v>4989</c:v>
                </c:pt>
                <c:pt idx="269">
                  <c:v>4989</c:v>
                </c:pt>
                <c:pt idx="270">
                  <c:v>4989</c:v>
                </c:pt>
                <c:pt idx="271">
                  <c:v>4989</c:v>
                </c:pt>
                <c:pt idx="272">
                  <c:v>4989</c:v>
                </c:pt>
                <c:pt idx="273">
                  <c:v>4989</c:v>
                </c:pt>
                <c:pt idx="274">
                  <c:v>4989</c:v>
                </c:pt>
                <c:pt idx="275">
                  <c:v>5063</c:v>
                </c:pt>
                <c:pt idx="276">
                  <c:v>5211</c:v>
                </c:pt>
                <c:pt idx="277">
                  <c:v>5215</c:v>
                </c:pt>
                <c:pt idx="278">
                  <c:v>5239</c:v>
                </c:pt>
                <c:pt idx="279">
                  <c:v>5308</c:v>
                </c:pt>
                <c:pt idx="280">
                  <c:v>5325</c:v>
                </c:pt>
                <c:pt idx="281">
                  <c:v>5352</c:v>
                </c:pt>
                <c:pt idx="282">
                  <c:v>5403</c:v>
                </c:pt>
                <c:pt idx="283">
                  <c:v>5403</c:v>
                </c:pt>
                <c:pt idx="284">
                  <c:v>5440</c:v>
                </c:pt>
                <c:pt idx="285">
                  <c:v>5440</c:v>
                </c:pt>
                <c:pt idx="286">
                  <c:v>5518</c:v>
                </c:pt>
                <c:pt idx="287">
                  <c:v>5519</c:v>
                </c:pt>
                <c:pt idx="288">
                  <c:v>5519</c:v>
                </c:pt>
                <c:pt idx="289">
                  <c:v>5519</c:v>
                </c:pt>
                <c:pt idx="290">
                  <c:v>5519</c:v>
                </c:pt>
                <c:pt idx="291">
                  <c:v>5519</c:v>
                </c:pt>
                <c:pt idx="292">
                  <c:v>5519</c:v>
                </c:pt>
                <c:pt idx="293">
                  <c:v>5519</c:v>
                </c:pt>
                <c:pt idx="294">
                  <c:v>5519</c:v>
                </c:pt>
                <c:pt idx="295">
                  <c:v>5519</c:v>
                </c:pt>
                <c:pt idx="296">
                  <c:v>5519</c:v>
                </c:pt>
                <c:pt idx="297">
                  <c:v>5519</c:v>
                </c:pt>
                <c:pt idx="298">
                  <c:v>5519</c:v>
                </c:pt>
                <c:pt idx="299">
                  <c:v>5519</c:v>
                </c:pt>
                <c:pt idx="300">
                  <c:v>5519</c:v>
                </c:pt>
                <c:pt idx="301">
                  <c:v>5519</c:v>
                </c:pt>
                <c:pt idx="302">
                  <c:v>5519</c:v>
                </c:pt>
                <c:pt idx="303">
                  <c:v>5519</c:v>
                </c:pt>
                <c:pt idx="304">
                  <c:v>5519</c:v>
                </c:pt>
                <c:pt idx="305">
                  <c:v>5519</c:v>
                </c:pt>
                <c:pt idx="306">
                  <c:v>5519</c:v>
                </c:pt>
                <c:pt idx="307">
                  <c:v>5519</c:v>
                </c:pt>
                <c:pt idx="308">
                  <c:v>5540</c:v>
                </c:pt>
                <c:pt idx="309">
                  <c:v>5550</c:v>
                </c:pt>
                <c:pt idx="310">
                  <c:v>5592</c:v>
                </c:pt>
                <c:pt idx="311">
                  <c:v>5592</c:v>
                </c:pt>
                <c:pt idx="312">
                  <c:v>5688</c:v>
                </c:pt>
                <c:pt idx="313">
                  <c:v>5781</c:v>
                </c:pt>
                <c:pt idx="314">
                  <c:v>5793</c:v>
                </c:pt>
                <c:pt idx="315">
                  <c:v>5793</c:v>
                </c:pt>
                <c:pt idx="316">
                  <c:v>5793</c:v>
                </c:pt>
                <c:pt idx="317">
                  <c:v>5800</c:v>
                </c:pt>
                <c:pt idx="318">
                  <c:v>5800</c:v>
                </c:pt>
                <c:pt idx="319">
                  <c:v>5800</c:v>
                </c:pt>
                <c:pt idx="320">
                  <c:v>5800</c:v>
                </c:pt>
                <c:pt idx="321">
                  <c:v>5800</c:v>
                </c:pt>
                <c:pt idx="322">
                  <c:v>5800</c:v>
                </c:pt>
                <c:pt idx="323">
                  <c:v>5800</c:v>
                </c:pt>
                <c:pt idx="324">
                  <c:v>5800</c:v>
                </c:pt>
                <c:pt idx="325">
                  <c:v>5800</c:v>
                </c:pt>
                <c:pt idx="326">
                  <c:v>5800</c:v>
                </c:pt>
                <c:pt idx="327">
                  <c:v>5800</c:v>
                </c:pt>
                <c:pt idx="328">
                  <c:v>5800</c:v>
                </c:pt>
                <c:pt idx="329">
                  <c:v>5800</c:v>
                </c:pt>
                <c:pt idx="330">
                  <c:v>5800</c:v>
                </c:pt>
                <c:pt idx="331">
                  <c:v>5800</c:v>
                </c:pt>
                <c:pt idx="332">
                  <c:v>5800</c:v>
                </c:pt>
                <c:pt idx="333">
                  <c:v>5800</c:v>
                </c:pt>
                <c:pt idx="334">
                  <c:v>5800</c:v>
                </c:pt>
                <c:pt idx="335">
                  <c:v>5800</c:v>
                </c:pt>
                <c:pt idx="336">
                  <c:v>5800</c:v>
                </c:pt>
                <c:pt idx="337">
                  <c:v>5800</c:v>
                </c:pt>
                <c:pt idx="338">
                  <c:v>5800</c:v>
                </c:pt>
                <c:pt idx="339">
                  <c:v>5800</c:v>
                </c:pt>
                <c:pt idx="340">
                  <c:v>5800</c:v>
                </c:pt>
                <c:pt idx="341">
                  <c:v>5800</c:v>
                </c:pt>
                <c:pt idx="342">
                  <c:v>5800</c:v>
                </c:pt>
                <c:pt idx="343">
                  <c:v>5800</c:v>
                </c:pt>
                <c:pt idx="344">
                  <c:v>5800</c:v>
                </c:pt>
                <c:pt idx="345">
                  <c:v>5800</c:v>
                </c:pt>
                <c:pt idx="346">
                  <c:v>5800</c:v>
                </c:pt>
                <c:pt idx="347">
                  <c:v>5800</c:v>
                </c:pt>
                <c:pt idx="348">
                  <c:v>5800</c:v>
                </c:pt>
                <c:pt idx="349">
                  <c:v>5800</c:v>
                </c:pt>
                <c:pt idx="350">
                  <c:v>5800</c:v>
                </c:pt>
                <c:pt idx="351">
                  <c:v>5800</c:v>
                </c:pt>
                <c:pt idx="352">
                  <c:v>5800</c:v>
                </c:pt>
                <c:pt idx="353">
                  <c:v>5800</c:v>
                </c:pt>
                <c:pt idx="354">
                  <c:v>5800</c:v>
                </c:pt>
                <c:pt idx="355">
                  <c:v>5800</c:v>
                </c:pt>
                <c:pt idx="356">
                  <c:v>5800</c:v>
                </c:pt>
                <c:pt idx="357">
                  <c:v>5800</c:v>
                </c:pt>
                <c:pt idx="358">
                  <c:v>5800</c:v>
                </c:pt>
                <c:pt idx="359">
                  <c:v>5831</c:v>
                </c:pt>
                <c:pt idx="360">
                  <c:v>5831</c:v>
                </c:pt>
                <c:pt idx="361">
                  <c:v>5831</c:v>
                </c:pt>
                <c:pt idx="362">
                  <c:v>5831</c:v>
                </c:pt>
                <c:pt idx="363">
                  <c:v>5831</c:v>
                </c:pt>
                <c:pt idx="364">
                  <c:v>5831</c:v>
                </c:pt>
                <c:pt idx="365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1-4A39-8585-C171B747B10F}"/>
            </c:ext>
          </c:extLst>
        </c:ser>
        <c:ser>
          <c:idx val="2"/>
          <c:order val="2"/>
          <c:tx>
            <c:strRef>
              <c:f>'Pages+'!$AT$1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'Pages+'!$AO$2:$AO$367</c:f>
              <c:strCache>
                <c:ptCount val="366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  <c:pt idx="31">
                  <c:v>2/1</c:v>
                </c:pt>
                <c:pt idx="32">
                  <c:v>2/2</c:v>
                </c:pt>
                <c:pt idx="33">
                  <c:v>2/3</c:v>
                </c:pt>
                <c:pt idx="34">
                  <c:v>2/4</c:v>
                </c:pt>
                <c:pt idx="35">
                  <c:v>2/5</c:v>
                </c:pt>
                <c:pt idx="36">
                  <c:v>2/6</c:v>
                </c:pt>
                <c:pt idx="37">
                  <c:v>2/7</c:v>
                </c:pt>
                <c:pt idx="38">
                  <c:v>2/8</c:v>
                </c:pt>
                <c:pt idx="39">
                  <c:v>2/9</c:v>
                </c:pt>
                <c:pt idx="40">
                  <c:v>2/10</c:v>
                </c:pt>
                <c:pt idx="41">
                  <c:v>2/11</c:v>
                </c:pt>
                <c:pt idx="42">
                  <c:v>2/12</c:v>
                </c:pt>
                <c:pt idx="43">
                  <c:v>2/13</c:v>
                </c:pt>
                <c:pt idx="44">
                  <c:v>2/14</c:v>
                </c:pt>
                <c:pt idx="45">
                  <c:v>2/15</c:v>
                </c:pt>
                <c:pt idx="46">
                  <c:v>2/16</c:v>
                </c:pt>
                <c:pt idx="47">
                  <c:v>2/17</c:v>
                </c:pt>
                <c:pt idx="48">
                  <c:v>2/18</c:v>
                </c:pt>
                <c:pt idx="49">
                  <c:v>2/19</c:v>
                </c:pt>
                <c:pt idx="50">
                  <c:v>2/20</c:v>
                </c:pt>
                <c:pt idx="51">
                  <c:v>2/21</c:v>
                </c:pt>
                <c:pt idx="52">
                  <c:v>2/22</c:v>
                </c:pt>
                <c:pt idx="53">
                  <c:v>2/23</c:v>
                </c:pt>
                <c:pt idx="54">
                  <c:v>2/24</c:v>
                </c:pt>
                <c:pt idx="55">
                  <c:v>2/25</c:v>
                </c:pt>
                <c:pt idx="56">
                  <c:v>2/26</c:v>
                </c:pt>
                <c:pt idx="57">
                  <c:v>2/27</c:v>
                </c:pt>
                <c:pt idx="58">
                  <c:v>2/28</c:v>
                </c:pt>
                <c:pt idx="59">
                  <c:v>2/29</c:v>
                </c:pt>
                <c:pt idx="60">
                  <c:v>3/1</c:v>
                </c:pt>
                <c:pt idx="61">
                  <c:v>3/2</c:v>
                </c:pt>
                <c:pt idx="62">
                  <c:v>3/3</c:v>
                </c:pt>
                <c:pt idx="63">
                  <c:v>3/4</c:v>
                </c:pt>
                <c:pt idx="64">
                  <c:v>3/5</c:v>
                </c:pt>
                <c:pt idx="65">
                  <c:v>3/6</c:v>
                </c:pt>
                <c:pt idx="66">
                  <c:v>3/7</c:v>
                </c:pt>
                <c:pt idx="67">
                  <c:v>3/8</c:v>
                </c:pt>
                <c:pt idx="68">
                  <c:v>3/9</c:v>
                </c:pt>
                <c:pt idx="69">
                  <c:v>3/10</c:v>
                </c:pt>
                <c:pt idx="70">
                  <c:v>3/11</c:v>
                </c:pt>
                <c:pt idx="71">
                  <c:v>3/12</c:v>
                </c:pt>
                <c:pt idx="72">
                  <c:v>3/13</c:v>
                </c:pt>
                <c:pt idx="73">
                  <c:v>3/14</c:v>
                </c:pt>
                <c:pt idx="74">
                  <c:v>3/15</c:v>
                </c:pt>
                <c:pt idx="75">
                  <c:v>3/16</c:v>
                </c:pt>
                <c:pt idx="76">
                  <c:v>3/17</c:v>
                </c:pt>
                <c:pt idx="77">
                  <c:v>3/18</c:v>
                </c:pt>
                <c:pt idx="78">
                  <c:v>3/19</c:v>
                </c:pt>
                <c:pt idx="79">
                  <c:v>3/20</c:v>
                </c:pt>
                <c:pt idx="80">
                  <c:v>3/21</c:v>
                </c:pt>
                <c:pt idx="81">
                  <c:v>3/22</c:v>
                </c:pt>
                <c:pt idx="82">
                  <c:v>3/23</c:v>
                </c:pt>
                <c:pt idx="83">
                  <c:v>3/24</c:v>
                </c:pt>
                <c:pt idx="84">
                  <c:v>3/25</c:v>
                </c:pt>
                <c:pt idx="85">
                  <c:v>3/26</c:v>
                </c:pt>
                <c:pt idx="86">
                  <c:v>3/27</c:v>
                </c:pt>
                <c:pt idx="87">
                  <c:v>3/28</c:v>
                </c:pt>
                <c:pt idx="88">
                  <c:v>3/29</c:v>
                </c:pt>
                <c:pt idx="89">
                  <c:v>3/30</c:v>
                </c:pt>
                <c:pt idx="90">
                  <c:v>3/31</c:v>
                </c:pt>
                <c:pt idx="91">
                  <c:v>4/1</c:v>
                </c:pt>
                <c:pt idx="92">
                  <c:v>4/2</c:v>
                </c:pt>
                <c:pt idx="93">
                  <c:v>4/3</c:v>
                </c:pt>
                <c:pt idx="94">
                  <c:v>4/4</c:v>
                </c:pt>
                <c:pt idx="95">
                  <c:v>4/5</c:v>
                </c:pt>
                <c:pt idx="96">
                  <c:v>4/6</c:v>
                </c:pt>
                <c:pt idx="97">
                  <c:v>4/7</c:v>
                </c:pt>
                <c:pt idx="98">
                  <c:v>4/8</c:v>
                </c:pt>
                <c:pt idx="99">
                  <c:v>4/9</c:v>
                </c:pt>
                <c:pt idx="100">
                  <c:v>4/10</c:v>
                </c:pt>
                <c:pt idx="101">
                  <c:v>4/11</c:v>
                </c:pt>
                <c:pt idx="102">
                  <c:v>4/12</c:v>
                </c:pt>
                <c:pt idx="103">
                  <c:v>4/13</c:v>
                </c:pt>
                <c:pt idx="104">
                  <c:v>4/14</c:v>
                </c:pt>
                <c:pt idx="105">
                  <c:v>4/15</c:v>
                </c:pt>
                <c:pt idx="106">
                  <c:v>4/16</c:v>
                </c:pt>
                <c:pt idx="107">
                  <c:v>4/17</c:v>
                </c:pt>
                <c:pt idx="108">
                  <c:v>4/18</c:v>
                </c:pt>
                <c:pt idx="109">
                  <c:v>4/19</c:v>
                </c:pt>
                <c:pt idx="110">
                  <c:v>4/20</c:v>
                </c:pt>
                <c:pt idx="111">
                  <c:v>4/21</c:v>
                </c:pt>
                <c:pt idx="112">
                  <c:v>4/22</c:v>
                </c:pt>
                <c:pt idx="113">
                  <c:v>4/23</c:v>
                </c:pt>
                <c:pt idx="114">
                  <c:v>4/24</c:v>
                </c:pt>
                <c:pt idx="115">
                  <c:v>4/25</c:v>
                </c:pt>
                <c:pt idx="116">
                  <c:v>4/26</c:v>
                </c:pt>
                <c:pt idx="117">
                  <c:v>4/27</c:v>
                </c:pt>
                <c:pt idx="118">
                  <c:v>4/28</c:v>
                </c:pt>
                <c:pt idx="119">
                  <c:v>4/29</c:v>
                </c:pt>
                <c:pt idx="120">
                  <c:v>4/30</c:v>
                </c:pt>
                <c:pt idx="121">
                  <c:v>5/1</c:v>
                </c:pt>
                <c:pt idx="122">
                  <c:v>5/2</c:v>
                </c:pt>
                <c:pt idx="123">
                  <c:v>5/3</c:v>
                </c:pt>
                <c:pt idx="124">
                  <c:v>5/4</c:v>
                </c:pt>
                <c:pt idx="125">
                  <c:v>5/5</c:v>
                </c:pt>
                <c:pt idx="126">
                  <c:v>5/6</c:v>
                </c:pt>
                <c:pt idx="127">
                  <c:v>5/7</c:v>
                </c:pt>
                <c:pt idx="128">
                  <c:v>5/8</c:v>
                </c:pt>
                <c:pt idx="129">
                  <c:v>5/9</c:v>
                </c:pt>
                <c:pt idx="130">
                  <c:v>5/10</c:v>
                </c:pt>
                <c:pt idx="131">
                  <c:v>5/11</c:v>
                </c:pt>
                <c:pt idx="132">
                  <c:v>5/12</c:v>
                </c:pt>
                <c:pt idx="133">
                  <c:v>5/13</c:v>
                </c:pt>
                <c:pt idx="134">
                  <c:v>5/14</c:v>
                </c:pt>
                <c:pt idx="135">
                  <c:v>5/15</c:v>
                </c:pt>
                <c:pt idx="136">
                  <c:v>5/16</c:v>
                </c:pt>
                <c:pt idx="137">
                  <c:v>5/17</c:v>
                </c:pt>
                <c:pt idx="138">
                  <c:v>5/18</c:v>
                </c:pt>
                <c:pt idx="139">
                  <c:v>5/19</c:v>
                </c:pt>
                <c:pt idx="140">
                  <c:v>5/20</c:v>
                </c:pt>
                <c:pt idx="141">
                  <c:v>5/21</c:v>
                </c:pt>
                <c:pt idx="142">
                  <c:v>5/22</c:v>
                </c:pt>
                <c:pt idx="143">
                  <c:v>5/23</c:v>
                </c:pt>
                <c:pt idx="144">
                  <c:v>5/24</c:v>
                </c:pt>
                <c:pt idx="145">
                  <c:v>5/25</c:v>
                </c:pt>
                <c:pt idx="146">
                  <c:v>5/26</c:v>
                </c:pt>
                <c:pt idx="147">
                  <c:v>5/27</c:v>
                </c:pt>
                <c:pt idx="148">
                  <c:v>5/28</c:v>
                </c:pt>
                <c:pt idx="149">
                  <c:v>5/29</c:v>
                </c:pt>
                <c:pt idx="150">
                  <c:v>5/30</c:v>
                </c:pt>
                <c:pt idx="151">
                  <c:v>5/31</c:v>
                </c:pt>
                <c:pt idx="152">
                  <c:v>6/1</c:v>
                </c:pt>
                <c:pt idx="153">
                  <c:v>6/2</c:v>
                </c:pt>
                <c:pt idx="154">
                  <c:v>6/3</c:v>
                </c:pt>
                <c:pt idx="155">
                  <c:v>6/4</c:v>
                </c:pt>
                <c:pt idx="156">
                  <c:v>6/5</c:v>
                </c:pt>
                <c:pt idx="157">
                  <c:v>6/6</c:v>
                </c:pt>
                <c:pt idx="158">
                  <c:v>6/7</c:v>
                </c:pt>
                <c:pt idx="159">
                  <c:v>6/8</c:v>
                </c:pt>
                <c:pt idx="160">
                  <c:v>6/9</c:v>
                </c:pt>
                <c:pt idx="161">
                  <c:v>6/10</c:v>
                </c:pt>
                <c:pt idx="162">
                  <c:v>6/11</c:v>
                </c:pt>
                <c:pt idx="163">
                  <c:v>6/12</c:v>
                </c:pt>
                <c:pt idx="164">
                  <c:v>6/13</c:v>
                </c:pt>
                <c:pt idx="165">
                  <c:v>6/14</c:v>
                </c:pt>
                <c:pt idx="166">
                  <c:v>6/15</c:v>
                </c:pt>
                <c:pt idx="167">
                  <c:v>6/16</c:v>
                </c:pt>
                <c:pt idx="168">
                  <c:v>6/17</c:v>
                </c:pt>
                <c:pt idx="169">
                  <c:v>6/18</c:v>
                </c:pt>
                <c:pt idx="170">
                  <c:v>6/19</c:v>
                </c:pt>
                <c:pt idx="171">
                  <c:v>6/20</c:v>
                </c:pt>
                <c:pt idx="172">
                  <c:v>6/21</c:v>
                </c:pt>
                <c:pt idx="173">
                  <c:v>6/22</c:v>
                </c:pt>
                <c:pt idx="174">
                  <c:v>6/23</c:v>
                </c:pt>
                <c:pt idx="175">
                  <c:v>6/24</c:v>
                </c:pt>
                <c:pt idx="176">
                  <c:v>6/25</c:v>
                </c:pt>
                <c:pt idx="177">
                  <c:v>6/26</c:v>
                </c:pt>
                <c:pt idx="178">
                  <c:v>6/27</c:v>
                </c:pt>
                <c:pt idx="179">
                  <c:v>6/28</c:v>
                </c:pt>
                <c:pt idx="180">
                  <c:v>6/29</c:v>
                </c:pt>
                <c:pt idx="181">
                  <c:v>6/30</c:v>
                </c:pt>
                <c:pt idx="182">
                  <c:v>7/1</c:v>
                </c:pt>
                <c:pt idx="183">
                  <c:v>7/2</c:v>
                </c:pt>
                <c:pt idx="184">
                  <c:v>7/3</c:v>
                </c:pt>
                <c:pt idx="185">
                  <c:v>7/4</c:v>
                </c:pt>
                <c:pt idx="186">
                  <c:v>7/5</c:v>
                </c:pt>
                <c:pt idx="187">
                  <c:v>7/6</c:v>
                </c:pt>
                <c:pt idx="188">
                  <c:v>7/7</c:v>
                </c:pt>
                <c:pt idx="189">
                  <c:v>7/8</c:v>
                </c:pt>
                <c:pt idx="190">
                  <c:v>7/9</c:v>
                </c:pt>
                <c:pt idx="191">
                  <c:v>7/10</c:v>
                </c:pt>
                <c:pt idx="192">
                  <c:v>7/11</c:v>
                </c:pt>
                <c:pt idx="193">
                  <c:v>7/12</c:v>
                </c:pt>
                <c:pt idx="194">
                  <c:v>7/13</c:v>
                </c:pt>
                <c:pt idx="195">
                  <c:v>7/14</c:v>
                </c:pt>
                <c:pt idx="196">
                  <c:v>7/15</c:v>
                </c:pt>
                <c:pt idx="197">
                  <c:v>7/16</c:v>
                </c:pt>
                <c:pt idx="198">
                  <c:v>7/17</c:v>
                </c:pt>
                <c:pt idx="199">
                  <c:v>7/18</c:v>
                </c:pt>
                <c:pt idx="200">
                  <c:v>7/19</c:v>
                </c:pt>
                <c:pt idx="201">
                  <c:v>7/20</c:v>
                </c:pt>
                <c:pt idx="202">
                  <c:v>7/21</c:v>
                </c:pt>
                <c:pt idx="203">
                  <c:v>7/22</c:v>
                </c:pt>
                <c:pt idx="204">
                  <c:v>7/23</c:v>
                </c:pt>
                <c:pt idx="205">
                  <c:v>7/24</c:v>
                </c:pt>
                <c:pt idx="206">
                  <c:v>7/25</c:v>
                </c:pt>
                <c:pt idx="207">
                  <c:v>7/26</c:v>
                </c:pt>
                <c:pt idx="208">
                  <c:v>7/27</c:v>
                </c:pt>
                <c:pt idx="209">
                  <c:v>7/28</c:v>
                </c:pt>
                <c:pt idx="210">
                  <c:v>7/29</c:v>
                </c:pt>
                <c:pt idx="211">
                  <c:v>7/30</c:v>
                </c:pt>
                <c:pt idx="212">
                  <c:v>7/31</c:v>
                </c:pt>
                <c:pt idx="213">
                  <c:v>8/1</c:v>
                </c:pt>
                <c:pt idx="214">
                  <c:v>8/2</c:v>
                </c:pt>
                <c:pt idx="215">
                  <c:v>8/3</c:v>
                </c:pt>
                <c:pt idx="216">
                  <c:v>8/4</c:v>
                </c:pt>
                <c:pt idx="217">
                  <c:v>8/5</c:v>
                </c:pt>
                <c:pt idx="218">
                  <c:v>8/6</c:v>
                </c:pt>
                <c:pt idx="219">
                  <c:v>8/7</c:v>
                </c:pt>
                <c:pt idx="220">
                  <c:v>8/8</c:v>
                </c:pt>
                <c:pt idx="221">
                  <c:v>8/9</c:v>
                </c:pt>
                <c:pt idx="222">
                  <c:v>8/10</c:v>
                </c:pt>
                <c:pt idx="223">
                  <c:v>8/11</c:v>
                </c:pt>
                <c:pt idx="224">
                  <c:v>8/12</c:v>
                </c:pt>
                <c:pt idx="225">
                  <c:v>8/13</c:v>
                </c:pt>
                <c:pt idx="226">
                  <c:v>8/14</c:v>
                </c:pt>
                <c:pt idx="227">
                  <c:v>8/15</c:v>
                </c:pt>
                <c:pt idx="228">
                  <c:v>8/16</c:v>
                </c:pt>
                <c:pt idx="229">
                  <c:v>8/17</c:v>
                </c:pt>
                <c:pt idx="230">
                  <c:v>8/18</c:v>
                </c:pt>
                <c:pt idx="231">
                  <c:v>8/19</c:v>
                </c:pt>
                <c:pt idx="232">
                  <c:v>8/20</c:v>
                </c:pt>
                <c:pt idx="233">
                  <c:v>8/21</c:v>
                </c:pt>
                <c:pt idx="234">
                  <c:v>8/22</c:v>
                </c:pt>
                <c:pt idx="235">
                  <c:v>8/23</c:v>
                </c:pt>
                <c:pt idx="236">
                  <c:v>8/24</c:v>
                </c:pt>
                <c:pt idx="237">
                  <c:v>8/25</c:v>
                </c:pt>
                <c:pt idx="238">
                  <c:v>8/26</c:v>
                </c:pt>
                <c:pt idx="239">
                  <c:v>8/27</c:v>
                </c:pt>
                <c:pt idx="240">
                  <c:v>8/28</c:v>
                </c:pt>
                <c:pt idx="241">
                  <c:v>8/29</c:v>
                </c:pt>
                <c:pt idx="242">
                  <c:v>8/30</c:v>
                </c:pt>
                <c:pt idx="243">
                  <c:v>8/31</c:v>
                </c:pt>
                <c:pt idx="244">
                  <c:v>9/1</c:v>
                </c:pt>
                <c:pt idx="245">
                  <c:v>9/2</c:v>
                </c:pt>
                <c:pt idx="246">
                  <c:v>9/3</c:v>
                </c:pt>
                <c:pt idx="247">
                  <c:v>9/4</c:v>
                </c:pt>
                <c:pt idx="248">
                  <c:v>9/5</c:v>
                </c:pt>
                <c:pt idx="249">
                  <c:v>9/6</c:v>
                </c:pt>
                <c:pt idx="250">
                  <c:v>9/7</c:v>
                </c:pt>
                <c:pt idx="251">
                  <c:v>9/8</c:v>
                </c:pt>
                <c:pt idx="252">
                  <c:v>9/9</c:v>
                </c:pt>
                <c:pt idx="253">
                  <c:v>9/10</c:v>
                </c:pt>
                <c:pt idx="254">
                  <c:v>9/11</c:v>
                </c:pt>
                <c:pt idx="255">
                  <c:v>9/12</c:v>
                </c:pt>
                <c:pt idx="256">
                  <c:v>9/13</c:v>
                </c:pt>
                <c:pt idx="257">
                  <c:v>9/14</c:v>
                </c:pt>
                <c:pt idx="258">
                  <c:v>9/15</c:v>
                </c:pt>
                <c:pt idx="259">
                  <c:v>9/16</c:v>
                </c:pt>
                <c:pt idx="260">
                  <c:v>9/17</c:v>
                </c:pt>
                <c:pt idx="261">
                  <c:v>9/18</c:v>
                </c:pt>
                <c:pt idx="262">
                  <c:v>9/19</c:v>
                </c:pt>
                <c:pt idx="263">
                  <c:v>9/20</c:v>
                </c:pt>
                <c:pt idx="264">
                  <c:v>9/21</c:v>
                </c:pt>
                <c:pt idx="265">
                  <c:v>9/22</c:v>
                </c:pt>
                <c:pt idx="266">
                  <c:v>9/23</c:v>
                </c:pt>
                <c:pt idx="267">
                  <c:v>9/24</c:v>
                </c:pt>
                <c:pt idx="268">
                  <c:v>9/25</c:v>
                </c:pt>
                <c:pt idx="269">
                  <c:v>9/26</c:v>
                </c:pt>
                <c:pt idx="270">
                  <c:v>9/27</c:v>
                </c:pt>
                <c:pt idx="271">
                  <c:v>9/28</c:v>
                </c:pt>
                <c:pt idx="272">
                  <c:v>9/29</c:v>
                </c:pt>
                <c:pt idx="273">
                  <c:v>9/30</c:v>
                </c:pt>
                <c:pt idx="274">
                  <c:v>10/1</c:v>
                </c:pt>
                <c:pt idx="275">
                  <c:v>10/2</c:v>
                </c:pt>
                <c:pt idx="276">
                  <c:v>10/3</c:v>
                </c:pt>
                <c:pt idx="277">
                  <c:v>10/4</c:v>
                </c:pt>
                <c:pt idx="278">
                  <c:v>10/5</c:v>
                </c:pt>
                <c:pt idx="279">
                  <c:v>10/6</c:v>
                </c:pt>
                <c:pt idx="280">
                  <c:v>10/7</c:v>
                </c:pt>
                <c:pt idx="281">
                  <c:v>10/8</c:v>
                </c:pt>
                <c:pt idx="282">
                  <c:v>10/9</c:v>
                </c:pt>
                <c:pt idx="283">
                  <c:v>10/10</c:v>
                </c:pt>
                <c:pt idx="284">
                  <c:v>10/11</c:v>
                </c:pt>
                <c:pt idx="285">
                  <c:v>10/12</c:v>
                </c:pt>
                <c:pt idx="286">
                  <c:v>10/13</c:v>
                </c:pt>
                <c:pt idx="287">
                  <c:v>10/14</c:v>
                </c:pt>
                <c:pt idx="288">
                  <c:v>10/15</c:v>
                </c:pt>
                <c:pt idx="289">
                  <c:v>10/16</c:v>
                </c:pt>
                <c:pt idx="290">
                  <c:v>10/17</c:v>
                </c:pt>
                <c:pt idx="291">
                  <c:v>10/18</c:v>
                </c:pt>
                <c:pt idx="292">
                  <c:v>10/19</c:v>
                </c:pt>
                <c:pt idx="293">
                  <c:v>10/20</c:v>
                </c:pt>
                <c:pt idx="294">
                  <c:v>10/21</c:v>
                </c:pt>
                <c:pt idx="295">
                  <c:v>10/22</c:v>
                </c:pt>
                <c:pt idx="296">
                  <c:v>10/23</c:v>
                </c:pt>
                <c:pt idx="297">
                  <c:v>10/24</c:v>
                </c:pt>
                <c:pt idx="298">
                  <c:v>10/25</c:v>
                </c:pt>
                <c:pt idx="299">
                  <c:v>10/26</c:v>
                </c:pt>
                <c:pt idx="300">
                  <c:v>10/27</c:v>
                </c:pt>
                <c:pt idx="301">
                  <c:v>10/28</c:v>
                </c:pt>
                <c:pt idx="302">
                  <c:v>10/29</c:v>
                </c:pt>
                <c:pt idx="303">
                  <c:v>10/30</c:v>
                </c:pt>
                <c:pt idx="304">
                  <c:v>10/31</c:v>
                </c:pt>
                <c:pt idx="305">
                  <c:v>11/1</c:v>
                </c:pt>
                <c:pt idx="306">
                  <c:v>11/2</c:v>
                </c:pt>
                <c:pt idx="307">
                  <c:v>11/3</c:v>
                </c:pt>
                <c:pt idx="308">
                  <c:v>11/4</c:v>
                </c:pt>
                <c:pt idx="309">
                  <c:v>11/5</c:v>
                </c:pt>
                <c:pt idx="310">
                  <c:v>11/6</c:v>
                </c:pt>
                <c:pt idx="311">
                  <c:v>11/7</c:v>
                </c:pt>
                <c:pt idx="312">
                  <c:v>11/8</c:v>
                </c:pt>
                <c:pt idx="313">
                  <c:v>11/9</c:v>
                </c:pt>
                <c:pt idx="314">
                  <c:v>11/10</c:v>
                </c:pt>
                <c:pt idx="315">
                  <c:v>11/11</c:v>
                </c:pt>
                <c:pt idx="316">
                  <c:v>11/12</c:v>
                </c:pt>
                <c:pt idx="317">
                  <c:v>11/13</c:v>
                </c:pt>
                <c:pt idx="318">
                  <c:v>11/14</c:v>
                </c:pt>
                <c:pt idx="319">
                  <c:v>11/15</c:v>
                </c:pt>
                <c:pt idx="320">
                  <c:v>11/16</c:v>
                </c:pt>
                <c:pt idx="321">
                  <c:v>11/17</c:v>
                </c:pt>
                <c:pt idx="322">
                  <c:v>11/18</c:v>
                </c:pt>
                <c:pt idx="323">
                  <c:v>11/19</c:v>
                </c:pt>
                <c:pt idx="324">
                  <c:v>11/20</c:v>
                </c:pt>
                <c:pt idx="325">
                  <c:v>11/21</c:v>
                </c:pt>
                <c:pt idx="326">
                  <c:v>11/22</c:v>
                </c:pt>
                <c:pt idx="327">
                  <c:v>11/23</c:v>
                </c:pt>
                <c:pt idx="328">
                  <c:v>11/24</c:v>
                </c:pt>
                <c:pt idx="329">
                  <c:v>11/25</c:v>
                </c:pt>
                <c:pt idx="330">
                  <c:v>11/26</c:v>
                </c:pt>
                <c:pt idx="331">
                  <c:v>11/27</c:v>
                </c:pt>
                <c:pt idx="332">
                  <c:v>11/28</c:v>
                </c:pt>
                <c:pt idx="333">
                  <c:v>11/29</c:v>
                </c:pt>
                <c:pt idx="334">
                  <c:v>11/30</c:v>
                </c:pt>
                <c:pt idx="335">
                  <c:v>12/1</c:v>
                </c:pt>
                <c:pt idx="336">
                  <c:v>12/2</c:v>
                </c:pt>
                <c:pt idx="337">
                  <c:v>12/3</c:v>
                </c:pt>
                <c:pt idx="338">
                  <c:v>12/4</c:v>
                </c:pt>
                <c:pt idx="339">
                  <c:v>12/5</c:v>
                </c:pt>
                <c:pt idx="340">
                  <c:v>12/6</c:v>
                </c:pt>
                <c:pt idx="341">
                  <c:v>12/7</c:v>
                </c:pt>
                <c:pt idx="342">
                  <c:v>12/8</c:v>
                </c:pt>
                <c:pt idx="343">
                  <c:v>12/9</c:v>
                </c:pt>
                <c:pt idx="344">
                  <c:v>12/10</c:v>
                </c:pt>
                <c:pt idx="345">
                  <c:v>12/11</c:v>
                </c:pt>
                <c:pt idx="346">
                  <c:v>12/12</c:v>
                </c:pt>
                <c:pt idx="347">
                  <c:v>12/13</c:v>
                </c:pt>
                <c:pt idx="348">
                  <c:v>12/14</c:v>
                </c:pt>
                <c:pt idx="349">
                  <c:v>12/15</c:v>
                </c:pt>
                <c:pt idx="350">
                  <c:v>12/16</c:v>
                </c:pt>
                <c:pt idx="351">
                  <c:v>12/17</c:v>
                </c:pt>
                <c:pt idx="352">
                  <c:v>12/18</c:v>
                </c:pt>
                <c:pt idx="353">
                  <c:v>12/19</c:v>
                </c:pt>
                <c:pt idx="354">
                  <c:v>12/20</c:v>
                </c:pt>
                <c:pt idx="355">
                  <c:v>12/21</c:v>
                </c:pt>
                <c:pt idx="356">
                  <c:v>12/22</c:v>
                </c:pt>
                <c:pt idx="357">
                  <c:v>12/23</c:v>
                </c:pt>
                <c:pt idx="358">
                  <c:v>12/24</c:v>
                </c:pt>
                <c:pt idx="359">
                  <c:v>12/25</c:v>
                </c:pt>
                <c:pt idx="360">
                  <c:v>12/26</c:v>
                </c:pt>
                <c:pt idx="361">
                  <c:v>12/27</c:v>
                </c:pt>
                <c:pt idx="362">
                  <c:v>12/28</c:v>
                </c:pt>
                <c:pt idx="363">
                  <c:v>12/29</c:v>
                </c:pt>
                <c:pt idx="364">
                  <c:v>12/30</c:v>
                </c:pt>
                <c:pt idx="365">
                  <c:v>12/31</c:v>
                </c:pt>
              </c:strCache>
            </c:strRef>
          </c:cat>
          <c:val>
            <c:numRef>
              <c:f>'Pages+'!$AU$2:$AU$367</c:f>
              <c:numCache>
                <c:formatCode>General</c:formatCode>
                <c:ptCount val="366"/>
                <c:pt idx="8">
                  <c:v>0</c:v>
                </c:pt>
                <c:pt idx="9">
                  <c:v>30</c:v>
                </c:pt>
                <c:pt idx="10">
                  <c:v>53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107</c:v>
                </c:pt>
                <c:pt idx="23">
                  <c:v>122</c:v>
                </c:pt>
                <c:pt idx="24">
                  <c:v>122</c:v>
                </c:pt>
                <c:pt idx="25">
                  <c:v>156</c:v>
                </c:pt>
                <c:pt idx="26">
                  <c:v>156</c:v>
                </c:pt>
                <c:pt idx="27">
                  <c:v>156</c:v>
                </c:pt>
                <c:pt idx="28">
                  <c:v>156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156</c:v>
                </c:pt>
                <c:pt idx="33">
                  <c:v>156</c:v>
                </c:pt>
                <c:pt idx="34">
                  <c:v>156</c:v>
                </c:pt>
                <c:pt idx="35">
                  <c:v>156</c:v>
                </c:pt>
                <c:pt idx="36">
                  <c:v>156</c:v>
                </c:pt>
                <c:pt idx="37">
                  <c:v>189</c:v>
                </c:pt>
                <c:pt idx="38">
                  <c:v>277</c:v>
                </c:pt>
                <c:pt idx="39">
                  <c:v>277</c:v>
                </c:pt>
                <c:pt idx="40">
                  <c:v>315</c:v>
                </c:pt>
                <c:pt idx="41">
                  <c:v>315</c:v>
                </c:pt>
                <c:pt idx="42">
                  <c:v>349</c:v>
                </c:pt>
                <c:pt idx="43">
                  <c:v>349</c:v>
                </c:pt>
                <c:pt idx="44">
                  <c:v>349</c:v>
                </c:pt>
                <c:pt idx="45">
                  <c:v>478</c:v>
                </c:pt>
                <c:pt idx="46">
                  <c:v>478</c:v>
                </c:pt>
                <c:pt idx="47">
                  <c:v>478</c:v>
                </c:pt>
                <c:pt idx="48">
                  <c:v>497</c:v>
                </c:pt>
                <c:pt idx="49">
                  <c:v>522</c:v>
                </c:pt>
                <c:pt idx="50">
                  <c:v>545</c:v>
                </c:pt>
                <c:pt idx="51">
                  <c:v>545</c:v>
                </c:pt>
                <c:pt idx="52">
                  <c:v>617</c:v>
                </c:pt>
                <c:pt idx="53">
                  <c:v>663</c:v>
                </c:pt>
                <c:pt idx="54">
                  <c:v>675</c:v>
                </c:pt>
                <c:pt idx="55">
                  <c:v>675</c:v>
                </c:pt>
                <c:pt idx="56">
                  <c:v>675</c:v>
                </c:pt>
                <c:pt idx="57">
                  <c:v>675</c:v>
                </c:pt>
                <c:pt idx="58">
                  <c:v>675</c:v>
                </c:pt>
                <c:pt idx="59">
                  <c:v>675</c:v>
                </c:pt>
                <c:pt idx="60">
                  <c:v>675</c:v>
                </c:pt>
                <c:pt idx="61">
                  <c:v>782</c:v>
                </c:pt>
                <c:pt idx="62">
                  <c:v>782</c:v>
                </c:pt>
                <c:pt idx="63">
                  <c:v>782</c:v>
                </c:pt>
                <c:pt idx="64">
                  <c:v>782</c:v>
                </c:pt>
                <c:pt idx="65">
                  <c:v>782</c:v>
                </c:pt>
                <c:pt idx="66">
                  <c:v>782</c:v>
                </c:pt>
                <c:pt idx="67">
                  <c:v>782</c:v>
                </c:pt>
                <c:pt idx="68">
                  <c:v>782</c:v>
                </c:pt>
                <c:pt idx="69">
                  <c:v>782</c:v>
                </c:pt>
                <c:pt idx="70">
                  <c:v>782</c:v>
                </c:pt>
                <c:pt idx="71">
                  <c:v>782</c:v>
                </c:pt>
                <c:pt idx="72">
                  <c:v>782</c:v>
                </c:pt>
                <c:pt idx="73">
                  <c:v>782</c:v>
                </c:pt>
                <c:pt idx="74">
                  <c:v>782</c:v>
                </c:pt>
                <c:pt idx="75">
                  <c:v>782</c:v>
                </c:pt>
                <c:pt idx="76">
                  <c:v>782</c:v>
                </c:pt>
                <c:pt idx="77">
                  <c:v>782</c:v>
                </c:pt>
                <c:pt idx="78">
                  <c:v>782</c:v>
                </c:pt>
                <c:pt idx="79">
                  <c:v>782</c:v>
                </c:pt>
                <c:pt idx="80">
                  <c:v>782</c:v>
                </c:pt>
                <c:pt idx="81">
                  <c:v>782</c:v>
                </c:pt>
                <c:pt idx="82">
                  <c:v>782</c:v>
                </c:pt>
                <c:pt idx="83">
                  <c:v>782</c:v>
                </c:pt>
                <c:pt idx="84">
                  <c:v>782</c:v>
                </c:pt>
                <c:pt idx="85">
                  <c:v>782</c:v>
                </c:pt>
                <c:pt idx="86">
                  <c:v>782</c:v>
                </c:pt>
                <c:pt idx="87">
                  <c:v>782</c:v>
                </c:pt>
                <c:pt idx="88">
                  <c:v>782</c:v>
                </c:pt>
                <c:pt idx="89">
                  <c:v>782</c:v>
                </c:pt>
                <c:pt idx="90">
                  <c:v>782</c:v>
                </c:pt>
                <c:pt idx="91">
                  <c:v>782</c:v>
                </c:pt>
                <c:pt idx="92">
                  <c:v>782</c:v>
                </c:pt>
                <c:pt idx="93">
                  <c:v>782</c:v>
                </c:pt>
                <c:pt idx="94">
                  <c:v>782</c:v>
                </c:pt>
                <c:pt idx="95">
                  <c:v>782</c:v>
                </c:pt>
                <c:pt idx="96">
                  <c:v>782</c:v>
                </c:pt>
                <c:pt idx="97">
                  <c:v>782</c:v>
                </c:pt>
                <c:pt idx="98">
                  <c:v>782</c:v>
                </c:pt>
                <c:pt idx="99">
                  <c:v>782</c:v>
                </c:pt>
                <c:pt idx="100">
                  <c:v>782</c:v>
                </c:pt>
                <c:pt idx="101">
                  <c:v>782</c:v>
                </c:pt>
                <c:pt idx="102">
                  <c:v>782</c:v>
                </c:pt>
                <c:pt idx="103">
                  <c:v>782</c:v>
                </c:pt>
                <c:pt idx="104">
                  <c:v>782</c:v>
                </c:pt>
                <c:pt idx="105">
                  <c:v>782</c:v>
                </c:pt>
                <c:pt idx="106">
                  <c:v>782</c:v>
                </c:pt>
                <c:pt idx="107">
                  <c:v>782</c:v>
                </c:pt>
                <c:pt idx="108">
                  <c:v>782</c:v>
                </c:pt>
                <c:pt idx="109">
                  <c:v>782</c:v>
                </c:pt>
                <c:pt idx="110">
                  <c:v>782</c:v>
                </c:pt>
                <c:pt idx="111">
                  <c:v>782</c:v>
                </c:pt>
                <c:pt idx="112">
                  <c:v>782</c:v>
                </c:pt>
                <c:pt idx="113">
                  <c:v>782</c:v>
                </c:pt>
                <c:pt idx="114">
                  <c:v>782</c:v>
                </c:pt>
                <c:pt idx="115">
                  <c:v>782</c:v>
                </c:pt>
                <c:pt idx="116">
                  <c:v>782</c:v>
                </c:pt>
                <c:pt idx="117">
                  <c:v>782</c:v>
                </c:pt>
                <c:pt idx="118">
                  <c:v>782</c:v>
                </c:pt>
                <c:pt idx="119">
                  <c:v>782</c:v>
                </c:pt>
                <c:pt idx="120">
                  <c:v>782</c:v>
                </c:pt>
                <c:pt idx="121">
                  <c:v>782</c:v>
                </c:pt>
                <c:pt idx="122">
                  <c:v>782</c:v>
                </c:pt>
                <c:pt idx="123">
                  <c:v>782</c:v>
                </c:pt>
                <c:pt idx="124">
                  <c:v>782</c:v>
                </c:pt>
                <c:pt idx="125">
                  <c:v>782</c:v>
                </c:pt>
                <c:pt idx="126">
                  <c:v>782</c:v>
                </c:pt>
                <c:pt idx="127">
                  <c:v>782</c:v>
                </c:pt>
                <c:pt idx="128">
                  <c:v>782</c:v>
                </c:pt>
                <c:pt idx="129">
                  <c:v>782</c:v>
                </c:pt>
                <c:pt idx="130">
                  <c:v>782</c:v>
                </c:pt>
                <c:pt idx="131">
                  <c:v>782</c:v>
                </c:pt>
                <c:pt idx="132">
                  <c:v>782</c:v>
                </c:pt>
                <c:pt idx="133">
                  <c:v>782</c:v>
                </c:pt>
                <c:pt idx="134">
                  <c:v>827</c:v>
                </c:pt>
                <c:pt idx="135">
                  <c:v>827</c:v>
                </c:pt>
                <c:pt idx="136">
                  <c:v>827</c:v>
                </c:pt>
                <c:pt idx="137">
                  <c:v>827</c:v>
                </c:pt>
                <c:pt idx="138">
                  <c:v>827</c:v>
                </c:pt>
                <c:pt idx="139">
                  <c:v>827</c:v>
                </c:pt>
                <c:pt idx="140">
                  <c:v>827</c:v>
                </c:pt>
                <c:pt idx="141">
                  <c:v>827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827</c:v>
                </c:pt>
                <c:pt idx="151">
                  <c:v>827</c:v>
                </c:pt>
                <c:pt idx="152">
                  <c:v>827</c:v>
                </c:pt>
                <c:pt idx="153">
                  <c:v>827</c:v>
                </c:pt>
                <c:pt idx="154">
                  <c:v>827</c:v>
                </c:pt>
                <c:pt idx="155">
                  <c:v>827</c:v>
                </c:pt>
                <c:pt idx="156">
                  <c:v>827</c:v>
                </c:pt>
                <c:pt idx="157">
                  <c:v>827</c:v>
                </c:pt>
                <c:pt idx="158">
                  <c:v>827</c:v>
                </c:pt>
                <c:pt idx="159">
                  <c:v>827</c:v>
                </c:pt>
                <c:pt idx="160">
                  <c:v>827</c:v>
                </c:pt>
                <c:pt idx="161">
                  <c:v>827</c:v>
                </c:pt>
                <c:pt idx="162">
                  <c:v>831</c:v>
                </c:pt>
                <c:pt idx="163">
                  <c:v>831</c:v>
                </c:pt>
                <c:pt idx="164">
                  <c:v>831</c:v>
                </c:pt>
                <c:pt idx="165">
                  <c:v>831</c:v>
                </c:pt>
                <c:pt idx="166">
                  <c:v>831</c:v>
                </c:pt>
                <c:pt idx="167">
                  <c:v>831</c:v>
                </c:pt>
                <c:pt idx="168">
                  <c:v>831</c:v>
                </c:pt>
                <c:pt idx="169">
                  <c:v>831</c:v>
                </c:pt>
                <c:pt idx="170">
                  <c:v>831</c:v>
                </c:pt>
                <c:pt idx="171">
                  <c:v>831</c:v>
                </c:pt>
                <c:pt idx="172">
                  <c:v>831</c:v>
                </c:pt>
                <c:pt idx="173">
                  <c:v>831</c:v>
                </c:pt>
                <c:pt idx="174">
                  <c:v>831</c:v>
                </c:pt>
                <c:pt idx="175">
                  <c:v>831</c:v>
                </c:pt>
                <c:pt idx="176">
                  <c:v>831</c:v>
                </c:pt>
                <c:pt idx="177">
                  <c:v>831</c:v>
                </c:pt>
                <c:pt idx="178">
                  <c:v>831</c:v>
                </c:pt>
                <c:pt idx="179">
                  <c:v>831</c:v>
                </c:pt>
                <c:pt idx="180">
                  <c:v>831</c:v>
                </c:pt>
                <c:pt idx="181">
                  <c:v>831</c:v>
                </c:pt>
                <c:pt idx="182">
                  <c:v>831</c:v>
                </c:pt>
                <c:pt idx="183">
                  <c:v>831</c:v>
                </c:pt>
                <c:pt idx="184">
                  <c:v>831</c:v>
                </c:pt>
                <c:pt idx="185">
                  <c:v>831</c:v>
                </c:pt>
                <c:pt idx="186">
                  <c:v>831</c:v>
                </c:pt>
                <c:pt idx="187">
                  <c:v>831</c:v>
                </c:pt>
                <c:pt idx="188">
                  <c:v>831</c:v>
                </c:pt>
                <c:pt idx="189">
                  <c:v>831</c:v>
                </c:pt>
                <c:pt idx="190">
                  <c:v>831</c:v>
                </c:pt>
                <c:pt idx="191">
                  <c:v>831</c:v>
                </c:pt>
                <c:pt idx="192">
                  <c:v>831</c:v>
                </c:pt>
                <c:pt idx="193">
                  <c:v>831</c:v>
                </c:pt>
                <c:pt idx="194">
                  <c:v>831</c:v>
                </c:pt>
                <c:pt idx="195">
                  <c:v>831</c:v>
                </c:pt>
                <c:pt idx="196">
                  <c:v>831</c:v>
                </c:pt>
                <c:pt idx="197">
                  <c:v>831</c:v>
                </c:pt>
                <c:pt idx="198">
                  <c:v>831</c:v>
                </c:pt>
                <c:pt idx="199">
                  <c:v>831</c:v>
                </c:pt>
                <c:pt idx="200">
                  <c:v>831</c:v>
                </c:pt>
                <c:pt idx="201">
                  <c:v>831</c:v>
                </c:pt>
                <c:pt idx="202">
                  <c:v>831</c:v>
                </c:pt>
                <c:pt idx="203">
                  <c:v>831</c:v>
                </c:pt>
                <c:pt idx="204">
                  <c:v>831</c:v>
                </c:pt>
                <c:pt idx="205">
                  <c:v>831</c:v>
                </c:pt>
                <c:pt idx="206">
                  <c:v>831</c:v>
                </c:pt>
                <c:pt idx="207">
                  <c:v>831</c:v>
                </c:pt>
                <c:pt idx="208">
                  <c:v>831</c:v>
                </c:pt>
                <c:pt idx="209">
                  <c:v>831</c:v>
                </c:pt>
                <c:pt idx="210">
                  <c:v>831</c:v>
                </c:pt>
                <c:pt idx="211">
                  <c:v>831</c:v>
                </c:pt>
                <c:pt idx="212">
                  <c:v>831</c:v>
                </c:pt>
                <c:pt idx="213">
                  <c:v>831</c:v>
                </c:pt>
                <c:pt idx="214">
                  <c:v>831</c:v>
                </c:pt>
                <c:pt idx="215">
                  <c:v>831</c:v>
                </c:pt>
                <c:pt idx="216">
                  <c:v>831</c:v>
                </c:pt>
                <c:pt idx="217">
                  <c:v>831</c:v>
                </c:pt>
                <c:pt idx="218">
                  <c:v>831</c:v>
                </c:pt>
                <c:pt idx="219">
                  <c:v>831</c:v>
                </c:pt>
                <c:pt idx="220">
                  <c:v>831</c:v>
                </c:pt>
                <c:pt idx="221">
                  <c:v>831</c:v>
                </c:pt>
                <c:pt idx="222">
                  <c:v>831</c:v>
                </c:pt>
                <c:pt idx="223">
                  <c:v>831</c:v>
                </c:pt>
                <c:pt idx="224">
                  <c:v>831</c:v>
                </c:pt>
                <c:pt idx="225">
                  <c:v>831</c:v>
                </c:pt>
                <c:pt idx="226">
                  <c:v>831</c:v>
                </c:pt>
                <c:pt idx="227">
                  <c:v>831</c:v>
                </c:pt>
                <c:pt idx="228">
                  <c:v>868</c:v>
                </c:pt>
                <c:pt idx="229">
                  <c:v>868</c:v>
                </c:pt>
                <c:pt idx="230">
                  <c:v>868</c:v>
                </c:pt>
                <c:pt idx="231">
                  <c:v>868</c:v>
                </c:pt>
                <c:pt idx="232">
                  <c:v>868</c:v>
                </c:pt>
                <c:pt idx="233">
                  <c:v>911</c:v>
                </c:pt>
                <c:pt idx="234">
                  <c:v>911</c:v>
                </c:pt>
                <c:pt idx="235">
                  <c:v>936</c:v>
                </c:pt>
                <c:pt idx="236">
                  <c:v>936</c:v>
                </c:pt>
                <c:pt idx="237">
                  <c:v>936</c:v>
                </c:pt>
                <c:pt idx="238">
                  <c:v>936</c:v>
                </c:pt>
                <c:pt idx="239">
                  <c:v>936</c:v>
                </c:pt>
                <c:pt idx="240">
                  <c:v>979</c:v>
                </c:pt>
                <c:pt idx="241">
                  <c:v>979</c:v>
                </c:pt>
                <c:pt idx="242">
                  <c:v>1009</c:v>
                </c:pt>
                <c:pt idx="243">
                  <c:v>1134</c:v>
                </c:pt>
                <c:pt idx="244">
                  <c:v>1134</c:v>
                </c:pt>
                <c:pt idx="245">
                  <c:v>1134</c:v>
                </c:pt>
                <c:pt idx="246">
                  <c:v>1134</c:v>
                </c:pt>
                <c:pt idx="247">
                  <c:v>1134</c:v>
                </c:pt>
                <c:pt idx="248">
                  <c:v>1134</c:v>
                </c:pt>
                <c:pt idx="249">
                  <c:v>1134</c:v>
                </c:pt>
                <c:pt idx="250">
                  <c:v>1134</c:v>
                </c:pt>
                <c:pt idx="251">
                  <c:v>1134</c:v>
                </c:pt>
                <c:pt idx="252">
                  <c:v>1134</c:v>
                </c:pt>
                <c:pt idx="253">
                  <c:v>1134</c:v>
                </c:pt>
                <c:pt idx="254">
                  <c:v>1134</c:v>
                </c:pt>
                <c:pt idx="255">
                  <c:v>1134</c:v>
                </c:pt>
                <c:pt idx="256">
                  <c:v>1134</c:v>
                </c:pt>
                <c:pt idx="257">
                  <c:v>1134</c:v>
                </c:pt>
                <c:pt idx="258">
                  <c:v>1134</c:v>
                </c:pt>
                <c:pt idx="259">
                  <c:v>1134</c:v>
                </c:pt>
                <c:pt idx="260">
                  <c:v>1134</c:v>
                </c:pt>
                <c:pt idx="261">
                  <c:v>1134</c:v>
                </c:pt>
                <c:pt idx="262">
                  <c:v>1134</c:v>
                </c:pt>
                <c:pt idx="263">
                  <c:v>1134</c:v>
                </c:pt>
                <c:pt idx="264">
                  <c:v>1134</c:v>
                </c:pt>
                <c:pt idx="265">
                  <c:v>1134</c:v>
                </c:pt>
                <c:pt idx="266">
                  <c:v>1199</c:v>
                </c:pt>
                <c:pt idx="267">
                  <c:v>1285</c:v>
                </c:pt>
                <c:pt idx="268">
                  <c:v>1322</c:v>
                </c:pt>
                <c:pt idx="269">
                  <c:v>1343</c:v>
                </c:pt>
                <c:pt idx="270">
                  <c:v>1343</c:v>
                </c:pt>
                <c:pt idx="271">
                  <c:v>1343</c:v>
                </c:pt>
                <c:pt idx="272">
                  <c:v>1377</c:v>
                </c:pt>
                <c:pt idx="273">
                  <c:v>1377</c:v>
                </c:pt>
                <c:pt idx="274">
                  <c:v>1377</c:v>
                </c:pt>
                <c:pt idx="275">
                  <c:v>1377</c:v>
                </c:pt>
                <c:pt idx="276">
                  <c:v>1377</c:v>
                </c:pt>
                <c:pt idx="277">
                  <c:v>1377</c:v>
                </c:pt>
                <c:pt idx="278">
                  <c:v>1377</c:v>
                </c:pt>
                <c:pt idx="279">
                  <c:v>1377</c:v>
                </c:pt>
                <c:pt idx="280">
                  <c:v>1377</c:v>
                </c:pt>
                <c:pt idx="281">
                  <c:v>1377</c:v>
                </c:pt>
                <c:pt idx="282">
                  <c:v>1377</c:v>
                </c:pt>
                <c:pt idx="283">
                  <c:v>1377</c:v>
                </c:pt>
                <c:pt idx="284">
                  <c:v>1377</c:v>
                </c:pt>
                <c:pt idx="285">
                  <c:v>1377</c:v>
                </c:pt>
                <c:pt idx="286">
                  <c:v>1377</c:v>
                </c:pt>
                <c:pt idx="287">
                  <c:v>1377</c:v>
                </c:pt>
                <c:pt idx="288">
                  <c:v>1377</c:v>
                </c:pt>
                <c:pt idx="289">
                  <c:v>1377</c:v>
                </c:pt>
                <c:pt idx="290">
                  <c:v>1377</c:v>
                </c:pt>
                <c:pt idx="291">
                  <c:v>1377</c:v>
                </c:pt>
                <c:pt idx="292">
                  <c:v>1377</c:v>
                </c:pt>
                <c:pt idx="293">
                  <c:v>1377</c:v>
                </c:pt>
                <c:pt idx="294">
                  <c:v>1377</c:v>
                </c:pt>
                <c:pt idx="295">
                  <c:v>1377</c:v>
                </c:pt>
                <c:pt idx="296">
                  <c:v>1377</c:v>
                </c:pt>
                <c:pt idx="297">
                  <c:v>1377</c:v>
                </c:pt>
                <c:pt idx="298">
                  <c:v>1377</c:v>
                </c:pt>
                <c:pt idx="299">
                  <c:v>1377</c:v>
                </c:pt>
                <c:pt idx="300">
                  <c:v>1377</c:v>
                </c:pt>
                <c:pt idx="301">
                  <c:v>1377</c:v>
                </c:pt>
                <c:pt idx="302">
                  <c:v>1377</c:v>
                </c:pt>
                <c:pt idx="303">
                  <c:v>1377</c:v>
                </c:pt>
                <c:pt idx="304">
                  <c:v>1377</c:v>
                </c:pt>
                <c:pt idx="305">
                  <c:v>1377</c:v>
                </c:pt>
                <c:pt idx="306">
                  <c:v>1377</c:v>
                </c:pt>
                <c:pt idx="307">
                  <c:v>1377</c:v>
                </c:pt>
                <c:pt idx="308">
                  <c:v>1377</c:v>
                </c:pt>
                <c:pt idx="309">
                  <c:v>1377</c:v>
                </c:pt>
                <c:pt idx="310">
                  <c:v>1377</c:v>
                </c:pt>
                <c:pt idx="311">
                  <c:v>1377</c:v>
                </c:pt>
                <c:pt idx="312">
                  <c:v>1377</c:v>
                </c:pt>
                <c:pt idx="313">
                  <c:v>1377</c:v>
                </c:pt>
                <c:pt idx="314">
                  <c:v>1377</c:v>
                </c:pt>
                <c:pt idx="315">
                  <c:v>1377</c:v>
                </c:pt>
                <c:pt idx="316">
                  <c:v>1377</c:v>
                </c:pt>
                <c:pt idx="317">
                  <c:v>1377</c:v>
                </c:pt>
                <c:pt idx="318">
                  <c:v>1377</c:v>
                </c:pt>
                <c:pt idx="319">
                  <c:v>1377</c:v>
                </c:pt>
                <c:pt idx="320">
                  <c:v>1377</c:v>
                </c:pt>
                <c:pt idx="321">
                  <c:v>1377</c:v>
                </c:pt>
                <c:pt idx="322">
                  <c:v>1377</c:v>
                </c:pt>
                <c:pt idx="323">
                  <c:v>1377</c:v>
                </c:pt>
                <c:pt idx="324">
                  <c:v>1377</c:v>
                </c:pt>
                <c:pt idx="325">
                  <c:v>1377</c:v>
                </c:pt>
                <c:pt idx="326">
                  <c:v>1377</c:v>
                </c:pt>
                <c:pt idx="327">
                  <c:v>1377</c:v>
                </c:pt>
                <c:pt idx="328">
                  <c:v>1377</c:v>
                </c:pt>
                <c:pt idx="329">
                  <c:v>1377</c:v>
                </c:pt>
                <c:pt idx="330">
                  <c:v>1377</c:v>
                </c:pt>
                <c:pt idx="331">
                  <c:v>1377</c:v>
                </c:pt>
                <c:pt idx="332">
                  <c:v>1377</c:v>
                </c:pt>
                <c:pt idx="333">
                  <c:v>1377</c:v>
                </c:pt>
                <c:pt idx="334">
                  <c:v>1377</c:v>
                </c:pt>
                <c:pt idx="335">
                  <c:v>1377</c:v>
                </c:pt>
                <c:pt idx="336">
                  <c:v>1377</c:v>
                </c:pt>
                <c:pt idx="337">
                  <c:v>1377</c:v>
                </c:pt>
                <c:pt idx="338">
                  <c:v>1377</c:v>
                </c:pt>
                <c:pt idx="339">
                  <c:v>1377</c:v>
                </c:pt>
                <c:pt idx="340">
                  <c:v>1377</c:v>
                </c:pt>
                <c:pt idx="341">
                  <c:v>1377</c:v>
                </c:pt>
                <c:pt idx="342">
                  <c:v>1377</c:v>
                </c:pt>
                <c:pt idx="343">
                  <c:v>1377</c:v>
                </c:pt>
                <c:pt idx="344">
                  <c:v>1377</c:v>
                </c:pt>
                <c:pt idx="345">
                  <c:v>1377</c:v>
                </c:pt>
                <c:pt idx="346">
                  <c:v>1377</c:v>
                </c:pt>
                <c:pt idx="347">
                  <c:v>1377</c:v>
                </c:pt>
                <c:pt idx="348">
                  <c:v>1377</c:v>
                </c:pt>
                <c:pt idx="349">
                  <c:v>1377</c:v>
                </c:pt>
                <c:pt idx="350">
                  <c:v>1377</c:v>
                </c:pt>
                <c:pt idx="351">
                  <c:v>1377</c:v>
                </c:pt>
                <c:pt idx="352">
                  <c:v>1377</c:v>
                </c:pt>
                <c:pt idx="353">
                  <c:v>1377</c:v>
                </c:pt>
                <c:pt idx="354">
                  <c:v>1377</c:v>
                </c:pt>
                <c:pt idx="355">
                  <c:v>1377</c:v>
                </c:pt>
                <c:pt idx="356">
                  <c:v>1377</c:v>
                </c:pt>
                <c:pt idx="357">
                  <c:v>1377</c:v>
                </c:pt>
                <c:pt idx="358">
                  <c:v>1377</c:v>
                </c:pt>
                <c:pt idx="359">
                  <c:v>1377</c:v>
                </c:pt>
                <c:pt idx="360">
                  <c:v>1377</c:v>
                </c:pt>
                <c:pt idx="361">
                  <c:v>1377</c:v>
                </c:pt>
                <c:pt idx="362">
                  <c:v>1377</c:v>
                </c:pt>
                <c:pt idx="363">
                  <c:v>1377</c:v>
                </c:pt>
                <c:pt idx="364">
                  <c:v>1377</c:v>
                </c:pt>
                <c:pt idx="365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1-4A39-8585-C171B747B10F}"/>
            </c:ext>
          </c:extLst>
        </c:ser>
        <c:ser>
          <c:idx val="3"/>
          <c:order val="3"/>
          <c:tx>
            <c:strRef>
              <c:f>'Pages+'!$AV$1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'Pages+'!$AW$2:$AW$367</c:f>
              <c:numCache>
                <c:formatCode>General</c:formatCode>
                <c:ptCount val="366"/>
                <c:pt idx="3">
                  <c:v>0</c:v>
                </c:pt>
                <c:pt idx="4">
                  <c:v>47</c:v>
                </c:pt>
                <c:pt idx="5">
                  <c:v>141</c:v>
                </c:pt>
                <c:pt idx="6">
                  <c:v>156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174</c:v>
                </c:pt>
                <c:pt idx="12">
                  <c:v>186</c:v>
                </c:pt>
                <c:pt idx="13">
                  <c:v>341</c:v>
                </c:pt>
                <c:pt idx="14">
                  <c:v>341</c:v>
                </c:pt>
                <c:pt idx="15">
                  <c:v>341</c:v>
                </c:pt>
                <c:pt idx="16">
                  <c:v>341</c:v>
                </c:pt>
                <c:pt idx="17">
                  <c:v>341</c:v>
                </c:pt>
                <c:pt idx="18">
                  <c:v>341</c:v>
                </c:pt>
                <c:pt idx="19">
                  <c:v>341</c:v>
                </c:pt>
                <c:pt idx="20">
                  <c:v>341</c:v>
                </c:pt>
                <c:pt idx="21">
                  <c:v>341</c:v>
                </c:pt>
                <c:pt idx="22">
                  <c:v>341</c:v>
                </c:pt>
                <c:pt idx="23">
                  <c:v>341</c:v>
                </c:pt>
                <c:pt idx="24">
                  <c:v>341</c:v>
                </c:pt>
                <c:pt idx="25">
                  <c:v>341</c:v>
                </c:pt>
                <c:pt idx="26">
                  <c:v>341</c:v>
                </c:pt>
                <c:pt idx="27">
                  <c:v>341</c:v>
                </c:pt>
                <c:pt idx="28">
                  <c:v>341</c:v>
                </c:pt>
                <c:pt idx="29">
                  <c:v>341</c:v>
                </c:pt>
                <c:pt idx="30">
                  <c:v>341</c:v>
                </c:pt>
                <c:pt idx="31">
                  <c:v>341</c:v>
                </c:pt>
                <c:pt idx="32">
                  <c:v>341</c:v>
                </c:pt>
                <c:pt idx="33">
                  <c:v>341</c:v>
                </c:pt>
                <c:pt idx="34">
                  <c:v>341</c:v>
                </c:pt>
                <c:pt idx="35">
                  <c:v>341</c:v>
                </c:pt>
                <c:pt idx="36">
                  <c:v>341</c:v>
                </c:pt>
                <c:pt idx="37">
                  <c:v>341</c:v>
                </c:pt>
                <c:pt idx="38">
                  <c:v>341</c:v>
                </c:pt>
                <c:pt idx="39">
                  <c:v>341</c:v>
                </c:pt>
                <c:pt idx="40">
                  <c:v>341</c:v>
                </c:pt>
                <c:pt idx="41">
                  <c:v>341</c:v>
                </c:pt>
                <c:pt idx="42">
                  <c:v>341</c:v>
                </c:pt>
                <c:pt idx="43">
                  <c:v>341</c:v>
                </c:pt>
                <c:pt idx="44">
                  <c:v>341</c:v>
                </c:pt>
                <c:pt idx="45">
                  <c:v>341</c:v>
                </c:pt>
                <c:pt idx="46">
                  <c:v>341</c:v>
                </c:pt>
                <c:pt idx="47">
                  <c:v>341</c:v>
                </c:pt>
                <c:pt idx="48">
                  <c:v>341</c:v>
                </c:pt>
                <c:pt idx="49">
                  <c:v>341</c:v>
                </c:pt>
                <c:pt idx="50">
                  <c:v>341</c:v>
                </c:pt>
                <c:pt idx="51">
                  <c:v>341</c:v>
                </c:pt>
                <c:pt idx="52">
                  <c:v>341</c:v>
                </c:pt>
                <c:pt idx="53">
                  <c:v>341</c:v>
                </c:pt>
                <c:pt idx="54">
                  <c:v>341</c:v>
                </c:pt>
                <c:pt idx="55">
                  <c:v>341</c:v>
                </c:pt>
                <c:pt idx="56">
                  <c:v>341</c:v>
                </c:pt>
                <c:pt idx="57">
                  <c:v>341</c:v>
                </c:pt>
                <c:pt idx="58">
                  <c:v>341</c:v>
                </c:pt>
                <c:pt idx="59">
                  <c:v>341</c:v>
                </c:pt>
                <c:pt idx="60">
                  <c:v>341</c:v>
                </c:pt>
                <c:pt idx="61">
                  <c:v>341</c:v>
                </c:pt>
                <c:pt idx="62">
                  <c:v>341</c:v>
                </c:pt>
                <c:pt idx="63">
                  <c:v>341</c:v>
                </c:pt>
                <c:pt idx="64">
                  <c:v>341</c:v>
                </c:pt>
                <c:pt idx="65">
                  <c:v>341</c:v>
                </c:pt>
                <c:pt idx="66">
                  <c:v>341</c:v>
                </c:pt>
                <c:pt idx="67">
                  <c:v>341</c:v>
                </c:pt>
                <c:pt idx="68">
                  <c:v>341</c:v>
                </c:pt>
                <c:pt idx="69">
                  <c:v>341</c:v>
                </c:pt>
                <c:pt idx="70">
                  <c:v>341</c:v>
                </c:pt>
                <c:pt idx="71">
                  <c:v>341</c:v>
                </c:pt>
                <c:pt idx="72">
                  <c:v>341</c:v>
                </c:pt>
                <c:pt idx="73">
                  <c:v>341</c:v>
                </c:pt>
                <c:pt idx="74">
                  <c:v>341</c:v>
                </c:pt>
                <c:pt idx="75">
                  <c:v>341</c:v>
                </c:pt>
                <c:pt idx="76">
                  <c:v>341</c:v>
                </c:pt>
                <c:pt idx="77">
                  <c:v>341</c:v>
                </c:pt>
                <c:pt idx="78">
                  <c:v>341</c:v>
                </c:pt>
                <c:pt idx="79">
                  <c:v>341</c:v>
                </c:pt>
                <c:pt idx="80">
                  <c:v>341</c:v>
                </c:pt>
                <c:pt idx="81">
                  <c:v>495.5</c:v>
                </c:pt>
                <c:pt idx="82">
                  <c:v>600</c:v>
                </c:pt>
                <c:pt idx="83">
                  <c:v>720</c:v>
                </c:pt>
                <c:pt idx="84">
                  <c:v>815</c:v>
                </c:pt>
                <c:pt idx="85">
                  <c:v>824</c:v>
                </c:pt>
                <c:pt idx="86">
                  <c:v>824</c:v>
                </c:pt>
                <c:pt idx="87">
                  <c:v>849</c:v>
                </c:pt>
                <c:pt idx="88">
                  <c:v>938</c:v>
                </c:pt>
                <c:pt idx="89">
                  <c:v>977</c:v>
                </c:pt>
                <c:pt idx="90">
                  <c:v>1004</c:v>
                </c:pt>
                <c:pt idx="91">
                  <c:v>1096</c:v>
                </c:pt>
                <c:pt idx="92">
                  <c:v>1144</c:v>
                </c:pt>
                <c:pt idx="93">
                  <c:v>1255</c:v>
                </c:pt>
                <c:pt idx="94">
                  <c:v>1265</c:v>
                </c:pt>
                <c:pt idx="95">
                  <c:v>1265</c:v>
                </c:pt>
                <c:pt idx="96">
                  <c:v>1265</c:v>
                </c:pt>
                <c:pt idx="97">
                  <c:v>1265</c:v>
                </c:pt>
                <c:pt idx="98">
                  <c:v>1265</c:v>
                </c:pt>
                <c:pt idx="99">
                  <c:v>1265</c:v>
                </c:pt>
                <c:pt idx="100">
                  <c:v>1265</c:v>
                </c:pt>
                <c:pt idx="101">
                  <c:v>1265</c:v>
                </c:pt>
                <c:pt idx="102">
                  <c:v>1265</c:v>
                </c:pt>
                <c:pt idx="103">
                  <c:v>1265</c:v>
                </c:pt>
                <c:pt idx="104">
                  <c:v>1341</c:v>
                </c:pt>
                <c:pt idx="105">
                  <c:v>1388</c:v>
                </c:pt>
                <c:pt idx="106">
                  <c:v>1411</c:v>
                </c:pt>
                <c:pt idx="107">
                  <c:v>1411</c:v>
                </c:pt>
                <c:pt idx="108">
                  <c:v>1411</c:v>
                </c:pt>
                <c:pt idx="109">
                  <c:v>1411</c:v>
                </c:pt>
                <c:pt idx="110">
                  <c:v>1524</c:v>
                </c:pt>
                <c:pt idx="111">
                  <c:v>1579</c:v>
                </c:pt>
                <c:pt idx="112">
                  <c:v>1579</c:v>
                </c:pt>
                <c:pt idx="113">
                  <c:v>1589</c:v>
                </c:pt>
                <c:pt idx="114">
                  <c:v>1589</c:v>
                </c:pt>
                <c:pt idx="115">
                  <c:v>1589</c:v>
                </c:pt>
                <c:pt idx="116">
                  <c:v>1589</c:v>
                </c:pt>
                <c:pt idx="117">
                  <c:v>1589</c:v>
                </c:pt>
                <c:pt idx="118">
                  <c:v>1589</c:v>
                </c:pt>
                <c:pt idx="119">
                  <c:v>1589</c:v>
                </c:pt>
                <c:pt idx="120">
                  <c:v>1589</c:v>
                </c:pt>
                <c:pt idx="121">
                  <c:v>1589</c:v>
                </c:pt>
                <c:pt idx="122">
                  <c:v>1589</c:v>
                </c:pt>
                <c:pt idx="123">
                  <c:v>1589</c:v>
                </c:pt>
                <c:pt idx="124">
                  <c:v>1589</c:v>
                </c:pt>
                <c:pt idx="125">
                  <c:v>1589</c:v>
                </c:pt>
                <c:pt idx="126">
                  <c:v>1589</c:v>
                </c:pt>
                <c:pt idx="127">
                  <c:v>1589</c:v>
                </c:pt>
                <c:pt idx="128">
                  <c:v>1589</c:v>
                </c:pt>
                <c:pt idx="129">
                  <c:v>1589</c:v>
                </c:pt>
                <c:pt idx="130">
                  <c:v>1589</c:v>
                </c:pt>
                <c:pt idx="131">
                  <c:v>1589</c:v>
                </c:pt>
                <c:pt idx="132">
                  <c:v>1589</c:v>
                </c:pt>
                <c:pt idx="133">
                  <c:v>1589</c:v>
                </c:pt>
                <c:pt idx="134">
                  <c:v>1589</c:v>
                </c:pt>
                <c:pt idx="135">
                  <c:v>1589</c:v>
                </c:pt>
                <c:pt idx="136">
                  <c:v>1589</c:v>
                </c:pt>
                <c:pt idx="137">
                  <c:v>1589</c:v>
                </c:pt>
                <c:pt idx="138">
                  <c:v>1589</c:v>
                </c:pt>
                <c:pt idx="139">
                  <c:v>1589</c:v>
                </c:pt>
                <c:pt idx="140">
                  <c:v>1589</c:v>
                </c:pt>
                <c:pt idx="141">
                  <c:v>1589</c:v>
                </c:pt>
                <c:pt idx="142">
                  <c:v>1589</c:v>
                </c:pt>
                <c:pt idx="143">
                  <c:v>1589</c:v>
                </c:pt>
                <c:pt idx="144">
                  <c:v>1589</c:v>
                </c:pt>
                <c:pt idx="145">
                  <c:v>1589</c:v>
                </c:pt>
                <c:pt idx="146">
                  <c:v>1589</c:v>
                </c:pt>
                <c:pt idx="147">
                  <c:v>1589</c:v>
                </c:pt>
                <c:pt idx="148">
                  <c:v>1589</c:v>
                </c:pt>
                <c:pt idx="149">
                  <c:v>1589</c:v>
                </c:pt>
                <c:pt idx="150">
                  <c:v>1589</c:v>
                </c:pt>
                <c:pt idx="151">
                  <c:v>1589</c:v>
                </c:pt>
                <c:pt idx="152">
                  <c:v>1589</c:v>
                </c:pt>
                <c:pt idx="153">
                  <c:v>1589</c:v>
                </c:pt>
                <c:pt idx="154">
                  <c:v>1589</c:v>
                </c:pt>
                <c:pt idx="155">
                  <c:v>1589</c:v>
                </c:pt>
                <c:pt idx="156">
                  <c:v>1589</c:v>
                </c:pt>
                <c:pt idx="157">
                  <c:v>1589</c:v>
                </c:pt>
                <c:pt idx="158">
                  <c:v>1589</c:v>
                </c:pt>
                <c:pt idx="159">
                  <c:v>1589</c:v>
                </c:pt>
                <c:pt idx="160">
                  <c:v>1589</c:v>
                </c:pt>
                <c:pt idx="161">
                  <c:v>1589</c:v>
                </c:pt>
                <c:pt idx="162">
                  <c:v>1589</c:v>
                </c:pt>
                <c:pt idx="163">
                  <c:v>1589</c:v>
                </c:pt>
                <c:pt idx="164">
                  <c:v>1589</c:v>
                </c:pt>
                <c:pt idx="165">
                  <c:v>1589</c:v>
                </c:pt>
                <c:pt idx="166">
                  <c:v>1589</c:v>
                </c:pt>
                <c:pt idx="167">
                  <c:v>1589</c:v>
                </c:pt>
                <c:pt idx="168">
                  <c:v>1589</c:v>
                </c:pt>
                <c:pt idx="169">
                  <c:v>1589</c:v>
                </c:pt>
                <c:pt idx="170">
                  <c:v>1589</c:v>
                </c:pt>
                <c:pt idx="171">
                  <c:v>1589</c:v>
                </c:pt>
                <c:pt idx="172">
                  <c:v>1589</c:v>
                </c:pt>
                <c:pt idx="173">
                  <c:v>1589</c:v>
                </c:pt>
                <c:pt idx="174">
                  <c:v>1589</c:v>
                </c:pt>
                <c:pt idx="175">
                  <c:v>1589</c:v>
                </c:pt>
                <c:pt idx="176">
                  <c:v>1589</c:v>
                </c:pt>
                <c:pt idx="177">
                  <c:v>1589</c:v>
                </c:pt>
                <c:pt idx="178">
                  <c:v>1589</c:v>
                </c:pt>
                <c:pt idx="179">
                  <c:v>1589</c:v>
                </c:pt>
                <c:pt idx="180">
                  <c:v>1589</c:v>
                </c:pt>
                <c:pt idx="181">
                  <c:v>1589</c:v>
                </c:pt>
                <c:pt idx="182">
                  <c:v>1589</c:v>
                </c:pt>
                <c:pt idx="183">
                  <c:v>1589</c:v>
                </c:pt>
                <c:pt idx="184">
                  <c:v>1589</c:v>
                </c:pt>
                <c:pt idx="185">
                  <c:v>1589</c:v>
                </c:pt>
                <c:pt idx="186">
                  <c:v>1589</c:v>
                </c:pt>
                <c:pt idx="187">
                  <c:v>1589</c:v>
                </c:pt>
                <c:pt idx="188">
                  <c:v>1589</c:v>
                </c:pt>
                <c:pt idx="189">
                  <c:v>1589</c:v>
                </c:pt>
                <c:pt idx="190">
                  <c:v>1589</c:v>
                </c:pt>
                <c:pt idx="191">
                  <c:v>1589</c:v>
                </c:pt>
                <c:pt idx="192">
                  <c:v>1589</c:v>
                </c:pt>
                <c:pt idx="193">
                  <c:v>1589</c:v>
                </c:pt>
                <c:pt idx="194">
                  <c:v>1589</c:v>
                </c:pt>
                <c:pt idx="195">
                  <c:v>1589</c:v>
                </c:pt>
                <c:pt idx="196">
                  <c:v>1589</c:v>
                </c:pt>
                <c:pt idx="197">
                  <c:v>1589</c:v>
                </c:pt>
                <c:pt idx="198">
                  <c:v>1589</c:v>
                </c:pt>
                <c:pt idx="199">
                  <c:v>1589</c:v>
                </c:pt>
                <c:pt idx="200">
                  <c:v>1589</c:v>
                </c:pt>
                <c:pt idx="201">
                  <c:v>1589</c:v>
                </c:pt>
                <c:pt idx="202">
                  <c:v>1589</c:v>
                </c:pt>
                <c:pt idx="203">
                  <c:v>1589</c:v>
                </c:pt>
                <c:pt idx="204">
                  <c:v>1589</c:v>
                </c:pt>
                <c:pt idx="205">
                  <c:v>1589</c:v>
                </c:pt>
                <c:pt idx="206">
                  <c:v>1589</c:v>
                </c:pt>
                <c:pt idx="207">
                  <c:v>1589</c:v>
                </c:pt>
                <c:pt idx="208">
                  <c:v>1589</c:v>
                </c:pt>
                <c:pt idx="209">
                  <c:v>1589</c:v>
                </c:pt>
                <c:pt idx="210">
                  <c:v>1589</c:v>
                </c:pt>
                <c:pt idx="211">
                  <c:v>1589</c:v>
                </c:pt>
                <c:pt idx="212">
                  <c:v>1589</c:v>
                </c:pt>
                <c:pt idx="213">
                  <c:v>1589</c:v>
                </c:pt>
                <c:pt idx="214">
                  <c:v>1589</c:v>
                </c:pt>
                <c:pt idx="215">
                  <c:v>1589</c:v>
                </c:pt>
                <c:pt idx="216">
                  <c:v>1589</c:v>
                </c:pt>
                <c:pt idx="217">
                  <c:v>1589</c:v>
                </c:pt>
                <c:pt idx="218">
                  <c:v>1589</c:v>
                </c:pt>
                <c:pt idx="219">
                  <c:v>1589</c:v>
                </c:pt>
                <c:pt idx="220">
                  <c:v>1589</c:v>
                </c:pt>
                <c:pt idx="221">
                  <c:v>1589</c:v>
                </c:pt>
                <c:pt idx="222">
                  <c:v>1589</c:v>
                </c:pt>
                <c:pt idx="223">
                  <c:v>1589</c:v>
                </c:pt>
                <c:pt idx="224">
                  <c:v>1589</c:v>
                </c:pt>
                <c:pt idx="225">
                  <c:v>1589</c:v>
                </c:pt>
                <c:pt idx="226">
                  <c:v>1589</c:v>
                </c:pt>
                <c:pt idx="227">
                  <c:v>1589</c:v>
                </c:pt>
                <c:pt idx="228">
                  <c:v>1589</c:v>
                </c:pt>
                <c:pt idx="229">
                  <c:v>1589</c:v>
                </c:pt>
                <c:pt idx="230">
                  <c:v>1589</c:v>
                </c:pt>
                <c:pt idx="231">
                  <c:v>1589</c:v>
                </c:pt>
                <c:pt idx="232">
                  <c:v>1589</c:v>
                </c:pt>
                <c:pt idx="233">
                  <c:v>1589</c:v>
                </c:pt>
                <c:pt idx="234">
                  <c:v>1589</c:v>
                </c:pt>
                <c:pt idx="235">
                  <c:v>1589</c:v>
                </c:pt>
                <c:pt idx="236">
                  <c:v>1589</c:v>
                </c:pt>
                <c:pt idx="237">
                  <c:v>1589</c:v>
                </c:pt>
                <c:pt idx="238">
                  <c:v>1589</c:v>
                </c:pt>
                <c:pt idx="239">
                  <c:v>1589</c:v>
                </c:pt>
                <c:pt idx="240">
                  <c:v>1589</c:v>
                </c:pt>
                <c:pt idx="241">
                  <c:v>1621</c:v>
                </c:pt>
                <c:pt idx="242">
                  <c:v>1621</c:v>
                </c:pt>
                <c:pt idx="243">
                  <c:v>1633.5</c:v>
                </c:pt>
                <c:pt idx="244">
                  <c:v>1633.5</c:v>
                </c:pt>
                <c:pt idx="245">
                  <c:v>1633.5</c:v>
                </c:pt>
                <c:pt idx="246">
                  <c:v>1633.5</c:v>
                </c:pt>
                <c:pt idx="247">
                  <c:v>1633.5</c:v>
                </c:pt>
                <c:pt idx="248">
                  <c:v>1633.5</c:v>
                </c:pt>
                <c:pt idx="249">
                  <c:v>1633.5</c:v>
                </c:pt>
                <c:pt idx="250">
                  <c:v>1633.5</c:v>
                </c:pt>
                <c:pt idx="251">
                  <c:v>1683</c:v>
                </c:pt>
                <c:pt idx="252">
                  <c:v>1736</c:v>
                </c:pt>
                <c:pt idx="253">
                  <c:v>1784</c:v>
                </c:pt>
                <c:pt idx="254">
                  <c:v>1827</c:v>
                </c:pt>
                <c:pt idx="255">
                  <c:v>1827</c:v>
                </c:pt>
                <c:pt idx="256">
                  <c:v>1913</c:v>
                </c:pt>
                <c:pt idx="257">
                  <c:v>2042</c:v>
                </c:pt>
                <c:pt idx="258">
                  <c:v>2166</c:v>
                </c:pt>
                <c:pt idx="259">
                  <c:v>2340</c:v>
                </c:pt>
                <c:pt idx="260">
                  <c:v>2363</c:v>
                </c:pt>
                <c:pt idx="261">
                  <c:v>2363</c:v>
                </c:pt>
                <c:pt idx="262">
                  <c:v>2363</c:v>
                </c:pt>
                <c:pt idx="263">
                  <c:v>2394</c:v>
                </c:pt>
                <c:pt idx="264">
                  <c:v>2394</c:v>
                </c:pt>
                <c:pt idx="265">
                  <c:v>2497</c:v>
                </c:pt>
                <c:pt idx="266">
                  <c:v>2497</c:v>
                </c:pt>
                <c:pt idx="267">
                  <c:v>2497</c:v>
                </c:pt>
                <c:pt idx="268">
                  <c:v>2497</c:v>
                </c:pt>
                <c:pt idx="269">
                  <c:v>2497</c:v>
                </c:pt>
                <c:pt idx="270">
                  <c:v>2497</c:v>
                </c:pt>
                <c:pt idx="271">
                  <c:v>2497</c:v>
                </c:pt>
                <c:pt idx="272">
                  <c:v>2563</c:v>
                </c:pt>
                <c:pt idx="273">
                  <c:v>2602</c:v>
                </c:pt>
                <c:pt idx="274">
                  <c:v>2602</c:v>
                </c:pt>
                <c:pt idx="275">
                  <c:v>2602</c:v>
                </c:pt>
                <c:pt idx="276">
                  <c:v>2602</c:v>
                </c:pt>
                <c:pt idx="277">
                  <c:v>2709</c:v>
                </c:pt>
                <c:pt idx="278">
                  <c:v>2709</c:v>
                </c:pt>
                <c:pt idx="279">
                  <c:v>2709</c:v>
                </c:pt>
                <c:pt idx="280">
                  <c:v>2709</c:v>
                </c:pt>
                <c:pt idx="281">
                  <c:v>2709</c:v>
                </c:pt>
                <c:pt idx="282">
                  <c:v>2709</c:v>
                </c:pt>
                <c:pt idx="283">
                  <c:v>2709</c:v>
                </c:pt>
                <c:pt idx="284">
                  <c:v>2709</c:v>
                </c:pt>
                <c:pt idx="285">
                  <c:v>2709</c:v>
                </c:pt>
                <c:pt idx="286">
                  <c:v>2709</c:v>
                </c:pt>
                <c:pt idx="287">
                  <c:v>2709</c:v>
                </c:pt>
                <c:pt idx="288">
                  <c:v>2709</c:v>
                </c:pt>
                <c:pt idx="289">
                  <c:v>2709</c:v>
                </c:pt>
                <c:pt idx="290">
                  <c:v>2709</c:v>
                </c:pt>
                <c:pt idx="291">
                  <c:v>2709</c:v>
                </c:pt>
                <c:pt idx="292">
                  <c:v>2709</c:v>
                </c:pt>
                <c:pt idx="293">
                  <c:v>2709</c:v>
                </c:pt>
                <c:pt idx="294">
                  <c:v>2709</c:v>
                </c:pt>
                <c:pt idx="295">
                  <c:v>2709</c:v>
                </c:pt>
                <c:pt idx="296">
                  <c:v>2709</c:v>
                </c:pt>
                <c:pt idx="297">
                  <c:v>2709</c:v>
                </c:pt>
                <c:pt idx="298">
                  <c:v>2709</c:v>
                </c:pt>
                <c:pt idx="299">
                  <c:v>2709</c:v>
                </c:pt>
                <c:pt idx="300">
                  <c:v>2894</c:v>
                </c:pt>
                <c:pt idx="301">
                  <c:v>2997</c:v>
                </c:pt>
                <c:pt idx="302">
                  <c:v>3102</c:v>
                </c:pt>
                <c:pt idx="303">
                  <c:v>3102</c:v>
                </c:pt>
                <c:pt idx="304">
                  <c:v>3102</c:v>
                </c:pt>
                <c:pt idx="305">
                  <c:v>3102</c:v>
                </c:pt>
                <c:pt idx="306">
                  <c:v>3102</c:v>
                </c:pt>
                <c:pt idx="307">
                  <c:v>3102</c:v>
                </c:pt>
                <c:pt idx="308">
                  <c:v>3102</c:v>
                </c:pt>
                <c:pt idx="309">
                  <c:v>3102</c:v>
                </c:pt>
                <c:pt idx="310">
                  <c:v>3102</c:v>
                </c:pt>
                <c:pt idx="311">
                  <c:v>3102</c:v>
                </c:pt>
                <c:pt idx="312">
                  <c:v>3102</c:v>
                </c:pt>
                <c:pt idx="313">
                  <c:v>3102</c:v>
                </c:pt>
                <c:pt idx="314">
                  <c:v>3102</c:v>
                </c:pt>
                <c:pt idx="315">
                  <c:v>3102</c:v>
                </c:pt>
                <c:pt idx="316">
                  <c:v>3102</c:v>
                </c:pt>
                <c:pt idx="317">
                  <c:v>3102</c:v>
                </c:pt>
                <c:pt idx="318">
                  <c:v>3102</c:v>
                </c:pt>
                <c:pt idx="319">
                  <c:v>3102</c:v>
                </c:pt>
                <c:pt idx="320">
                  <c:v>3102</c:v>
                </c:pt>
                <c:pt idx="321">
                  <c:v>3102</c:v>
                </c:pt>
                <c:pt idx="322">
                  <c:v>3102</c:v>
                </c:pt>
                <c:pt idx="323">
                  <c:v>3102</c:v>
                </c:pt>
                <c:pt idx="324">
                  <c:v>3102</c:v>
                </c:pt>
                <c:pt idx="325">
                  <c:v>3102</c:v>
                </c:pt>
                <c:pt idx="326">
                  <c:v>3102</c:v>
                </c:pt>
                <c:pt idx="327">
                  <c:v>3102</c:v>
                </c:pt>
                <c:pt idx="328">
                  <c:v>3102</c:v>
                </c:pt>
                <c:pt idx="329">
                  <c:v>3102</c:v>
                </c:pt>
                <c:pt idx="330">
                  <c:v>3102</c:v>
                </c:pt>
                <c:pt idx="331">
                  <c:v>3102</c:v>
                </c:pt>
                <c:pt idx="332">
                  <c:v>3102</c:v>
                </c:pt>
                <c:pt idx="333">
                  <c:v>3102</c:v>
                </c:pt>
                <c:pt idx="334">
                  <c:v>3102</c:v>
                </c:pt>
                <c:pt idx="335">
                  <c:v>3102</c:v>
                </c:pt>
                <c:pt idx="336">
                  <c:v>3102</c:v>
                </c:pt>
                <c:pt idx="337">
                  <c:v>3102</c:v>
                </c:pt>
                <c:pt idx="338">
                  <c:v>3102</c:v>
                </c:pt>
                <c:pt idx="339">
                  <c:v>3102</c:v>
                </c:pt>
                <c:pt idx="340">
                  <c:v>3102</c:v>
                </c:pt>
                <c:pt idx="341">
                  <c:v>3102</c:v>
                </c:pt>
                <c:pt idx="342">
                  <c:v>3102</c:v>
                </c:pt>
                <c:pt idx="343">
                  <c:v>3102</c:v>
                </c:pt>
                <c:pt idx="344">
                  <c:v>3102</c:v>
                </c:pt>
                <c:pt idx="345">
                  <c:v>3102</c:v>
                </c:pt>
                <c:pt idx="346">
                  <c:v>3102</c:v>
                </c:pt>
                <c:pt idx="347">
                  <c:v>3102</c:v>
                </c:pt>
                <c:pt idx="348">
                  <c:v>3102</c:v>
                </c:pt>
                <c:pt idx="349">
                  <c:v>3102</c:v>
                </c:pt>
                <c:pt idx="350">
                  <c:v>3102</c:v>
                </c:pt>
                <c:pt idx="351">
                  <c:v>3102</c:v>
                </c:pt>
                <c:pt idx="352">
                  <c:v>3102</c:v>
                </c:pt>
                <c:pt idx="353">
                  <c:v>3102</c:v>
                </c:pt>
                <c:pt idx="354">
                  <c:v>3102</c:v>
                </c:pt>
                <c:pt idx="355">
                  <c:v>3102</c:v>
                </c:pt>
                <c:pt idx="356">
                  <c:v>3102</c:v>
                </c:pt>
                <c:pt idx="357">
                  <c:v>3102</c:v>
                </c:pt>
                <c:pt idx="358">
                  <c:v>3102</c:v>
                </c:pt>
                <c:pt idx="359">
                  <c:v>3102</c:v>
                </c:pt>
                <c:pt idx="360">
                  <c:v>3102</c:v>
                </c:pt>
                <c:pt idx="361">
                  <c:v>3102</c:v>
                </c:pt>
                <c:pt idx="362">
                  <c:v>3102</c:v>
                </c:pt>
                <c:pt idx="363">
                  <c:v>3102</c:v>
                </c:pt>
                <c:pt idx="364">
                  <c:v>3102</c:v>
                </c:pt>
                <c:pt idx="365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4-4465-84FB-7BAE31D41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085984"/>
        <c:axId val="1014067264"/>
      </c:lineChart>
      <c:catAx>
        <c:axId val="101408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67264"/>
        <c:crosses val="autoZero"/>
        <c:auto val="1"/>
        <c:lblAlgn val="ctr"/>
        <c:lblOffset val="100"/>
        <c:noMultiLvlLbl val="0"/>
      </c:catAx>
      <c:valAx>
        <c:axId val="1014067264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8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[0]!PagesDate2026</c:f>
              <c:numCache>
                <c:formatCode>m/d/yyyy</c:formatCode>
                <c:ptCount val="30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  <c:pt idx="281">
                  <c:v>46304</c:v>
                </c:pt>
                <c:pt idx="282">
                  <c:v>46305</c:v>
                </c:pt>
                <c:pt idx="283">
                  <c:v>46306</c:v>
                </c:pt>
                <c:pt idx="284">
                  <c:v>46307</c:v>
                </c:pt>
                <c:pt idx="285">
                  <c:v>46308</c:v>
                </c:pt>
                <c:pt idx="286">
                  <c:v>46309</c:v>
                </c:pt>
                <c:pt idx="287">
                  <c:v>46310</c:v>
                </c:pt>
                <c:pt idx="288">
                  <c:v>46311</c:v>
                </c:pt>
                <c:pt idx="289">
                  <c:v>46312</c:v>
                </c:pt>
                <c:pt idx="290">
                  <c:v>46313</c:v>
                </c:pt>
                <c:pt idx="291">
                  <c:v>46314</c:v>
                </c:pt>
                <c:pt idx="292">
                  <c:v>46315</c:v>
                </c:pt>
                <c:pt idx="293">
                  <c:v>46316</c:v>
                </c:pt>
                <c:pt idx="294">
                  <c:v>46317</c:v>
                </c:pt>
                <c:pt idx="295">
                  <c:v>46318</c:v>
                </c:pt>
                <c:pt idx="296">
                  <c:v>46319</c:v>
                </c:pt>
                <c:pt idx="297">
                  <c:v>46320</c:v>
                </c:pt>
                <c:pt idx="298">
                  <c:v>46321</c:v>
                </c:pt>
                <c:pt idx="299">
                  <c:v>46322</c:v>
                </c:pt>
                <c:pt idx="300">
                  <c:v>46323</c:v>
                </c:pt>
                <c:pt idx="301">
                  <c:v>46324</c:v>
                </c:pt>
              </c:numCache>
            </c:numRef>
          </c:cat>
          <c:val>
            <c:numRef>
              <c:f>[0]!PagesDayTotal2026</c:f>
              <c:numCache>
                <c:formatCode>General</c:formatCode>
                <c:ptCount val="3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47</c:v>
                </c:pt>
                <c:pt idx="5">
                  <c:v>94</c:v>
                </c:pt>
                <c:pt idx="6">
                  <c:v>15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12</c:v>
                </c:pt>
                <c:pt idx="13">
                  <c:v>155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154.5</c:v>
                </c:pt>
                <c:pt idx="81">
                  <c:v>104.5</c:v>
                </c:pt>
                <c:pt idx="82">
                  <c:v>120</c:v>
                </c:pt>
                <c:pt idx="83">
                  <c:v>95</c:v>
                </c:pt>
                <c:pt idx="84">
                  <c:v>9</c:v>
                </c:pt>
                <c:pt idx="85">
                  <c:v>0</c:v>
                </c:pt>
                <c:pt idx="86">
                  <c:v>25</c:v>
                </c:pt>
                <c:pt idx="87">
                  <c:v>89</c:v>
                </c:pt>
                <c:pt idx="88">
                  <c:v>39</c:v>
                </c:pt>
                <c:pt idx="89">
                  <c:v>27</c:v>
                </c:pt>
                <c:pt idx="90">
                  <c:v>92</c:v>
                </c:pt>
                <c:pt idx="91">
                  <c:v>48</c:v>
                </c:pt>
                <c:pt idx="92">
                  <c:v>111</c:v>
                </c:pt>
                <c:pt idx="93">
                  <c:v>10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76</c:v>
                </c:pt>
                <c:pt idx="104">
                  <c:v>47</c:v>
                </c:pt>
                <c:pt idx="105">
                  <c:v>23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113</c:v>
                </c:pt>
                <c:pt idx="110">
                  <c:v>55</c:v>
                </c:pt>
                <c:pt idx="111">
                  <c:v>0</c:v>
                </c:pt>
                <c:pt idx="112">
                  <c:v>10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32</c:v>
                </c:pt>
                <c:pt idx="241">
                  <c:v>0</c:v>
                </c:pt>
                <c:pt idx="242">
                  <c:v>12.5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49.5</c:v>
                </c:pt>
                <c:pt idx="251">
                  <c:v>53</c:v>
                </c:pt>
                <c:pt idx="252">
                  <c:v>48</c:v>
                </c:pt>
                <c:pt idx="253">
                  <c:v>43</c:v>
                </c:pt>
                <c:pt idx="254">
                  <c:v>0</c:v>
                </c:pt>
                <c:pt idx="255">
                  <c:v>86</c:v>
                </c:pt>
                <c:pt idx="256">
                  <c:v>129</c:v>
                </c:pt>
                <c:pt idx="257">
                  <c:v>124</c:v>
                </c:pt>
                <c:pt idx="258">
                  <c:v>174</c:v>
                </c:pt>
                <c:pt idx="259">
                  <c:v>23</c:v>
                </c:pt>
                <c:pt idx="260">
                  <c:v>0</c:v>
                </c:pt>
                <c:pt idx="261">
                  <c:v>0</c:v>
                </c:pt>
                <c:pt idx="262">
                  <c:v>31</c:v>
                </c:pt>
                <c:pt idx="263">
                  <c:v>0</c:v>
                </c:pt>
                <c:pt idx="264">
                  <c:v>103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66</c:v>
                </c:pt>
                <c:pt idx="272">
                  <c:v>39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107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185</c:v>
                </c:pt>
                <c:pt idx="300">
                  <c:v>103</c:v>
                </c:pt>
                <c:pt idx="30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4-43C6-A831-55112111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2"/>
          <c:order val="1"/>
          <c:tx>
            <c:strRef>
              <c:f>Pages!$J$1</c:f>
              <c:strCache>
                <c:ptCount val="1"/>
                <c:pt idx="0">
                  <c:v>Cumulative 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[0]!PagesDate2026</c:f>
              <c:numCache>
                <c:formatCode>m/d/yyyy</c:formatCode>
                <c:ptCount val="30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  <c:pt idx="281">
                  <c:v>46304</c:v>
                </c:pt>
                <c:pt idx="282">
                  <c:v>46305</c:v>
                </c:pt>
                <c:pt idx="283">
                  <c:v>46306</c:v>
                </c:pt>
                <c:pt idx="284">
                  <c:v>46307</c:v>
                </c:pt>
                <c:pt idx="285">
                  <c:v>46308</c:v>
                </c:pt>
                <c:pt idx="286">
                  <c:v>46309</c:v>
                </c:pt>
                <c:pt idx="287">
                  <c:v>46310</c:v>
                </c:pt>
                <c:pt idx="288">
                  <c:v>46311</c:v>
                </c:pt>
                <c:pt idx="289">
                  <c:v>46312</c:v>
                </c:pt>
                <c:pt idx="290">
                  <c:v>46313</c:v>
                </c:pt>
                <c:pt idx="291">
                  <c:v>46314</c:v>
                </c:pt>
                <c:pt idx="292">
                  <c:v>46315</c:v>
                </c:pt>
                <c:pt idx="293">
                  <c:v>46316</c:v>
                </c:pt>
                <c:pt idx="294">
                  <c:v>46317</c:v>
                </c:pt>
                <c:pt idx="295">
                  <c:v>46318</c:v>
                </c:pt>
                <c:pt idx="296">
                  <c:v>46319</c:v>
                </c:pt>
                <c:pt idx="297">
                  <c:v>46320</c:v>
                </c:pt>
                <c:pt idx="298">
                  <c:v>46321</c:v>
                </c:pt>
                <c:pt idx="299">
                  <c:v>46322</c:v>
                </c:pt>
                <c:pt idx="300">
                  <c:v>46323</c:v>
                </c:pt>
                <c:pt idx="301">
                  <c:v>46324</c:v>
                </c:pt>
              </c:numCache>
            </c:numRef>
          </c:cat>
          <c:val>
            <c:numRef>
              <c:f>[0]!PagesCum2026</c:f>
              <c:numCache>
                <c:formatCode>General</c:formatCode>
                <c:ptCount val="3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47</c:v>
                </c:pt>
                <c:pt idx="5">
                  <c:v>141</c:v>
                </c:pt>
                <c:pt idx="6">
                  <c:v>156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174</c:v>
                </c:pt>
                <c:pt idx="12">
                  <c:v>186</c:v>
                </c:pt>
                <c:pt idx="13">
                  <c:v>341</c:v>
                </c:pt>
                <c:pt idx="14">
                  <c:v>341</c:v>
                </c:pt>
                <c:pt idx="15">
                  <c:v>341</c:v>
                </c:pt>
                <c:pt idx="16">
                  <c:v>341</c:v>
                </c:pt>
                <c:pt idx="17">
                  <c:v>341</c:v>
                </c:pt>
                <c:pt idx="18">
                  <c:v>341</c:v>
                </c:pt>
                <c:pt idx="19">
                  <c:v>341</c:v>
                </c:pt>
                <c:pt idx="20">
                  <c:v>341</c:v>
                </c:pt>
                <c:pt idx="21">
                  <c:v>341</c:v>
                </c:pt>
                <c:pt idx="22">
                  <c:v>341</c:v>
                </c:pt>
                <c:pt idx="23">
                  <c:v>341</c:v>
                </c:pt>
                <c:pt idx="24">
                  <c:v>341</c:v>
                </c:pt>
                <c:pt idx="25">
                  <c:v>341</c:v>
                </c:pt>
                <c:pt idx="26">
                  <c:v>341</c:v>
                </c:pt>
                <c:pt idx="27">
                  <c:v>341</c:v>
                </c:pt>
                <c:pt idx="28">
                  <c:v>341</c:v>
                </c:pt>
                <c:pt idx="29">
                  <c:v>341</c:v>
                </c:pt>
                <c:pt idx="30">
                  <c:v>341</c:v>
                </c:pt>
                <c:pt idx="31">
                  <c:v>341</c:v>
                </c:pt>
                <c:pt idx="32">
                  <c:v>341</c:v>
                </c:pt>
                <c:pt idx="33">
                  <c:v>341</c:v>
                </c:pt>
                <c:pt idx="34">
                  <c:v>341</c:v>
                </c:pt>
                <c:pt idx="35">
                  <c:v>341</c:v>
                </c:pt>
                <c:pt idx="36">
                  <c:v>341</c:v>
                </c:pt>
                <c:pt idx="37">
                  <c:v>341</c:v>
                </c:pt>
                <c:pt idx="38">
                  <c:v>341</c:v>
                </c:pt>
                <c:pt idx="39">
                  <c:v>341</c:v>
                </c:pt>
                <c:pt idx="40">
                  <c:v>341</c:v>
                </c:pt>
                <c:pt idx="41">
                  <c:v>341</c:v>
                </c:pt>
                <c:pt idx="42">
                  <c:v>341</c:v>
                </c:pt>
                <c:pt idx="43">
                  <c:v>341</c:v>
                </c:pt>
                <c:pt idx="44">
                  <c:v>341</c:v>
                </c:pt>
                <c:pt idx="45">
                  <c:v>341</c:v>
                </c:pt>
                <c:pt idx="46">
                  <c:v>341</c:v>
                </c:pt>
                <c:pt idx="47">
                  <c:v>341</c:v>
                </c:pt>
                <c:pt idx="48">
                  <c:v>341</c:v>
                </c:pt>
                <c:pt idx="49">
                  <c:v>341</c:v>
                </c:pt>
                <c:pt idx="50">
                  <c:v>341</c:v>
                </c:pt>
                <c:pt idx="51">
                  <c:v>341</c:v>
                </c:pt>
                <c:pt idx="52">
                  <c:v>341</c:v>
                </c:pt>
                <c:pt idx="53">
                  <c:v>341</c:v>
                </c:pt>
                <c:pt idx="54">
                  <c:v>341</c:v>
                </c:pt>
                <c:pt idx="55">
                  <c:v>341</c:v>
                </c:pt>
                <c:pt idx="56">
                  <c:v>341</c:v>
                </c:pt>
                <c:pt idx="57">
                  <c:v>341</c:v>
                </c:pt>
                <c:pt idx="58">
                  <c:v>341</c:v>
                </c:pt>
                <c:pt idx="59">
                  <c:v>341</c:v>
                </c:pt>
                <c:pt idx="60">
                  <c:v>341</c:v>
                </c:pt>
                <c:pt idx="61">
                  <c:v>341</c:v>
                </c:pt>
                <c:pt idx="62">
                  <c:v>341</c:v>
                </c:pt>
                <c:pt idx="63">
                  <c:v>341</c:v>
                </c:pt>
                <c:pt idx="64">
                  <c:v>341</c:v>
                </c:pt>
                <c:pt idx="65">
                  <c:v>341</c:v>
                </c:pt>
                <c:pt idx="66">
                  <c:v>341</c:v>
                </c:pt>
                <c:pt idx="67">
                  <c:v>341</c:v>
                </c:pt>
                <c:pt idx="68">
                  <c:v>341</c:v>
                </c:pt>
                <c:pt idx="69">
                  <c:v>341</c:v>
                </c:pt>
                <c:pt idx="70">
                  <c:v>341</c:v>
                </c:pt>
                <c:pt idx="71">
                  <c:v>341</c:v>
                </c:pt>
                <c:pt idx="72">
                  <c:v>341</c:v>
                </c:pt>
                <c:pt idx="73">
                  <c:v>341</c:v>
                </c:pt>
                <c:pt idx="74">
                  <c:v>341</c:v>
                </c:pt>
                <c:pt idx="75">
                  <c:v>341</c:v>
                </c:pt>
                <c:pt idx="76">
                  <c:v>341</c:v>
                </c:pt>
                <c:pt idx="77">
                  <c:v>341</c:v>
                </c:pt>
                <c:pt idx="78">
                  <c:v>341</c:v>
                </c:pt>
                <c:pt idx="79">
                  <c:v>341</c:v>
                </c:pt>
                <c:pt idx="80">
                  <c:v>495.5</c:v>
                </c:pt>
                <c:pt idx="81">
                  <c:v>600</c:v>
                </c:pt>
                <c:pt idx="82">
                  <c:v>720</c:v>
                </c:pt>
                <c:pt idx="83">
                  <c:v>815</c:v>
                </c:pt>
                <c:pt idx="84">
                  <c:v>824</c:v>
                </c:pt>
                <c:pt idx="85">
                  <c:v>824</c:v>
                </c:pt>
                <c:pt idx="86">
                  <c:v>849</c:v>
                </c:pt>
                <c:pt idx="87">
                  <c:v>938</c:v>
                </c:pt>
                <c:pt idx="88">
                  <c:v>977</c:v>
                </c:pt>
                <c:pt idx="89">
                  <c:v>1004</c:v>
                </c:pt>
                <c:pt idx="90">
                  <c:v>1096</c:v>
                </c:pt>
                <c:pt idx="91">
                  <c:v>1144</c:v>
                </c:pt>
                <c:pt idx="92">
                  <c:v>1255</c:v>
                </c:pt>
                <c:pt idx="93">
                  <c:v>1265</c:v>
                </c:pt>
                <c:pt idx="94">
                  <c:v>1265</c:v>
                </c:pt>
                <c:pt idx="95">
                  <c:v>1265</c:v>
                </c:pt>
                <c:pt idx="96">
                  <c:v>1265</c:v>
                </c:pt>
                <c:pt idx="97">
                  <c:v>1265</c:v>
                </c:pt>
                <c:pt idx="98">
                  <c:v>1265</c:v>
                </c:pt>
                <c:pt idx="99">
                  <c:v>1265</c:v>
                </c:pt>
                <c:pt idx="100">
                  <c:v>1265</c:v>
                </c:pt>
                <c:pt idx="101">
                  <c:v>1265</c:v>
                </c:pt>
                <c:pt idx="102">
                  <c:v>1265</c:v>
                </c:pt>
                <c:pt idx="103">
                  <c:v>1341</c:v>
                </c:pt>
                <c:pt idx="104">
                  <c:v>1388</c:v>
                </c:pt>
                <c:pt idx="105">
                  <c:v>1411</c:v>
                </c:pt>
                <c:pt idx="106">
                  <c:v>1411</c:v>
                </c:pt>
                <c:pt idx="107">
                  <c:v>1411</c:v>
                </c:pt>
                <c:pt idx="108">
                  <c:v>1411</c:v>
                </c:pt>
                <c:pt idx="109">
                  <c:v>1524</c:v>
                </c:pt>
                <c:pt idx="110">
                  <c:v>1579</c:v>
                </c:pt>
                <c:pt idx="111">
                  <c:v>1579</c:v>
                </c:pt>
                <c:pt idx="112">
                  <c:v>1589</c:v>
                </c:pt>
                <c:pt idx="113">
                  <c:v>1589</c:v>
                </c:pt>
                <c:pt idx="114">
                  <c:v>1589</c:v>
                </c:pt>
                <c:pt idx="115">
                  <c:v>1589</c:v>
                </c:pt>
                <c:pt idx="116">
                  <c:v>1589</c:v>
                </c:pt>
                <c:pt idx="117">
                  <c:v>1589</c:v>
                </c:pt>
                <c:pt idx="118">
                  <c:v>1589</c:v>
                </c:pt>
                <c:pt idx="119">
                  <c:v>1589</c:v>
                </c:pt>
                <c:pt idx="120">
                  <c:v>1589</c:v>
                </c:pt>
                <c:pt idx="121">
                  <c:v>1589</c:v>
                </c:pt>
                <c:pt idx="122">
                  <c:v>1589</c:v>
                </c:pt>
                <c:pt idx="123">
                  <c:v>1589</c:v>
                </c:pt>
                <c:pt idx="124">
                  <c:v>1589</c:v>
                </c:pt>
                <c:pt idx="125">
                  <c:v>1589</c:v>
                </c:pt>
                <c:pt idx="126">
                  <c:v>1589</c:v>
                </c:pt>
                <c:pt idx="127">
                  <c:v>1589</c:v>
                </c:pt>
                <c:pt idx="128">
                  <c:v>1589</c:v>
                </c:pt>
                <c:pt idx="129">
                  <c:v>1589</c:v>
                </c:pt>
                <c:pt idx="130">
                  <c:v>1589</c:v>
                </c:pt>
                <c:pt idx="131">
                  <c:v>1589</c:v>
                </c:pt>
                <c:pt idx="132">
                  <c:v>1589</c:v>
                </c:pt>
                <c:pt idx="133">
                  <c:v>1589</c:v>
                </c:pt>
                <c:pt idx="134">
                  <c:v>1589</c:v>
                </c:pt>
                <c:pt idx="135">
                  <c:v>1589</c:v>
                </c:pt>
                <c:pt idx="136">
                  <c:v>1589</c:v>
                </c:pt>
                <c:pt idx="137">
                  <c:v>1589</c:v>
                </c:pt>
                <c:pt idx="138">
                  <c:v>1589</c:v>
                </c:pt>
                <c:pt idx="139">
                  <c:v>1589</c:v>
                </c:pt>
                <c:pt idx="140">
                  <c:v>1589</c:v>
                </c:pt>
                <c:pt idx="141">
                  <c:v>1589</c:v>
                </c:pt>
                <c:pt idx="142">
                  <c:v>1589</c:v>
                </c:pt>
                <c:pt idx="143">
                  <c:v>1589</c:v>
                </c:pt>
                <c:pt idx="144">
                  <c:v>1589</c:v>
                </c:pt>
                <c:pt idx="145">
                  <c:v>1589</c:v>
                </c:pt>
                <c:pt idx="146">
                  <c:v>1589</c:v>
                </c:pt>
                <c:pt idx="147">
                  <c:v>1589</c:v>
                </c:pt>
                <c:pt idx="148">
                  <c:v>1589</c:v>
                </c:pt>
                <c:pt idx="149">
                  <c:v>1589</c:v>
                </c:pt>
                <c:pt idx="150">
                  <c:v>1589</c:v>
                </c:pt>
                <c:pt idx="151">
                  <c:v>1589</c:v>
                </c:pt>
                <c:pt idx="152">
                  <c:v>1589</c:v>
                </c:pt>
                <c:pt idx="153">
                  <c:v>1589</c:v>
                </c:pt>
                <c:pt idx="154">
                  <c:v>1589</c:v>
                </c:pt>
                <c:pt idx="155">
                  <c:v>1589</c:v>
                </c:pt>
                <c:pt idx="156">
                  <c:v>1589</c:v>
                </c:pt>
                <c:pt idx="157">
                  <c:v>1589</c:v>
                </c:pt>
                <c:pt idx="158">
                  <c:v>1589</c:v>
                </c:pt>
                <c:pt idx="159">
                  <c:v>1589</c:v>
                </c:pt>
                <c:pt idx="160">
                  <c:v>1589</c:v>
                </c:pt>
                <c:pt idx="161">
                  <c:v>1589</c:v>
                </c:pt>
                <c:pt idx="162">
                  <c:v>1589</c:v>
                </c:pt>
                <c:pt idx="163">
                  <c:v>1589</c:v>
                </c:pt>
                <c:pt idx="164">
                  <c:v>1589</c:v>
                </c:pt>
                <c:pt idx="165">
                  <c:v>1589</c:v>
                </c:pt>
                <c:pt idx="166">
                  <c:v>1589</c:v>
                </c:pt>
                <c:pt idx="167">
                  <c:v>1589</c:v>
                </c:pt>
                <c:pt idx="168">
                  <c:v>1589</c:v>
                </c:pt>
                <c:pt idx="169">
                  <c:v>1589</c:v>
                </c:pt>
                <c:pt idx="170">
                  <c:v>1589</c:v>
                </c:pt>
                <c:pt idx="171">
                  <c:v>1589</c:v>
                </c:pt>
                <c:pt idx="172">
                  <c:v>1589</c:v>
                </c:pt>
                <c:pt idx="173">
                  <c:v>1589</c:v>
                </c:pt>
                <c:pt idx="174">
                  <c:v>1589</c:v>
                </c:pt>
                <c:pt idx="175">
                  <c:v>1589</c:v>
                </c:pt>
                <c:pt idx="176">
                  <c:v>1589</c:v>
                </c:pt>
                <c:pt idx="177">
                  <c:v>1589</c:v>
                </c:pt>
                <c:pt idx="178">
                  <c:v>1589</c:v>
                </c:pt>
                <c:pt idx="179">
                  <c:v>1589</c:v>
                </c:pt>
                <c:pt idx="180">
                  <c:v>1589</c:v>
                </c:pt>
                <c:pt idx="181">
                  <c:v>1589</c:v>
                </c:pt>
                <c:pt idx="182">
                  <c:v>1589</c:v>
                </c:pt>
                <c:pt idx="183">
                  <c:v>1589</c:v>
                </c:pt>
                <c:pt idx="184">
                  <c:v>1589</c:v>
                </c:pt>
                <c:pt idx="185">
                  <c:v>1589</c:v>
                </c:pt>
                <c:pt idx="186">
                  <c:v>1589</c:v>
                </c:pt>
                <c:pt idx="187">
                  <c:v>1589</c:v>
                </c:pt>
                <c:pt idx="188">
                  <c:v>1589</c:v>
                </c:pt>
                <c:pt idx="189">
                  <c:v>1589</c:v>
                </c:pt>
                <c:pt idx="190">
                  <c:v>1589</c:v>
                </c:pt>
                <c:pt idx="191">
                  <c:v>1589</c:v>
                </c:pt>
                <c:pt idx="192">
                  <c:v>1589</c:v>
                </c:pt>
                <c:pt idx="193">
                  <c:v>1589</c:v>
                </c:pt>
                <c:pt idx="194">
                  <c:v>1589</c:v>
                </c:pt>
                <c:pt idx="195">
                  <c:v>1589</c:v>
                </c:pt>
                <c:pt idx="196">
                  <c:v>1589</c:v>
                </c:pt>
                <c:pt idx="197">
                  <c:v>1589</c:v>
                </c:pt>
                <c:pt idx="198">
                  <c:v>1589</c:v>
                </c:pt>
                <c:pt idx="199">
                  <c:v>1589</c:v>
                </c:pt>
                <c:pt idx="200">
                  <c:v>1589</c:v>
                </c:pt>
                <c:pt idx="201">
                  <c:v>1589</c:v>
                </c:pt>
                <c:pt idx="202">
                  <c:v>1589</c:v>
                </c:pt>
                <c:pt idx="203">
                  <c:v>1589</c:v>
                </c:pt>
                <c:pt idx="204">
                  <c:v>1589</c:v>
                </c:pt>
                <c:pt idx="205">
                  <c:v>1589</c:v>
                </c:pt>
                <c:pt idx="206">
                  <c:v>1589</c:v>
                </c:pt>
                <c:pt idx="207">
                  <c:v>1589</c:v>
                </c:pt>
                <c:pt idx="208">
                  <c:v>1589</c:v>
                </c:pt>
                <c:pt idx="209">
                  <c:v>1589</c:v>
                </c:pt>
                <c:pt idx="210">
                  <c:v>1589</c:v>
                </c:pt>
                <c:pt idx="211">
                  <c:v>1589</c:v>
                </c:pt>
                <c:pt idx="212">
                  <c:v>1589</c:v>
                </c:pt>
                <c:pt idx="213">
                  <c:v>1589</c:v>
                </c:pt>
                <c:pt idx="214">
                  <c:v>1589</c:v>
                </c:pt>
                <c:pt idx="215">
                  <c:v>1589</c:v>
                </c:pt>
                <c:pt idx="216">
                  <c:v>1589</c:v>
                </c:pt>
                <c:pt idx="217">
                  <c:v>1589</c:v>
                </c:pt>
                <c:pt idx="218">
                  <c:v>1589</c:v>
                </c:pt>
                <c:pt idx="219">
                  <c:v>1589</c:v>
                </c:pt>
                <c:pt idx="220">
                  <c:v>1589</c:v>
                </c:pt>
                <c:pt idx="221">
                  <c:v>1589</c:v>
                </c:pt>
                <c:pt idx="222">
                  <c:v>1589</c:v>
                </c:pt>
                <c:pt idx="223">
                  <c:v>1589</c:v>
                </c:pt>
                <c:pt idx="224">
                  <c:v>1589</c:v>
                </c:pt>
                <c:pt idx="225">
                  <c:v>1589</c:v>
                </c:pt>
                <c:pt idx="226">
                  <c:v>1589</c:v>
                </c:pt>
                <c:pt idx="227">
                  <c:v>1589</c:v>
                </c:pt>
                <c:pt idx="228">
                  <c:v>1589</c:v>
                </c:pt>
                <c:pt idx="229">
                  <c:v>1589</c:v>
                </c:pt>
                <c:pt idx="230">
                  <c:v>1589</c:v>
                </c:pt>
                <c:pt idx="231">
                  <c:v>1589</c:v>
                </c:pt>
                <c:pt idx="232">
                  <c:v>1589</c:v>
                </c:pt>
                <c:pt idx="233">
                  <c:v>1589</c:v>
                </c:pt>
                <c:pt idx="234">
                  <c:v>1589</c:v>
                </c:pt>
                <c:pt idx="235">
                  <c:v>1589</c:v>
                </c:pt>
                <c:pt idx="236">
                  <c:v>1589</c:v>
                </c:pt>
                <c:pt idx="237">
                  <c:v>1589</c:v>
                </c:pt>
                <c:pt idx="238">
                  <c:v>1589</c:v>
                </c:pt>
                <c:pt idx="239">
                  <c:v>1589</c:v>
                </c:pt>
                <c:pt idx="240">
                  <c:v>1621</c:v>
                </c:pt>
                <c:pt idx="241">
                  <c:v>1621</c:v>
                </c:pt>
                <c:pt idx="242">
                  <c:v>1633.5</c:v>
                </c:pt>
                <c:pt idx="243">
                  <c:v>1633.5</c:v>
                </c:pt>
                <c:pt idx="244">
                  <c:v>1633.5</c:v>
                </c:pt>
                <c:pt idx="245">
                  <c:v>1633.5</c:v>
                </c:pt>
                <c:pt idx="246">
                  <c:v>1633.5</c:v>
                </c:pt>
                <c:pt idx="247">
                  <c:v>1633.5</c:v>
                </c:pt>
                <c:pt idx="248">
                  <c:v>1633.5</c:v>
                </c:pt>
                <c:pt idx="249">
                  <c:v>1633.5</c:v>
                </c:pt>
                <c:pt idx="250">
                  <c:v>1683</c:v>
                </c:pt>
                <c:pt idx="251">
                  <c:v>1736</c:v>
                </c:pt>
                <c:pt idx="252">
                  <c:v>1784</c:v>
                </c:pt>
                <c:pt idx="253">
                  <c:v>1827</c:v>
                </c:pt>
                <c:pt idx="254">
                  <c:v>1827</c:v>
                </c:pt>
                <c:pt idx="255">
                  <c:v>1913</c:v>
                </c:pt>
                <c:pt idx="256">
                  <c:v>2042</c:v>
                </c:pt>
                <c:pt idx="257">
                  <c:v>2166</c:v>
                </c:pt>
                <c:pt idx="258">
                  <c:v>2340</c:v>
                </c:pt>
                <c:pt idx="259">
                  <c:v>2363</c:v>
                </c:pt>
                <c:pt idx="260">
                  <c:v>2363</c:v>
                </c:pt>
                <c:pt idx="261">
                  <c:v>2363</c:v>
                </c:pt>
                <c:pt idx="262">
                  <c:v>2394</c:v>
                </c:pt>
                <c:pt idx="263">
                  <c:v>2394</c:v>
                </c:pt>
                <c:pt idx="264">
                  <c:v>2497</c:v>
                </c:pt>
                <c:pt idx="265">
                  <c:v>2497</c:v>
                </c:pt>
                <c:pt idx="266">
                  <c:v>2497</c:v>
                </c:pt>
                <c:pt idx="267">
                  <c:v>2497</c:v>
                </c:pt>
                <c:pt idx="268">
                  <c:v>2497</c:v>
                </c:pt>
                <c:pt idx="269">
                  <c:v>2497</c:v>
                </c:pt>
                <c:pt idx="270">
                  <c:v>2497</c:v>
                </c:pt>
                <c:pt idx="271">
                  <c:v>2563</c:v>
                </c:pt>
                <c:pt idx="272">
                  <c:v>2602</c:v>
                </c:pt>
                <c:pt idx="273">
                  <c:v>2602</c:v>
                </c:pt>
                <c:pt idx="274">
                  <c:v>2602</c:v>
                </c:pt>
                <c:pt idx="275">
                  <c:v>2602</c:v>
                </c:pt>
                <c:pt idx="276">
                  <c:v>2709</c:v>
                </c:pt>
                <c:pt idx="277">
                  <c:v>2709</c:v>
                </c:pt>
                <c:pt idx="278">
                  <c:v>2709</c:v>
                </c:pt>
                <c:pt idx="279">
                  <c:v>2709</c:v>
                </c:pt>
                <c:pt idx="280">
                  <c:v>2709</c:v>
                </c:pt>
                <c:pt idx="281">
                  <c:v>2709</c:v>
                </c:pt>
                <c:pt idx="282">
                  <c:v>2709</c:v>
                </c:pt>
                <c:pt idx="283">
                  <c:v>2709</c:v>
                </c:pt>
                <c:pt idx="284">
                  <c:v>2709</c:v>
                </c:pt>
                <c:pt idx="285">
                  <c:v>2709</c:v>
                </c:pt>
                <c:pt idx="286">
                  <c:v>2709</c:v>
                </c:pt>
                <c:pt idx="287">
                  <c:v>2709</c:v>
                </c:pt>
                <c:pt idx="288">
                  <c:v>2709</c:v>
                </c:pt>
                <c:pt idx="289">
                  <c:v>2709</c:v>
                </c:pt>
                <c:pt idx="290">
                  <c:v>2709</c:v>
                </c:pt>
                <c:pt idx="291">
                  <c:v>2709</c:v>
                </c:pt>
                <c:pt idx="292">
                  <c:v>2709</c:v>
                </c:pt>
                <c:pt idx="293">
                  <c:v>2709</c:v>
                </c:pt>
                <c:pt idx="294">
                  <c:v>2709</c:v>
                </c:pt>
                <c:pt idx="295">
                  <c:v>2709</c:v>
                </c:pt>
                <c:pt idx="296">
                  <c:v>2709</c:v>
                </c:pt>
                <c:pt idx="297">
                  <c:v>2709</c:v>
                </c:pt>
                <c:pt idx="298">
                  <c:v>2709</c:v>
                </c:pt>
                <c:pt idx="299">
                  <c:v>2894</c:v>
                </c:pt>
                <c:pt idx="300">
                  <c:v>2997</c:v>
                </c:pt>
                <c:pt idx="301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0D-4265-81E5-C62BD6EC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552480"/>
        <c:axId val="1837599280"/>
      </c:lineChart>
      <c:dateAx>
        <c:axId val="156791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Day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  <c:majorUnit val="30"/>
      </c:valAx>
      <c:valAx>
        <c:axId val="1837599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52480"/>
        <c:crosses val="max"/>
        <c:crossBetween val="between"/>
        <c:majorUnit val="500"/>
      </c:valAx>
      <c:dateAx>
        <c:axId val="5165524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3759928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  <c:extLst xmlns:c15="http://schemas.microsoft.com/office/drawing/2012/chart"/>
            </c:numRef>
          </c:cat>
          <c:val>
            <c:numRef>
              <c:f>[0]!PagesDayTotalAll</c:f>
              <c:numCache>
                <c:formatCode>General</c:formatCode>
                <c:ptCount val="1114"/>
                <c:pt idx="0">
                  <c:v>129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</c:v>
                </c:pt>
                <c:pt idx="12">
                  <c:v>102</c:v>
                </c:pt>
                <c:pt idx="13">
                  <c:v>95</c:v>
                </c:pt>
                <c:pt idx="14">
                  <c:v>128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76</c:v>
                </c:pt>
                <c:pt idx="20">
                  <c:v>166</c:v>
                </c:pt>
                <c:pt idx="21">
                  <c:v>139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129</c:v>
                </c:pt>
                <c:pt idx="27">
                  <c:v>42</c:v>
                </c:pt>
                <c:pt idx="28">
                  <c:v>88</c:v>
                </c:pt>
                <c:pt idx="29">
                  <c:v>63</c:v>
                </c:pt>
                <c:pt idx="30">
                  <c:v>0</c:v>
                </c:pt>
                <c:pt idx="31">
                  <c:v>54</c:v>
                </c:pt>
                <c:pt idx="32">
                  <c:v>121</c:v>
                </c:pt>
                <c:pt idx="33">
                  <c:v>62</c:v>
                </c:pt>
                <c:pt idx="34">
                  <c:v>47</c:v>
                </c:pt>
                <c:pt idx="35">
                  <c:v>101</c:v>
                </c:pt>
                <c:pt idx="36">
                  <c:v>200</c:v>
                </c:pt>
                <c:pt idx="37">
                  <c:v>144</c:v>
                </c:pt>
                <c:pt idx="38">
                  <c:v>71</c:v>
                </c:pt>
                <c:pt idx="39">
                  <c:v>100</c:v>
                </c:pt>
                <c:pt idx="40">
                  <c:v>15</c:v>
                </c:pt>
                <c:pt idx="41">
                  <c:v>72</c:v>
                </c:pt>
                <c:pt idx="42">
                  <c:v>0</c:v>
                </c:pt>
                <c:pt idx="43">
                  <c:v>44</c:v>
                </c:pt>
                <c:pt idx="44">
                  <c:v>22</c:v>
                </c:pt>
                <c:pt idx="45">
                  <c:v>76</c:v>
                </c:pt>
                <c:pt idx="46">
                  <c:v>89</c:v>
                </c:pt>
                <c:pt idx="47">
                  <c:v>0</c:v>
                </c:pt>
                <c:pt idx="48">
                  <c:v>63</c:v>
                </c:pt>
                <c:pt idx="49">
                  <c:v>179</c:v>
                </c:pt>
                <c:pt idx="50">
                  <c:v>44</c:v>
                </c:pt>
                <c:pt idx="51">
                  <c:v>0</c:v>
                </c:pt>
                <c:pt idx="52">
                  <c:v>114</c:v>
                </c:pt>
                <c:pt idx="53">
                  <c:v>0</c:v>
                </c:pt>
                <c:pt idx="54">
                  <c:v>263</c:v>
                </c:pt>
                <c:pt idx="55">
                  <c:v>42</c:v>
                </c:pt>
                <c:pt idx="56">
                  <c:v>103</c:v>
                </c:pt>
                <c:pt idx="57">
                  <c:v>62</c:v>
                </c:pt>
                <c:pt idx="58">
                  <c:v>0</c:v>
                </c:pt>
                <c:pt idx="59">
                  <c:v>0</c:v>
                </c:pt>
                <c:pt idx="60">
                  <c:v>127</c:v>
                </c:pt>
                <c:pt idx="61">
                  <c:v>34</c:v>
                </c:pt>
                <c:pt idx="62">
                  <c:v>0</c:v>
                </c:pt>
                <c:pt idx="63">
                  <c:v>26</c:v>
                </c:pt>
                <c:pt idx="64">
                  <c:v>48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21</c:v>
                </c:pt>
                <c:pt idx="73">
                  <c:v>39</c:v>
                </c:pt>
                <c:pt idx="74">
                  <c:v>89</c:v>
                </c:pt>
                <c:pt idx="75">
                  <c:v>30</c:v>
                </c:pt>
                <c:pt idx="76">
                  <c:v>20</c:v>
                </c:pt>
                <c:pt idx="77">
                  <c:v>50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153</c:v>
                </c:pt>
                <c:pt idx="83">
                  <c:v>139</c:v>
                </c:pt>
                <c:pt idx="84">
                  <c:v>36</c:v>
                </c:pt>
                <c:pt idx="85">
                  <c:v>20</c:v>
                </c:pt>
                <c:pt idx="86">
                  <c:v>0</c:v>
                </c:pt>
                <c:pt idx="87">
                  <c:v>0</c:v>
                </c:pt>
                <c:pt idx="88">
                  <c:v>27</c:v>
                </c:pt>
                <c:pt idx="89">
                  <c:v>19</c:v>
                </c:pt>
                <c:pt idx="90">
                  <c:v>0</c:v>
                </c:pt>
                <c:pt idx="91">
                  <c:v>0</c:v>
                </c:pt>
                <c:pt idx="92">
                  <c:v>36</c:v>
                </c:pt>
                <c:pt idx="93">
                  <c:v>0</c:v>
                </c:pt>
                <c:pt idx="94">
                  <c:v>51</c:v>
                </c:pt>
                <c:pt idx="95">
                  <c:v>37</c:v>
                </c:pt>
                <c:pt idx="96">
                  <c:v>41</c:v>
                </c:pt>
                <c:pt idx="97">
                  <c:v>88</c:v>
                </c:pt>
                <c:pt idx="98">
                  <c:v>54</c:v>
                </c:pt>
                <c:pt idx="99">
                  <c:v>0</c:v>
                </c:pt>
                <c:pt idx="100">
                  <c:v>0</c:v>
                </c:pt>
                <c:pt idx="101">
                  <c:v>114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>
                  <c:v>0</c:v>
                </c:pt>
                <c:pt idx="108">
                  <c:v>16</c:v>
                </c:pt>
                <c:pt idx="109">
                  <c:v>72</c:v>
                </c:pt>
                <c:pt idx="110">
                  <c:v>78</c:v>
                </c:pt>
                <c:pt idx="111">
                  <c:v>218</c:v>
                </c:pt>
                <c:pt idx="112">
                  <c:v>0</c:v>
                </c:pt>
                <c:pt idx="113">
                  <c:v>0</c:v>
                </c:pt>
                <c:pt idx="114">
                  <c:v>37</c:v>
                </c:pt>
                <c:pt idx="115">
                  <c:v>0</c:v>
                </c:pt>
                <c:pt idx="116">
                  <c:v>207</c:v>
                </c:pt>
                <c:pt idx="117">
                  <c:v>0</c:v>
                </c:pt>
                <c:pt idx="118">
                  <c:v>42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33</c:v>
                </c:pt>
                <c:pt idx="124">
                  <c:v>43</c:v>
                </c:pt>
                <c:pt idx="125">
                  <c:v>65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77</c:v>
                </c:pt>
                <c:pt idx="143">
                  <c:v>0</c:v>
                </c:pt>
                <c:pt idx="144">
                  <c:v>21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56</c:v>
                </c:pt>
                <c:pt idx="165">
                  <c:v>0</c:v>
                </c:pt>
                <c:pt idx="166">
                  <c:v>0</c:v>
                </c:pt>
                <c:pt idx="167">
                  <c:v>49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75</c:v>
                </c:pt>
                <c:pt idx="172">
                  <c:v>43</c:v>
                </c:pt>
                <c:pt idx="173">
                  <c:v>0</c:v>
                </c:pt>
                <c:pt idx="174">
                  <c:v>83</c:v>
                </c:pt>
                <c:pt idx="175">
                  <c:v>0</c:v>
                </c:pt>
                <c:pt idx="176">
                  <c:v>31</c:v>
                </c:pt>
                <c:pt idx="177">
                  <c:v>25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112</c:v>
                </c:pt>
                <c:pt idx="194">
                  <c:v>44</c:v>
                </c:pt>
                <c:pt idx="195">
                  <c:v>37</c:v>
                </c:pt>
                <c:pt idx="196">
                  <c:v>104</c:v>
                </c:pt>
                <c:pt idx="197">
                  <c:v>79</c:v>
                </c:pt>
                <c:pt idx="198">
                  <c:v>64</c:v>
                </c:pt>
                <c:pt idx="199">
                  <c:v>64</c:v>
                </c:pt>
                <c:pt idx="200">
                  <c:v>81</c:v>
                </c:pt>
                <c:pt idx="201">
                  <c:v>54</c:v>
                </c:pt>
                <c:pt idx="202">
                  <c:v>39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44</c:v>
                </c:pt>
                <c:pt idx="208">
                  <c:v>24</c:v>
                </c:pt>
                <c:pt idx="209">
                  <c:v>1</c:v>
                </c:pt>
                <c:pt idx="210">
                  <c:v>22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51</c:v>
                </c:pt>
                <c:pt idx="215">
                  <c:v>120</c:v>
                </c:pt>
                <c:pt idx="216">
                  <c:v>85</c:v>
                </c:pt>
                <c:pt idx="217">
                  <c:v>210</c:v>
                </c:pt>
                <c:pt idx="218">
                  <c:v>46</c:v>
                </c:pt>
                <c:pt idx="219">
                  <c:v>83</c:v>
                </c:pt>
                <c:pt idx="220">
                  <c:v>84</c:v>
                </c:pt>
                <c:pt idx="221">
                  <c:v>140</c:v>
                </c:pt>
                <c:pt idx="222">
                  <c:v>98</c:v>
                </c:pt>
                <c:pt idx="223">
                  <c:v>27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3</c:v>
                </c:pt>
                <c:pt idx="230">
                  <c:v>75</c:v>
                </c:pt>
                <c:pt idx="231">
                  <c:v>0</c:v>
                </c:pt>
                <c:pt idx="232">
                  <c:v>111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5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37</c:v>
                </c:pt>
                <c:pt idx="299">
                  <c:v>0</c:v>
                </c:pt>
                <c:pt idx="300">
                  <c:v>32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46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35</c:v>
                </c:pt>
                <c:pt idx="320">
                  <c:v>20</c:v>
                </c:pt>
                <c:pt idx="321">
                  <c:v>59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127</c:v>
                </c:pt>
                <c:pt idx="326">
                  <c:v>22</c:v>
                </c:pt>
                <c:pt idx="327">
                  <c:v>70</c:v>
                </c:pt>
                <c:pt idx="328">
                  <c:v>62</c:v>
                </c:pt>
                <c:pt idx="329">
                  <c:v>7</c:v>
                </c:pt>
                <c:pt idx="330">
                  <c:v>7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61</c:v>
                </c:pt>
                <c:pt idx="339">
                  <c:v>8</c:v>
                </c:pt>
                <c:pt idx="340">
                  <c:v>19</c:v>
                </c:pt>
                <c:pt idx="341">
                  <c:v>52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60</c:v>
                </c:pt>
                <c:pt idx="348">
                  <c:v>10</c:v>
                </c:pt>
                <c:pt idx="349">
                  <c:v>48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74</c:v>
                </c:pt>
                <c:pt idx="357">
                  <c:v>148</c:v>
                </c:pt>
                <c:pt idx="358">
                  <c:v>4</c:v>
                </c:pt>
                <c:pt idx="359">
                  <c:v>24</c:v>
                </c:pt>
                <c:pt idx="360">
                  <c:v>69</c:v>
                </c:pt>
                <c:pt idx="361">
                  <c:v>17</c:v>
                </c:pt>
                <c:pt idx="362">
                  <c:v>27</c:v>
                </c:pt>
                <c:pt idx="363">
                  <c:v>51</c:v>
                </c:pt>
                <c:pt idx="364">
                  <c:v>0</c:v>
                </c:pt>
                <c:pt idx="365">
                  <c:v>37</c:v>
                </c:pt>
                <c:pt idx="366">
                  <c:v>0</c:v>
                </c:pt>
                <c:pt idx="367">
                  <c:v>78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21</c:v>
                </c:pt>
                <c:pt idx="390">
                  <c:v>10</c:v>
                </c:pt>
                <c:pt idx="391">
                  <c:v>42</c:v>
                </c:pt>
                <c:pt idx="392">
                  <c:v>0</c:v>
                </c:pt>
                <c:pt idx="393">
                  <c:v>96</c:v>
                </c:pt>
                <c:pt idx="394">
                  <c:v>93</c:v>
                </c:pt>
                <c:pt idx="395">
                  <c:v>12</c:v>
                </c:pt>
                <c:pt idx="396">
                  <c:v>0</c:v>
                </c:pt>
                <c:pt idx="397">
                  <c:v>0</c:v>
                </c:pt>
                <c:pt idx="398">
                  <c:v>7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23</c:v>
                </c:pt>
                <c:pt idx="458">
                  <c:v>32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22</c:v>
                </c:pt>
                <c:pt idx="470">
                  <c:v>15</c:v>
                </c:pt>
                <c:pt idx="471">
                  <c:v>0</c:v>
                </c:pt>
                <c:pt idx="472">
                  <c:v>34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33</c:v>
                </c:pt>
                <c:pt idx="485">
                  <c:v>88</c:v>
                </c:pt>
                <c:pt idx="486">
                  <c:v>0</c:v>
                </c:pt>
                <c:pt idx="487">
                  <c:v>38</c:v>
                </c:pt>
                <c:pt idx="488">
                  <c:v>0</c:v>
                </c:pt>
                <c:pt idx="489">
                  <c:v>34</c:v>
                </c:pt>
                <c:pt idx="490">
                  <c:v>0</c:v>
                </c:pt>
                <c:pt idx="491">
                  <c:v>0</c:v>
                </c:pt>
                <c:pt idx="492">
                  <c:v>129</c:v>
                </c:pt>
                <c:pt idx="493">
                  <c:v>0</c:v>
                </c:pt>
                <c:pt idx="494">
                  <c:v>0</c:v>
                </c:pt>
                <c:pt idx="495">
                  <c:v>19</c:v>
                </c:pt>
                <c:pt idx="496">
                  <c:v>25</c:v>
                </c:pt>
                <c:pt idx="497">
                  <c:v>23</c:v>
                </c:pt>
                <c:pt idx="498">
                  <c:v>0</c:v>
                </c:pt>
                <c:pt idx="499">
                  <c:v>72</c:v>
                </c:pt>
                <c:pt idx="500">
                  <c:v>46</c:v>
                </c:pt>
                <c:pt idx="501">
                  <c:v>12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45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37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43</c:v>
                </c:pt>
                <c:pt idx="680">
                  <c:v>0</c:v>
                </c:pt>
                <c:pt idx="681">
                  <c:v>25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43</c:v>
                </c:pt>
                <c:pt idx="687">
                  <c:v>0</c:v>
                </c:pt>
                <c:pt idx="688">
                  <c:v>30</c:v>
                </c:pt>
                <c:pt idx="689">
                  <c:v>125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65</c:v>
                </c:pt>
                <c:pt idx="713">
                  <c:v>86</c:v>
                </c:pt>
                <c:pt idx="714">
                  <c:v>37</c:v>
                </c:pt>
                <c:pt idx="715">
                  <c:v>21</c:v>
                </c:pt>
                <c:pt idx="716">
                  <c:v>0</c:v>
                </c:pt>
                <c:pt idx="717">
                  <c:v>0</c:v>
                </c:pt>
                <c:pt idx="718">
                  <c:v>34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94</c:v>
                </c:pt>
                <c:pt idx="818">
                  <c:v>15</c:v>
                </c:pt>
                <c:pt idx="819">
                  <c:v>14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4</c:v>
                </c:pt>
                <c:pt idx="824">
                  <c:v>12</c:v>
                </c:pt>
                <c:pt idx="825">
                  <c:v>155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154.5</c:v>
                </c:pt>
                <c:pt idx="893">
                  <c:v>104.5</c:v>
                </c:pt>
                <c:pt idx="894">
                  <c:v>120</c:v>
                </c:pt>
                <c:pt idx="895">
                  <c:v>95</c:v>
                </c:pt>
                <c:pt idx="896">
                  <c:v>9</c:v>
                </c:pt>
                <c:pt idx="897">
                  <c:v>0</c:v>
                </c:pt>
                <c:pt idx="898">
                  <c:v>25</c:v>
                </c:pt>
                <c:pt idx="899">
                  <c:v>89</c:v>
                </c:pt>
                <c:pt idx="900">
                  <c:v>39</c:v>
                </c:pt>
                <c:pt idx="901">
                  <c:v>27</c:v>
                </c:pt>
                <c:pt idx="902">
                  <c:v>92</c:v>
                </c:pt>
                <c:pt idx="903">
                  <c:v>48</c:v>
                </c:pt>
                <c:pt idx="904">
                  <c:v>111</c:v>
                </c:pt>
                <c:pt idx="905">
                  <c:v>10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76</c:v>
                </c:pt>
                <c:pt idx="916">
                  <c:v>47</c:v>
                </c:pt>
                <c:pt idx="917">
                  <c:v>23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113</c:v>
                </c:pt>
                <c:pt idx="922">
                  <c:v>55</c:v>
                </c:pt>
                <c:pt idx="923">
                  <c:v>0</c:v>
                </c:pt>
                <c:pt idx="924">
                  <c:v>10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32</c:v>
                </c:pt>
                <c:pt idx="1053">
                  <c:v>0</c:v>
                </c:pt>
                <c:pt idx="1054">
                  <c:v>12.5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49.5</c:v>
                </c:pt>
                <c:pt idx="1063">
                  <c:v>53</c:v>
                </c:pt>
                <c:pt idx="1064">
                  <c:v>48</c:v>
                </c:pt>
                <c:pt idx="1065">
                  <c:v>43</c:v>
                </c:pt>
                <c:pt idx="1066">
                  <c:v>0</c:v>
                </c:pt>
                <c:pt idx="1067">
                  <c:v>86</c:v>
                </c:pt>
                <c:pt idx="1068">
                  <c:v>129</c:v>
                </c:pt>
                <c:pt idx="1069">
                  <c:v>124</c:v>
                </c:pt>
                <c:pt idx="1070">
                  <c:v>174</c:v>
                </c:pt>
                <c:pt idx="1071">
                  <c:v>23</c:v>
                </c:pt>
                <c:pt idx="1072">
                  <c:v>0</c:v>
                </c:pt>
                <c:pt idx="1073">
                  <c:v>0</c:v>
                </c:pt>
                <c:pt idx="1074">
                  <c:v>31</c:v>
                </c:pt>
                <c:pt idx="1075">
                  <c:v>0</c:v>
                </c:pt>
                <c:pt idx="1076">
                  <c:v>103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66</c:v>
                </c:pt>
                <c:pt idx="1084">
                  <c:v>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107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185</c:v>
                </c:pt>
                <c:pt idx="1112">
                  <c:v>103</c:v>
                </c:pt>
                <c:pt idx="111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0-4F5E-8FC2-AA34E6D10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0"/>
          <c:order val="1"/>
          <c:tx>
            <c:strRef>
              <c:f>Pages!$C$1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  <c:extLst xmlns:c15="http://schemas.microsoft.com/office/drawing/2012/chart"/>
            </c:numRef>
          </c:cat>
          <c:val>
            <c:numRef>
              <c:f>[0]!PagesCumAll</c:f>
              <c:numCache>
                <c:formatCode>General</c:formatCode>
                <c:ptCount val="1114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163</c:v>
                </c:pt>
                <c:pt idx="6">
                  <c:v>204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436</c:v>
                </c:pt>
                <c:pt idx="12">
                  <c:v>538</c:v>
                </c:pt>
                <c:pt idx="13">
                  <c:v>633</c:v>
                </c:pt>
                <c:pt idx="14">
                  <c:v>761</c:v>
                </c:pt>
                <c:pt idx="15">
                  <c:v>843</c:v>
                </c:pt>
                <c:pt idx="16">
                  <c:v>843</c:v>
                </c:pt>
                <c:pt idx="17">
                  <c:v>843</c:v>
                </c:pt>
                <c:pt idx="18">
                  <c:v>843</c:v>
                </c:pt>
                <c:pt idx="19">
                  <c:v>919</c:v>
                </c:pt>
                <c:pt idx="20">
                  <c:v>1085</c:v>
                </c:pt>
                <c:pt idx="21">
                  <c:v>1224</c:v>
                </c:pt>
                <c:pt idx="22">
                  <c:v>1224</c:v>
                </c:pt>
                <c:pt idx="23">
                  <c:v>1224</c:v>
                </c:pt>
                <c:pt idx="24">
                  <c:v>1224</c:v>
                </c:pt>
                <c:pt idx="25">
                  <c:v>1301</c:v>
                </c:pt>
                <c:pt idx="26">
                  <c:v>1430</c:v>
                </c:pt>
                <c:pt idx="27">
                  <c:v>1472</c:v>
                </c:pt>
                <c:pt idx="28">
                  <c:v>1560</c:v>
                </c:pt>
                <c:pt idx="29">
                  <c:v>1623</c:v>
                </c:pt>
                <c:pt idx="30">
                  <c:v>1623</c:v>
                </c:pt>
                <c:pt idx="31">
                  <c:v>1677</c:v>
                </c:pt>
                <c:pt idx="32">
                  <c:v>1798</c:v>
                </c:pt>
                <c:pt idx="33">
                  <c:v>1860</c:v>
                </c:pt>
                <c:pt idx="34">
                  <c:v>1907</c:v>
                </c:pt>
                <c:pt idx="35">
                  <c:v>2008</c:v>
                </c:pt>
                <c:pt idx="36">
                  <c:v>2208</c:v>
                </c:pt>
                <c:pt idx="37">
                  <c:v>2352</c:v>
                </c:pt>
                <c:pt idx="38">
                  <c:v>2423</c:v>
                </c:pt>
                <c:pt idx="39">
                  <c:v>2523</c:v>
                </c:pt>
                <c:pt idx="40">
                  <c:v>2538</c:v>
                </c:pt>
                <c:pt idx="41">
                  <c:v>2610</c:v>
                </c:pt>
                <c:pt idx="42">
                  <c:v>2610</c:v>
                </c:pt>
                <c:pt idx="43">
                  <c:v>2654</c:v>
                </c:pt>
                <c:pt idx="44">
                  <c:v>2676</c:v>
                </c:pt>
                <c:pt idx="45">
                  <c:v>2752</c:v>
                </c:pt>
                <c:pt idx="46">
                  <c:v>2841</c:v>
                </c:pt>
                <c:pt idx="47">
                  <c:v>2841</c:v>
                </c:pt>
                <c:pt idx="48">
                  <c:v>2904</c:v>
                </c:pt>
                <c:pt idx="49">
                  <c:v>3083</c:v>
                </c:pt>
                <c:pt idx="50">
                  <c:v>3127</c:v>
                </c:pt>
                <c:pt idx="51">
                  <c:v>3127</c:v>
                </c:pt>
                <c:pt idx="52">
                  <c:v>3241</c:v>
                </c:pt>
                <c:pt idx="53">
                  <c:v>3241</c:v>
                </c:pt>
                <c:pt idx="54">
                  <c:v>3504</c:v>
                </c:pt>
                <c:pt idx="55">
                  <c:v>3546</c:v>
                </c:pt>
                <c:pt idx="56">
                  <c:v>3649</c:v>
                </c:pt>
                <c:pt idx="57">
                  <c:v>3711</c:v>
                </c:pt>
                <c:pt idx="58">
                  <c:v>3711</c:v>
                </c:pt>
                <c:pt idx="59">
                  <c:v>3711</c:v>
                </c:pt>
                <c:pt idx="60">
                  <c:v>3838</c:v>
                </c:pt>
                <c:pt idx="61">
                  <c:v>3872</c:v>
                </c:pt>
                <c:pt idx="62">
                  <c:v>3872</c:v>
                </c:pt>
                <c:pt idx="63">
                  <c:v>3898</c:v>
                </c:pt>
                <c:pt idx="64">
                  <c:v>3946</c:v>
                </c:pt>
                <c:pt idx="65">
                  <c:v>3946</c:v>
                </c:pt>
                <c:pt idx="66">
                  <c:v>3946</c:v>
                </c:pt>
                <c:pt idx="67">
                  <c:v>3946</c:v>
                </c:pt>
                <c:pt idx="68">
                  <c:v>3946</c:v>
                </c:pt>
                <c:pt idx="69">
                  <c:v>3946</c:v>
                </c:pt>
                <c:pt idx="70">
                  <c:v>3946</c:v>
                </c:pt>
                <c:pt idx="71">
                  <c:v>3946</c:v>
                </c:pt>
                <c:pt idx="72">
                  <c:v>3967</c:v>
                </c:pt>
                <c:pt idx="73">
                  <c:v>4006</c:v>
                </c:pt>
                <c:pt idx="74">
                  <c:v>4095</c:v>
                </c:pt>
                <c:pt idx="75">
                  <c:v>4125</c:v>
                </c:pt>
                <c:pt idx="76">
                  <c:v>4145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  <c:pt idx="81">
                  <c:v>4297</c:v>
                </c:pt>
                <c:pt idx="82">
                  <c:v>4450</c:v>
                </c:pt>
                <c:pt idx="83">
                  <c:v>4589</c:v>
                </c:pt>
                <c:pt idx="84">
                  <c:v>4625</c:v>
                </c:pt>
                <c:pt idx="85">
                  <c:v>4645</c:v>
                </c:pt>
                <c:pt idx="86">
                  <c:v>4645</c:v>
                </c:pt>
                <c:pt idx="87">
                  <c:v>4645</c:v>
                </c:pt>
                <c:pt idx="88">
                  <c:v>4672</c:v>
                </c:pt>
                <c:pt idx="89">
                  <c:v>4691</c:v>
                </c:pt>
                <c:pt idx="90">
                  <c:v>4691</c:v>
                </c:pt>
                <c:pt idx="91">
                  <c:v>4691</c:v>
                </c:pt>
                <c:pt idx="92">
                  <c:v>4727</c:v>
                </c:pt>
                <c:pt idx="93">
                  <c:v>4727</c:v>
                </c:pt>
                <c:pt idx="94">
                  <c:v>4778</c:v>
                </c:pt>
                <c:pt idx="95">
                  <c:v>4815</c:v>
                </c:pt>
                <c:pt idx="96">
                  <c:v>4856</c:v>
                </c:pt>
                <c:pt idx="97">
                  <c:v>4944</c:v>
                </c:pt>
                <c:pt idx="98">
                  <c:v>4998</c:v>
                </c:pt>
                <c:pt idx="99">
                  <c:v>4998</c:v>
                </c:pt>
                <c:pt idx="100">
                  <c:v>4998</c:v>
                </c:pt>
                <c:pt idx="101">
                  <c:v>5112</c:v>
                </c:pt>
                <c:pt idx="102">
                  <c:v>5112</c:v>
                </c:pt>
                <c:pt idx="103">
                  <c:v>5112</c:v>
                </c:pt>
                <c:pt idx="104">
                  <c:v>5112</c:v>
                </c:pt>
                <c:pt idx="105">
                  <c:v>5112</c:v>
                </c:pt>
                <c:pt idx="106">
                  <c:v>5130</c:v>
                </c:pt>
                <c:pt idx="107">
                  <c:v>5130</c:v>
                </c:pt>
                <c:pt idx="108">
                  <c:v>5146</c:v>
                </c:pt>
                <c:pt idx="109">
                  <c:v>5218</c:v>
                </c:pt>
                <c:pt idx="110">
                  <c:v>5296</c:v>
                </c:pt>
                <c:pt idx="111">
                  <c:v>5514</c:v>
                </c:pt>
                <c:pt idx="112">
                  <c:v>5514</c:v>
                </c:pt>
                <c:pt idx="113">
                  <c:v>5514</c:v>
                </c:pt>
                <c:pt idx="114">
                  <c:v>5551</c:v>
                </c:pt>
                <c:pt idx="115">
                  <c:v>5551</c:v>
                </c:pt>
                <c:pt idx="116">
                  <c:v>5758</c:v>
                </c:pt>
                <c:pt idx="117">
                  <c:v>5758</c:v>
                </c:pt>
                <c:pt idx="118">
                  <c:v>5800</c:v>
                </c:pt>
                <c:pt idx="119">
                  <c:v>5800</c:v>
                </c:pt>
                <c:pt idx="120">
                  <c:v>5800</c:v>
                </c:pt>
                <c:pt idx="121">
                  <c:v>5800</c:v>
                </c:pt>
                <c:pt idx="122">
                  <c:v>5800</c:v>
                </c:pt>
                <c:pt idx="123">
                  <c:v>5833</c:v>
                </c:pt>
                <c:pt idx="124">
                  <c:v>5876</c:v>
                </c:pt>
                <c:pt idx="125">
                  <c:v>5941</c:v>
                </c:pt>
                <c:pt idx="126">
                  <c:v>5941</c:v>
                </c:pt>
                <c:pt idx="127">
                  <c:v>5941</c:v>
                </c:pt>
                <c:pt idx="128">
                  <c:v>5941</c:v>
                </c:pt>
                <c:pt idx="129">
                  <c:v>5941</c:v>
                </c:pt>
                <c:pt idx="130">
                  <c:v>5941</c:v>
                </c:pt>
                <c:pt idx="131">
                  <c:v>5941</c:v>
                </c:pt>
                <c:pt idx="132">
                  <c:v>5941</c:v>
                </c:pt>
                <c:pt idx="133">
                  <c:v>5941</c:v>
                </c:pt>
                <c:pt idx="134">
                  <c:v>5941</c:v>
                </c:pt>
                <c:pt idx="135">
                  <c:v>5941</c:v>
                </c:pt>
                <c:pt idx="136">
                  <c:v>5941</c:v>
                </c:pt>
                <c:pt idx="137">
                  <c:v>5941</c:v>
                </c:pt>
                <c:pt idx="138">
                  <c:v>5941</c:v>
                </c:pt>
                <c:pt idx="139">
                  <c:v>5941</c:v>
                </c:pt>
                <c:pt idx="140">
                  <c:v>5941</c:v>
                </c:pt>
                <c:pt idx="141">
                  <c:v>5941</c:v>
                </c:pt>
                <c:pt idx="142">
                  <c:v>6018</c:v>
                </c:pt>
                <c:pt idx="143">
                  <c:v>6018</c:v>
                </c:pt>
                <c:pt idx="144">
                  <c:v>6039</c:v>
                </c:pt>
                <c:pt idx="145">
                  <c:v>6039</c:v>
                </c:pt>
                <c:pt idx="146">
                  <c:v>6039</c:v>
                </c:pt>
                <c:pt idx="147">
                  <c:v>6039</c:v>
                </c:pt>
                <c:pt idx="148">
                  <c:v>6039</c:v>
                </c:pt>
                <c:pt idx="149">
                  <c:v>6039</c:v>
                </c:pt>
                <c:pt idx="150">
                  <c:v>6039</c:v>
                </c:pt>
                <c:pt idx="151">
                  <c:v>6039</c:v>
                </c:pt>
                <c:pt idx="152">
                  <c:v>6039</c:v>
                </c:pt>
                <c:pt idx="153">
                  <c:v>6039</c:v>
                </c:pt>
                <c:pt idx="154">
                  <c:v>6039</c:v>
                </c:pt>
                <c:pt idx="155">
                  <c:v>6039</c:v>
                </c:pt>
                <c:pt idx="156">
                  <c:v>6039</c:v>
                </c:pt>
                <c:pt idx="157">
                  <c:v>6039</c:v>
                </c:pt>
                <c:pt idx="158">
                  <c:v>6039</c:v>
                </c:pt>
                <c:pt idx="159">
                  <c:v>6039</c:v>
                </c:pt>
                <c:pt idx="160">
                  <c:v>6039</c:v>
                </c:pt>
                <c:pt idx="161">
                  <c:v>6039</c:v>
                </c:pt>
                <c:pt idx="162">
                  <c:v>6039</c:v>
                </c:pt>
                <c:pt idx="163">
                  <c:v>6039</c:v>
                </c:pt>
                <c:pt idx="164">
                  <c:v>6095</c:v>
                </c:pt>
                <c:pt idx="165">
                  <c:v>6095</c:v>
                </c:pt>
                <c:pt idx="166">
                  <c:v>6095</c:v>
                </c:pt>
                <c:pt idx="167">
                  <c:v>6144</c:v>
                </c:pt>
                <c:pt idx="168">
                  <c:v>6144</c:v>
                </c:pt>
                <c:pt idx="169">
                  <c:v>6144</c:v>
                </c:pt>
                <c:pt idx="170">
                  <c:v>6144</c:v>
                </c:pt>
                <c:pt idx="171">
                  <c:v>6219</c:v>
                </c:pt>
                <c:pt idx="172">
                  <c:v>6262</c:v>
                </c:pt>
                <c:pt idx="173">
                  <c:v>6262</c:v>
                </c:pt>
                <c:pt idx="174">
                  <c:v>6345</c:v>
                </c:pt>
                <c:pt idx="175">
                  <c:v>6345</c:v>
                </c:pt>
                <c:pt idx="176">
                  <c:v>6376</c:v>
                </c:pt>
                <c:pt idx="177">
                  <c:v>6401</c:v>
                </c:pt>
                <c:pt idx="178">
                  <c:v>6401</c:v>
                </c:pt>
                <c:pt idx="179">
                  <c:v>6401</c:v>
                </c:pt>
                <c:pt idx="180">
                  <c:v>6401</c:v>
                </c:pt>
                <c:pt idx="181">
                  <c:v>6433</c:v>
                </c:pt>
                <c:pt idx="182">
                  <c:v>6433</c:v>
                </c:pt>
                <c:pt idx="183">
                  <c:v>6433</c:v>
                </c:pt>
                <c:pt idx="184">
                  <c:v>6433</c:v>
                </c:pt>
                <c:pt idx="185">
                  <c:v>6433</c:v>
                </c:pt>
                <c:pt idx="186">
                  <c:v>6433</c:v>
                </c:pt>
                <c:pt idx="187">
                  <c:v>6433</c:v>
                </c:pt>
                <c:pt idx="188">
                  <c:v>6433</c:v>
                </c:pt>
                <c:pt idx="189">
                  <c:v>6469</c:v>
                </c:pt>
                <c:pt idx="190">
                  <c:v>6469</c:v>
                </c:pt>
                <c:pt idx="191">
                  <c:v>6469</c:v>
                </c:pt>
                <c:pt idx="192">
                  <c:v>6469</c:v>
                </c:pt>
                <c:pt idx="193">
                  <c:v>6581</c:v>
                </c:pt>
                <c:pt idx="194">
                  <c:v>6625</c:v>
                </c:pt>
                <c:pt idx="195">
                  <c:v>6662</c:v>
                </c:pt>
                <c:pt idx="196">
                  <c:v>6766</c:v>
                </c:pt>
                <c:pt idx="197">
                  <c:v>6845</c:v>
                </c:pt>
                <c:pt idx="198">
                  <c:v>6909</c:v>
                </c:pt>
                <c:pt idx="199">
                  <c:v>6973</c:v>
                </c:pt>
                <c:pt idx="200">
                  <c:v>7054</c:v>
                </c:pt>
                <c:pt idx="201">
                  <c:v>7108</c:v>
                </c:pt>
                <c:pt idx="202">
                  <c:v>7147</c:v>
                </c:pt>
                <c:pt idx="203">
                  <c:v>7147</c:v>
                </c:pt>
                <c:pt idx="204">
                  <c:v>7147</c:v>
                </c:pt>
                <c:pt idx="205">
                  <c:v>7147</c:v>
                </c:pt>
                <c:pt idx="206">
                  <c:v>7147</c:v>
                </c:pt>
                <c:pt idx="207">
                  <c:v>7191</c:v>
                </c:pt>
                <c:pt idx="208">
                  <c:v>7215</c:v>
                </c:pt>
                <c:pt idx="209">
                  <c:v>7216</c:v>
                </c:pt>
                <c:pt idx="210">
                  <c:v>7238</c:v>
                </c:pt>
                <c:pt idx="211">
                  <c:v>7238</c:v>
                </c:pt>
                <c:pt idx="212">
                  <c:v>7248</c:v>
                </c:pt>
                <c:pt idx="213">
                  <c:v>7248</c:v>
                </c:pt>
                <c:pt idx="214">
                  <c:v>7299</c:v>
                </c:pt>
                <c:pt idx="215">
                  <c:v>7419</c:v>
                </c:pt>
                <c:pt idx="216">
                  <c:v>7504</c:v>
                </c:pt>
                <c:pt idx="217">
                  <c:v>7714</c:v>
                </c:pt>
                <c:pt idx="218">
                  <c:v>7760</c:v>
                </c:pt>
                <c:pt idx="219">
                  <c:v>7843</c:v>
                </c:pt>
                <c:pt idx="220">
                  <c:v>7927</c:v>
                </c:pt>
                <c:pt idx="221">
                  <c:v>8067</c:v>
                </c:pt>
                <c:pt idx="222">
                  <c:v>8165</c:v>
                </c:pt>
                <c:pt idx="223">
                  <c:v>8192</c:v>
                </c:pt>
                <c:pt idx="224">
                  <c:v>8192</c:v>
                </c:pt>
                <c:pt idx="225">
                  <c:v>8193</c:v>
                </c:pt>
                <c:pt idx="226">
                  <c:v>8193</c:v>
                </c:pt>
                <c:pt idx="227">
                  <c:v>8193</c:v>
                </c:pt>
                <c:pt idx="228">
                  <c:v>8193</c:v>
                </c:pt>
                <c:pt idx="229">
                  <c:v>8196</c:v>
                </c:pt>
                <c:pt idx="230">
                  <c:v>8271</c:v>
                </c:pt>
                <c:pt idx="231">
                  <c:v>8271</c:v>
                </c:pt>
                <c:pt idx="232">
                  <c:v>8382</c:v>
                </c:pt>
                <c:pt idx="233">
                  <c:v>8382</c:v>
                </c:pt>
                <c:pt idx="234">
                  <c:v>8382</c:v>
                </c:pt>
                <c:pt idx="235">
                  <c:v>8382</c:v>
                </c:pt>
                <c:pt idx="236">
                  <c:v>8382</c:v>
                </c:pt>
                <c:pt idx="237">
                  <c:v>8383</c:v>
                </c:pt>
                <c:pt idx="238">
                  <c:v>8383</c:v>
                </c:pt>
                <c:pt idx="239">
                  <c:v>8383</c:v>
                </c:pt>
                <c:pt idx="240">
                  <c:v>8383</c:v>
                </c:pt>
                <c:pt idx="241">
                  <c:v>8383</c:v>
                </c:pt>
                <c:pt idx="242">
                  <c:v>8383</c:v>
                </c:pt>
                <c:pt idx="243">
                  <c:v>8383</c:v>
                </c:pt>
                <c:pt idx="244">
                  <c:v>8383</c:v>
                </c:pt>
                <c:pt idx="245">
                  <c:v>8383</c:v>
                </c:pt>
                <c:pt idx="246">
                  <c:v>8383</c:v>
                </c:pt>
                <c:pt idx="247">
                  <c:v>8383</c:v>
                </c:pt>
                <c:pt idx="248">
                  <c:v>8383</c:v>
                </c:pt>
                <c:pt idx="249">
                  <c:v>8384</c:v>
                </c:pt>
                <c:pt idx="250">
                  <c:v>8385</c:v>
                </c:pt>
                <c:pt idx="251">
                  <c:v>8385</c:v>
                </c:pt>
                <c:pt idx="252">
                  <c:v>8385</c:v>
                </c:pt>
                <c:pt idx="253">
                  <c:v>8385</c:v>
                </c:pt>
                <c:pt idx="254">
                  <c:v>8385</c:v>
                </c:pt>
                <c:pt idx="255">
                  <c:v>8385</c:v>
                </c:pt>
                <c:pt idx="256">
                  <c:v>8386</c:v>
                </c:pt>
                <c:pt idx="257">
                  <c:v>8387</c:v>
                </c:pt>
                <c:pt idx="258">
                  <c:v>8387</c:v>
                </c:pt>
                <c:pt idx="259">
                  <c:v>8387</c:v>
                </c:pt>
                <c:pt idx="260">
                  <c:v>8387</c:v>
                </c:pt>
                <c:pt idx="261">
                  <c:v>8387</c:v>
                </c:pt>
                <c:pt idx="262">
                  <c:v>8387</c:v>
                </c:pt>
                <c:pt idx="263">
                  <c:v>8387</c:v>
                </c:pt>
                <c:pt idx="264">
                  <c:v>8387</c:v>
                </c:pt>
                <c:pt idx="265">
                  <c:v>8387</c:v>
                </c:pt>
                <c:pt idx="266">
                  <c:v>8387</c:v>
                </c:pt>
                <c:pt idx="267">
                  <c:v>8387</c:v>
                </c:pt>
                <c:pt idx="268">
                  <c:v>8387</c:v>
                </c:pt>
                <c:pt idx="269">
                  <c:v>8387</c:v>
                </c:pt>
                <c:pt idx="270">
                  <c:v>8387</c:v>
                </c:pt>
                <c:pt idx="271">
                  <c:v>8391</c:v>
                </c:pt>
                <c:pt idx="272">
                  <c:v>8391</c:v>
                </c:pt>
                <c:pt idx="273">
                  <c:v>8391</c:v>
                </c:pt>
                <c:pt idx="274">
                  <c:v>8391</c:v>
                </c:pt>
                <c:pt idx="275">
                  <c:v>8391</c:v>
                </c:pt>
                <c:pt idx="276">
                  <c:v>8391</c:v>
                </c:pt>
                <c:pt idx="277">
                  <c:v>8391</c:v>
                </c:pt>
                <c:pt idx="278">
                  <c:v>8391</c:v>
                </c:pt>
                <c:pt idx="279">
                  <c:v>8391</c:v>
                </c:pt>
                <c:pt idx="280">
                  <c:v>8391</c:v>
                </c:pt>
                <c:pt idx="281">
                  <c:v>8391</c:v>
                </c:pt>
                <c:pt idx="282">
                  <c:v>8391</c:v>
                </c:pt>
                <c:pt idx="283">
                  <c:v>8391</c:v>
                </c:pt>
                <c:pt idx="284">
                  <c:v>8391</c:v>
                </c:pt>
                <c:pt idx="285">
                  <c:v>8395</c:v>
                </c:pt>
                <c:pt idx="286">
                  <c:v>8395</c:v>
                </c:pt>
                <c:pt idx="287">
                  <c:v>8395</c:v>
                </c:pt>
                <c:pt idx="288">
                  <c:v>8395</c:v>
                </c:pt>
                <c:pt idx="289">
                  <c:v>8395</c:v>
                </c:pt>
                <c:pt idx="290">
                  <c:v>8395</c:v>
                </c:pt>
                <c:pt idx="291">
                  <c:v>8400</c:v>
                </c:pt>
                <c:pt idx="292">
                  <c:v>8401</c:v>
                </c:pt>
                <c:pt idx="293">
                  <c:v>8401</c:v>
                </c:pt>
                <c:pt idx="294">
                  <c:v>8401</c:v>
                </c:pt>
                <c:pt idx="295">
                  <c:v>8401</c:v>
                </c:pt>
                <c:pt idx="296">
                  <c:v>8401</c:v>
                </c:pt>
                <c:pt idx="297">
                  <c:v>8401</c:v>
                </c:pt>
                <c:pt idx="298">
                  <c:v>8438</c:v>
                </c:pt>
                <c:pt idx="299">
                  <c:v>8438</c:v>
                </c:pt>
                <c:pt idx="300">
                  <c:v>8470</c:v>
                </c:pt>
                <c:pt idx="301">
                  <c:v>8470</c:v>
                </c:pt>
                <c:pt idx="302">
                  <c:v>8470</c:v>
                </c:pt>
                <c:pt idx="303">
                  <c:v>8470</c:v>
                </c:pt>
                <c:pt idx="304">
                  <c:v>8470</c:v>
                </c:pt>
                <c:pt idx="305">
                  <c:v>8516</c:v>
                </c:pt>
                <c:pt idx="306">
                  <c:v>8516</c:v>
                </c:pt>
                <c:pt idx="307">
                  <c:v>8516</c:v>
                </c:pt>
                <c:pt idx="308">
                  <c:v>8516</c:v>
                </c:pt>
                <c:pt idx="309">
                  <c:v>8516</c:v>
                </c:pt>
                <c:pt idx="310">
                  <c:v>8516</c:v>
                </c:pt>
                <c:pt idx="311">
                  <c:v>8516</c:v>
                </c:pt>
                <c:pt idx="312">
                  <c:v>8516</c:v>
                </c:pt>
                <c:pt idx="313">
                  <c:v>8516</c:v>
                </c:pt>
                <c:pt idx="314">
                  <c:v>8516</c:v>
                </c:pt>
                <c:pt idx="315">
                  <c:v>8516</c:v>
                </c:pt>
                <c:pt idx="316">
                  <c:v>8516</c:v>
                </c:pt>
                <c:pt idx="317">
                  <c:v>8516</c:v>
                </c:pt>
                <c:pt idx="318">
                  <c:v>8516</c:v>
                </c:pt>
                <c:pt idx="319">
                  <c:v>8551</c:v>
                </c:pt>
                <c:pt idx="320">
                  <c:v>8571</c:v>
                </c:pt>
                <c:pt idx="321">
                  <c:v>8630</c:v>
                </c:pt>
                <c:pt idx="322">
                  <c:v>8630</c:v>
                </c:pt>
                <c:pt idx="323">
                  <c:v>8630</c:v>
                </c:pt>
                <c:pt idx="324">
                  <c:v>8630</c:v>
                </c:pt>
                <c:pt idx="325">
                  <c:v>8757</c:v>
                </c:pt>
                <c:pt idx="326">
                  <c:v>8779</c:v>
                </c:pt>
                <c:pt idx="327">
                  <c:v>8849</c:v>
                </c:pt>
                <c:pt idx="328">
                  <c:v>8911</c:v>
                </c:pt>
                <c:pt idx="329">
                  <c:v>8918</c:v>
                </c:pt>
                <c:pt idx="330">
                  <c:v>8925</c:v>
                </c:pt>
                <c:pt idx="331">
                  <c:v>8926</c:v>
                </c:pt>
                <c:pt idx="332">
                  <c:v>8926</c:v>
                </c:pt>
                <c:pt idx="333">
                  <c:v>8926</c:v>
                </c:pt>
                <c:pt idx="334">
                  <c:v>8926</c:v>
                </c:pt>
                <c:pt idx="335">
                  <c:v>8926</c:v>
                </c:pt>
                <c:pt idx="336">
                  <c:v>8926</c:v>
                </c:pt>
                <c:pt idx="337">
                  <c:v>8926</c:v>
                </c:pt>
                <c:pt idx="338">
                  <c:v>8987</c:v>
                </c:pt>
                <c:pt idx="339">
                  <c:v>8995</c:v>
                </c:pt>
                <c:pt idx="340">
                  <c:v>9014</c:v>
                </c:pt>
                <c:pt idx="341">
                  <c:v>9066</c:v>
                </c:pt>
                <c:pt idx="342">
                  <c:v>9066</c:v>
                </c:pt>
                <c:pt idx="343">
                  <c:v>9066</c:v>
                </c:pt>
                <c:pt idx="344">
                  <c:v>9066</c:v>
                </c:pt>
                <c:pt idx="345">
                  <c:v>9066</c:v>
                </c:pt>
                <c:pt idx="346">
                  <c:v>9066</c:v>
                </c:pt>
                <c:pt idx="347">
                  <c:v>9126</c:v>
                </c:pt>
                <c:pt idx="348">
                  <c:v>9136</c:v>
                </c:pt>
                <c:pt idx="349">
                  <c:v>9184</c:v>
                </c:pt>
                <c:pt idx="350">
                  <c:v>9184</c:v>
                </c:pt>
                <c:pt idx="351">
                  <c:v>9184</c:v>
                </c:pt>
                <c:pt idx="352">
                  <c:v>9184</c:v>
                </c:pt>
                <c:pt idx="353">
                  <c:v>9184</c:v>
                </c:pt>
                <c:pt idx="354">
                  <c:v>9184</c:v>
                </c:pt>
                <c:pt idx="355">
                  <c:v>9184</c:v>
                </c:pt>
                <c:pt idx="356">
                  <c:v>9258</c:v>
                </c:pt>
                <c:pt idx="357">
                  <c:v>9406</c:v>
                </c:pt>
                <c:pt idx="358">
                  <c:v>9410</c:v>
                </c:pt>
                <c:pt idx="359">
                  <c:v>9434</c:v>
                </c:pt>
                <c:pt idx="360">
                  <c:v>9503</c:v>
                </c:pt>
                <c:pt idx="361">
                  <c:v>9520</c:v>
                </c:pt>
                <c:pt idx="362">
                  <c:v>9547</c:v>
                </c:pt>
                <c:pt idx="363">
                  <c:v>9598</c:v>
                </c:pt>
                <c:pt idx="364">
                  <c:v>9598</c:v>
                </c:pt>
                <c:pt idx="365">
                  <c:v>9635</c:v>
                </c:pt>
                <c:pt idx="366">
                  <c:v>9635</c:v>
                </c:pt>
                <c:pt idx="367">
                  <c:v>9713</c:v>
                </c:pt>
                <c:pt idx="368">
                  <c:v>9714</c:v>
                </c:pt>
                <c:pt idx="369">
                  <c:v>9714</c:v>
                </c:pt>
                <c:pt idx="370">
                  <c:v>9714</c:v>
                </c:pt>
                <c:pt idx="371">
                  <c:v>9714</c:v>
                </c:pt>
                <c:pt idx="372">
                  <c:v>9714</c:v>
                </c:pt>
                <c:pt idx="373">
                  <c:v>9714</c:v>
                </c:pt>
                <c:pt idx="374">
                  <c:v>9714</c:v>
                </c:pt>
                <c:pt idx="375">
                  <c:v>9714</c:v>
                </c:pt>
                <c:pt idx="376">
                  <c:v>9714</c:v>
                </c:pt>
                <c:pt idx="377">
                  <c:v>9714</c:v>
                </c:pt>
                <c:pt idx="378">
                  <c:v>9714</c:v>
                </c:pt>
                <c:pt idx="379">
                  <c:v>9714</c:v>
                </c:pt>
                <c:pt idx="380">
                  <c:v>9714</c:v>
                </c:pt>
                <c:pt idx="381">
                  <c:v>9714</c:v>
                </c:pt>
                <c:pt idx="382">
                  <c:v>9714</c:v>
                </c:pt>
                <c:pt idx="383">
                  <c:v>9714</c:v>
                </c:pt>
                <c:pt idx="384">
                  <c:v>9714</c:v>
                </c:pt>
                <c:pt idx="385">
                  <c:v>9714</c:v>
                </c:pt>
                <c:pt idx="386">
                  <c:v>9714</c:v>
                </c:pt>
                <c:pt idx="387">
                  <c:v>9714</c:v>
                </c:pt>
                <c:pt idx="388">
                  <c:v>9714</c:v>
                </c:pt>
                <c:pt idx="389">
                  <c:v>9735</c:v>
                </c:pt>
                <c:pt idx="390">
                  <c:v>9745</c:v>
                </c:pt>
                <c:pt idx="391">
                  <c:v>9787</c:v>
                </c:pt>
                <c:pt idx="392">
                  <c:v>9787</c:v>
                </c:pt>
                <c:pt idx="393">
                  <c:v>9883</c:v>
                </c:pt>
                <c:pt idx="394">
                  <c:v>9976</c:v>
                </c:pt>
                <c:pt idx="395">
                  <c:v>9988</c:v>
                </c:pt>
                <c:pt idx="396">
                  <c:v>9988</c:v>
                </c:pt>
                <c:pt idx="397">
                  <c:v>9988</c:v>
                </c:pt>
                <c:pt idx="398">
                  <c:v>9995</c:v>
                </c:pt>
                <c:pt idx="399">
                  <c:v>9995</c:v>
                </c:pt>
                <c:pt idx="400">
                  <c:v>9995</c:v>
                </c:pt>
                <c:pt idx="401">
                  <c:v>9995</c:v>
                </c:pt>
                <c:pt idx="402">
                  <c:v>9995</c:v>
                </c:pt>
                <c:pt idx="403">
                  <c:v>9995</c:v>
                </c:pt>
                <c:pt idx="404">
                  <c:v>9995</c:v>
                </c:pt>
                <c:pt idx="405">
                  <c:v>9995</c:v>
                </c:pt>
                <c:pt idx="406">
                  <c:v>9995</c:v>
                </c:pt>
                <c:pt idx="407">
                  <c:v>9995</c:v>
                </c:pt>
                <c:pt idx="408">
                  <c:v>9995</c:v>
                </c:pt>
                <c:pt idx="409">
                  <c:v>9995</c:v>
                </c:pt>
                <c:pt idx="410">
                  <c:v>9995</c:v>
                </c:pt>
                <c:pt idx="411">
                  <c:v>9995</c:v>
                </c:pt>
                <c:pt idx="412">
                  <c:v>9995</c:v>
                </c:pt>
                <c:pt idx="413">
                  <c:v>9995</c:v>
                </c:pt>
                <c:pt idx="414">
                  <c:v>9995</c:v>
                </c:pt>
                <c:pt idx="415">
                  <c:v>9995</c:v>
                </c:pt>
                <c:pt idx="416">
                  <c:v>9995</c:v>
                </c:pt>
                <c:pt idx="417">
                  <c:v>9995</c:v>
                </c:pt>
                <c:pt idx="418">
                  <c:v>9995</c:v>
                </c:pt>
                <c:pt idx="419">
                  <c:v>9995</c:v>
                </c:pt>
                <c:pt idx="420">
                  <c:v>9995</c:v>
                </c:pt>
                <c:pt idx="421">
                  <c:v>9995</c:v>
                </c:pt>
                <c:pt idx="422">
                  <c:v>9995</c:v>
                </c:pt>
                <c:pt idx="423">
                  <c:v>9995</c:v>
                </c:pt>
                <c:pt idx="424">
                  <c:v>9995</c:v>
                </c:pt>
                <c:pt idx="425">
                  <c:v>9995</c:v>
                </c:pt>
                <c:pt idx="426">
                  <c:v>9995</c:v>
                </c:pt>
                <c:pt idx="427">
                  <c:v>9995</c:v>
                </c:pt>
                <c:pt idx="428">
                  <c:v>9995</c:v>
                </c:pt>
                <c:pt idx="429">
                  <c:v>9995</c:v>
                </c:pt>
                <c:pt idx="430">
                  <c:v>9995</c:v>
                </c:pt>
                <c:pt idx="431">
                  <c:v>9995</c:v>
                </c:pt>
                <c:pt idx="432">
                  <c:v>9995</c:v>
                </c:pt>
                <c:pt idx="433">
                  <c:v>9995</c:v>
                </c:pt>
                <c:pt idx="434">
                  <c:v>9995</c:v>
                </c:pt>
                <c:pt idx="435">
                  <c:v>9995</c:v>
                </c:pt>
                <c:pt idx="436">
                  <c:v>9995</c:v>
                </c:pt>
                <c:pt idx="437">
                  <c:v>9995</c:v>
                </c:pt>
                <c:pt idx="438">
                  <c:v>9995</c:v>
                </c:pt>
                <c:pt idx="439">
                  <c:v>9995</c:v>
                </c:pt>
                <c:pt idx="440">
                  <c:v>10026</c:v>
                </c:pt>
                <c:pt idx="441">
                  <c:v>10026</c:v>
                </c:pt>
                <c:pt idx="442">
                  <c:v>10026</c:v>
                </c:pt>
                <c:pt idx="443">
                  <c:v>10026</c:v>
                </c:pt>
                <c:pt idx="444">
                  <c:v>10026</c:v>
                </c:pt>
                <c:pt idx="445">
                  <c:v>10026</c:v>
                </c:pt>
                <c:pt idx="446">
                  <c:v>10026</c:v>
                </c:pt>
                <c:pt idx="447">
                  <c:v>10026</c:v>
                </c:pt>
                <c:pt idx="448">
                  <c:v>10026</c:v>
                </c:pt>
                <c:pt idx="449">
                  <c:v>10026</c:v>
                </c:pt>
                <c:pt idx="450">
                  <c:v>10026</c:v>
                </c:pt>
                <c:pt idx="451">
                  <c:v>10026</c:v>
                </c:pt>
                <c:pt idx="452">
                  <c:v>10026</c:v>
                </c:pt>
                <c:pt idx="453">
                  <c:v>10026</c:v>
                </c:pt>
                <c:pt idx="454">
                  <c:v>10026</c:v>
                </c:pt>
                <c:pt idx="455">
                  <c:v>10026</c:v>
                </c:pt>
                <c:pt idx="456">
                  <c:v>10056</c:v>
                </c:pt>
                <c:pt idx="457">
                  <c:v>10079</c:v>
                </c:pt>
                <c:pt idx="458">
                  <c:v>10111</c:v>
                </c:pt>
                <c:pt idx="459">
                  <c:v>10111</c:v>
                </c:pt>
                <c:pt idx="460">
                  <c:v>10111</c:v>
                </c:pt>
                <c:pt idx="461">
                  <c:v>10111</c:v>
                </c:pt>
                <c:pt idx="462">
                  <c:v>10111</c:v>
                </c:pt>
                <c:pt idx="463">
                  <c:v>10111</c:v>
                </c:pt>
                <c:pt idx="464">
                  <c:v>10111</c:v>
                </c:pt>
                <c:pt idx="465">
                  <c:v>10111</c:v>
                </c:pt>
                <c:pt idx="466">
                  <c:v>10111</c:v>
                </c:pt>
                <c:pt idx="467">
                  <c:v>10111</c:v>
                </c:pt>
                <c:pt idx="468">
                  <c:v>10111</c:v>
                </c:pt>
                <c:pt idx="469">
                  <c:v>10133</c:v>
                </c:pt>
                <c:pt idx="470">
                  <c:v>10148</c:v>
                </c:pt>
                <c:pt idx="471">
                  <c:v>10148</c:v>
                </c:pt>
                <c:pt idx="472">
                  <c:v>10182</c:v>
                </c:pt>
                <c:pt idx="473">
                  <c:v>10182</c:v>
                </c:pt>
                <c:pt idx="474">
                  <c:v>10182</c:v>
                </c:pt>
                <c:pt idx="475">
                  <c:v>10182</c:v>
                </c:pt>
                <c:pt idx="476">
                  <c:v>10182</c:v>
                </c:pt>
                <c:pt idx="477">
                  <c:v>10182</c:v>
                </c:pt>
                <c:pt idx="478">
                  <c:v>10182</c:v>
                </c:pt>
                <c:pt idx="479">
                  <c:v>10182</c:v>
                </c:pt>
                <c:pt idx="480">
                  <c:v>10182</c:v>
                </c:pt>
                <c:pt idx="481">
                  <c:v>10182</c:v>
                </c:pt>
                <c:pt idx="482">
                  <c:v>10182</c:v>
                </c:pt>
                <c:pt idx="483">
                  <c:v>10182</c:v>
                </c:pt>
                <c:pt idx="484">
                  <c:v>10215</c:v>
                </c:pt>
                <c:pt idx="485">
                  <c:v>10303</c:v>
                </c:pt>
                <c:pt idx="486">
                  <c:v>10303</c:v>
                </c:pt>
                <c:pt idx="487">
                  <c:v>10341</c:v>
                </c:pt>
                <c:pt idx="488">
                  <c:v>10341</c:v>
                </c:pt>
                <c:pt idx="489">
                  <c:v>10375</c:v>
                </c:pt>
                <c:pt idx="490">
                  <c:v>10375</c:v>
                </c:pt>
                <c:pt idx="491">
                  <c:v>10375</c:v>
                </c:pt>
                <c:pt idx="492">
                  <c:v>10504</c:v>
                </c:pt>
                <c:pt idx="493">
                  <c:v>10504</c:v>
                </c:pt>
                <c:pt idx="494">
                  <c:v>10504</c:v>
                </c:pt>
                <c:pt idx="495">
                  <c:v>10523</c:v>
                </c:pt>
                <c:pt idx="496">
                  <c:v>10548</c:v>
                </c:pt>
                <c:pt idx="497">
                  <c:v>10571</c:v>
                </c:pt>
                <c:pt idx="498">
                  <c:v>10571</c:v>
                </c:pt>
                <c:pt idx="499">
                  <c:v>10643</c:v>
                </c:pt>
                <c:pt idx="500">
                  <c:v>10689</c:v>
                </c:pt>
                <c:pt idx="501">
                  <c:v>10701</c:v>
                </c:pt>
                <c:pt idx="502">
                  <c:v>10701</c:v>
                </c:pt>
                <c:pt idx="503">
                  <c:v>10701</c:v>
                </c:pt>
                <c:pt idx="504">
                  <c:v>10701</c:v>
                </c:pt>
                <c:pt idx="505">
                  <c:v>10701</c:v>
                </c:pt>
                <c:pt idx="506">
                  <c:v>10701</c:v>
                </c:pt>
                <c:pt idx="507">
                  <c:v>10808</c:v>
                </c:pt>
                <c:pt idx="508">
                  <c:v>10808</c:v>
                </c:pt>
                <c:pt idx="509">
                  <c:v>10808</c:v>
                </c:pt>
                <c:pt idx="510">
                  <c:v>10808</c:v>
                </c:pt>
                <c:pt idx="511">
                  <c:v>10808</c:v>
                </c:pt>
                <c:pt idx="512">
                  <c:v>10808</c:v>
                </c:pt>
                <c:pt idx="513">
                  <c:v>10808</c:v>
                </c:pt>
                <c:pt idx="514">
                  <c:v>10808</c:v>
                </c:pt>
                <c:pt idx="515">
                  <c:v>10808</c:v>
                </c:pt>
                <c:pt idx="516">
                  <c:v>10808</c:v>
                </c:pt>
                <c:pt idx="517">
                  <c:v>10808</c:v>
                </c:pt>
                <c:pt idx="518">
                  <c:v>10808</c:v>
                </c:pt>
                <c:pt idx="519">
                  <c:v>10808</c:v>
                </c:pt>
                <c:pt idx="520">
                  <c:v>10808</c:v>
                </c:pt>
                <c:pt idx="521">
                  <c:v>10808</c:v>
                </c:pt>
                <c:pt idx="522">
                  <c:v>10808</c:v>
                </c:pt>
                <c:pt idx="523">
                  <c:v>10808</c:v>
                </c:pt>
                <c:pt idx="524">
                  <c:v>10808</c:v>
                </c:pt>
                <c:pt idx="525">
                  <c:v>10808</c:v>
                </c:pt>
                <c:pt idx="526">
                  <c:v>10808</c:v>
                </c:pt>
                <c:pt idx="527">
                  <c:v>10808</c:v>
                </c:pt>
                <c:pt idx="528">
                  <c:v>10808</c:v>
                </c:pt>
                <c:pt idx="529">
                  <c:v>10808</c:v>
                </c:pt>
                <c:pt idx="530">
                  <c:v>10808</c:v>
                </c:pt>
                <c:pt idx="531">
                  <c:v>10808</c:v>
                </c:pt>
                <c:pt idx="532">
                  <c:v>10808</c:v>
                </c:pt>
                <c:pt idx="533">
                  <c:v>10808</c:v>
                </c:pt>
                <c:pt idx="534">
                  <c:v>10808</c:v>
                </c:pt>
                <c:pt idx="535">
                  <c:v>10808</c:v>
                </c:pt>
                <c:pt idx="536">
                  <c:v>10808</c:v>
                </c:pt>
                <c:pt idx="537">
                  <c:v>10808</c:v>
                </c:pt>
                <c:pt idx="538">
                  <c:v>10808</c:v>
                </c:pt>
                <c:pt idx="539">
                  <c:v>10808</c:v>
                </c:pt>
                <c:pt idx="540">
                  <c:v>10808</c:v>
                </c:pt>
                <c:pt idx="541">
                  <c:v>10808</c:v>
                </c:pt>
                <c:pt idx="542">
                  <c:v>10808</c:v>
                </c:pt>
                <c:pt idx="543">
                  <c:v>10808</c:v>
                </c:pt>
                <c:pt idx="544">
                  <c:v>10808</c:v>
                </c:pt>
                <c:pt idx="545">
                  <c:v>10808</c:v>
                </c:pt>
                <c:pt idx="546">
                  <c:v>10808</c:v>
                </c:pt>
                <c:pt idx="547">
                  <c:v>10808</c:v>
                </c:pt>
                <c:pt idx="548">
                  <c:v>10808</c:v>
                </c:pt>
                <c:pt idx="549">
                  <c:v>10808</c:v>
                </c:pt>
                <c:pt idx="550">
                  <c:v>10808</c:v>
                </c:pt>
                <c:pt idx="551">
                  <c:v>10808</c:v>
                </c:pt>
                <c:pt idx="552">
                  <c:v>10808</c:v>
                </c:pt>
                <c:pt idx="553">
                  <c:v>10808</c:v>
                </c:pt>
                <c:pt idx="554">
                  <c:v>10808</c:v>
                </c:pt>
                <c:pt idx="555">
                  <c:v>10808</c:v>
                </c:pt>
                <c:pt idx="556">
                  <c:v>10808</c:v>
                </c:pt>
                <c:pt idx="557">
                  <c:v>10808</c:v>
                </c:pt>
                <c:pt idx="558">
                  <c:v>10808</c:v>
                </c:pt>
                <c:pt idx="559">
                  <c:v>10808</c:v>
                </c:pt>
                <c:pt idx="560">
                  <c:v>10808</c:v>
                </c:pt>
                <c:pt idx="561">
                  <c:v>10808</c:v>
                </c:pt>
                <c:pt idx="562">
                  <c:v>10808</c:v>
                </c:pt>
                <c:pt idx="563">
                  <c:v>10808</c:v>
                </c:pt>
                <c:pt idx="564">
                  <c:v>10808</c:v>
                </c:pt>
                <c:pt idx="565">
                  <c:v>10808</c:v>
                </c:pt>
                <c:pt idx="566">
                  <c:v>10808</c:v>
                </c:pt>
                <c:pt idx="567">
                  <c:v>10808</c:v>
                </c:pt>
                <c:pt idx="568">
                  <c:v>10808</c:v>
                </c:pt>
                <c:pt idx="569">
                  <c:v>10808</c:v>
                </c:pt>
                <c:pt idx="570">
                  <c:v>10808</c:v>
                </c:pt>
                <c:pt idx="571">
                  <c:v>10808</c:v>
                </c:pt>
                <c:pt idx="572">
                  <c:v>10808</c:v>
                </c:pt>
                <c:pt idx="573">
                  <c:v>10808</c:v>
                </c:pt>
                <c:pt idx="574">
                  <c:v>10808</c:v>
                </c:pt>
                <c:pt idx="575">
                  <c:v>10808</c:v>
                </c:pt>
                <c:pt idx="576">
                  <c:v>10808</c:v>
                </c:pt>
                <c:pt idx="577">
                  <c:v>10808</c:v>
                </c:pt>
                <c:pt idx="578">
                  <c:v>10808</c:v>
                </c:pt>
                <c:pt idx="579">
                  <c:v>10808</c:v>
                </c:pt>
                <c:pt idx="580">
                  <c:v>10853</c:v>
                </c:pt>
                <c:pt idx="581">
                  <c:v>10853</c:v>
                </c:pt>
                <c:pt idx="582">
                  <c:v>10853</c:v>
                </c:pt>
                <c:pt idx="583">
                  <c:v>10853</c:v>
                </c:pt>
                <c:pt idx="584">
                  <c:v>10853</c:v>
                </c:pt>
                <c:pt idx="585">
                  <c:v>10853</c:v>
                </c:pt>
                <c:pt idx="586">
                  <c:v>10853</c:v>
                </c:pt>
                <c:pt idx="587">
                  <c:v>10853</c:v>
                </c:pt>
                <c:pt idx="588">
                  <c:v>10853</c:v>
                </c:pt>
                <c:pt idx="589">
                  <c:v>10853</c:v>
                </c:pt>
                <c:pt idx="590">
                  <c:v>10853</c:v>
                </c:pt>
                <c:pt idx="591">
                  <c:v>10853</c:v>
                </c:pt>
                <c:pt idx="592">
                  <c:v>10853</c:v>
                </c:pt>
                <c:pt idx="593">
                  <c:v>10853</c:v>
                </c:pt>
                <c:pt idx="594">
                  <c:v>10853</c:v>
                </c:pt>
                <c:pt idx="595">
                  <c:v>10853</c:v>
                </c:pt>
                <c:pt idx="596">
                  <c:v>10853</c:v>
                </c:pt>
                <c:pt idx="597">
                  <c:v>10853</c:v>
                </c:pt>
                <c:pt idx="598">
                  <c:v>10853</c:v>
                </c:pt>
                <c:pt idx="599">
                  <c:v>10853</c:v>
                </c:pt>
                <c:pt idx="600">
                  <c:v>10853</c:v>
                </c:pt>
                <c:pt idx="601">
                  <c:v>10853</c:v>
                </c:pt>
                <c:pt idx="602">
                  <c:v>10853</c:v>
                </c:pt>
                <c:pt idx="603">
                  <c:v>10853</c:v>
                </c:pt>
                <c:pt idx="604">
                  <c:v>10853</c:v>
                </c:pt>
                <c:pt idx="605">
                  <c:v>10853</c:v>
                </c:pt>
                <c:pt idx="606">
                  <c:v>10853</c:v>
                </c:pt>
                <c:pt idx="607">
                  <c:v>10853</c:v>
                </c:pt>
                <c:pt idx="608">
                  <c:v>10857</c:v>
                </c:pt>
                <c:pt idx="609">
                  <c:v>10857</c:v>
                </c:pt>
                <c:pt idx="610">
                  <c:v>10857</c:v>
                </c:pt>
                <c:pt idx="611">
                  <c:v>10857</c:v>
                </c:pt>
                <c:pt idx="612">
                  <c:v>10857</c:v>
                </c:pt>
                <c:pt idx="613">
                  <c:v>10857</c:v>
                </c:pt>
                <c:pt idx="614">
                  <c:v>10857</c:v>
                </c:pt>
                <c:pt idx="615">
                  <c:v>10857</c:v>
                </c:pt>
                <c:pt idx="616">
                  <c:v>10857</c:v>
                </c:pt>
                <c:pt idx="617">
                  <c:v>10857</c:v>
                </c:pt>
                <c:pt idx="618">
                  <c:v>10857</c:v>
                </c:pt>
                <c:pt idx="619">
                  <c:v>10857</c:v>
                </c:pt>
                <c:pt idx="620">
                  <c:v>10857</c:v>
                </c:pt>
                <c:pt idx="621">
                  <c:v>10857</c:v>
                </c:pt>
                <c:pt idx="622">
                  <c:v>10857</c:v>
                </c:pt>
                <c:pt idx="623">
                  <c:v>10857</c:v>
                </c:pt>
                <c:pt idx="624">
                  <c:v>10857</c:v>
                </c:pt>
                <c:pt idx="625">
                  <c:v>10857</c:v>
                </c:pt>
                <c:pt idx="626">
                  <c:v>10857</c:v>
                </c:pt>
                <c:pt idx="627">
                  <c:v>10857</c:v>
                </c:pt>
                <c:pt idx="628">
                  <c:v>10857</c:v>
                </c:pt>
                <c:pt idx="629">
                  <c:v>10857</c:v>
                </c:pt>
                <c:pt idx="630">
                  <c:v>10857</c:v>
                </c:pt>
                <c:pt idx="631">
                  <c:v>10857</c:v>
                </c:pt>
                <c:pt idx="632">
                  <c:v>10857</c:v>
                </c:pt>
                <c:pt idx="633">
                  <c:v>10857</c:v>
                </c:pt>
                <c:pt idx="634">
                  <c:v>10857</c:v>
                </c:pt>
                <c:pt idx="635">
                  <c:v>10857</c:v>
                </c:pt>
                <c:pt idx="636">
                  <c:v>10857</c:v>
                </c:pt>
                <c:pt idx="637">
                  <c:v>10857</c:v>
                </c:pt>
                <c:pt idx="638">
                  <c:v>10857</c:v>
                </c:pt>
                <c:pt idx="639">
                  <c:v>10857</c:v>
                </c:pt>
                <c:pt idx="640">
                  <c:v>10857</c:v>
                </c:pt>
                <c:pt idx="641">
                  <c:v>10857</c:v>
                </c:pt>
                <c:pt idx="642">
                  <c:v>10857</c:v>
                </c:pt>
                <c:pt idx="643">
                  <c:v>10857</c:v>
                </c:pt>
                <c:pt idx="644">
                  <c:v>10857</c:v>
                </c:pt>
                <c:pt idx="645">
                  <c:v>10857</c:v>
                </c:pt>
                <c:pt idx="646">
                  <c:v>10857</c:v>
                </c:pt>
                <c:pt idx="647">
                  <c:v>10857</c:v>
                </c:pt>
                <c:pt idx="648">
                  <c:v>10857</c:v>
                </c:pt>
                <c:pt idx="649">
                  <c:v>10857</c:v>
                </c:pt>
                <c:pt idx="650">
                  <c:v>10857</c:v>
                </c:pt>
                <c:pt idx="651">
                  <c:v>10857</c:v>
                </c:pt>
                <c:pt idx="652">
                  <c:v>10857</c:v>
                </c:pt>
                <c:pt idx="653">
                  <c:v>10857</c:v>
                </c:pt>
                <c:pt idx="654">
                  <c:v>10857</c:v>
                </c:pt>
                <c:pt idx="655">
                  <c:v>10857</c:v>
                </c:pt>
                <c:pt idx="656">
                  <c:v>10857</c:v>
                </c:pt>
                <c:pt idx="657">
                  <c:v>10857</c:v>
                </c:pt>
                <c:pt idx="658">
                  <c:v>10857</c:v>
                </c:pt>
                <c:pt idx="659">
                  <c:v>10857</c:v>
                </c:pt>
                <c:pt idx="660">
                  <c:v>10857</c:v>
                </c:pt>
                <c:pt idx="661">
                  <c:v>10857</c:v>
                </c:pt>
                <c:pt idx="662">
                  <c:v>10857</c:v>
                </c:pt>
                <c:pt idx="663">
                  <c:v>10857</c:v>
                </c:pt>
                <c:pt idx="664">
                  <c:v>10857</c:v>
                </c:pt>
                <c:pt idx="665">
                  <c:v>10857</c:v>
                </c:pt>
                <c:pt idx="666">
                  <c:v>10857</c:v>
                </c:pt>
                <c:pt idx="667">
                  <c:v>10857</c:v>
                </c:pt>
                <c:pt idx="668">
                  <c:v>10857</c:v>
                </c:pt>
                <c:pt idx="669">
                  <c:v>10857</c:v>
                </c:pt>
                <c:pt idx="670">
                  <c:v>10857</c:v>
                </c:pt>
                <c:pt idx="671">
                  <c:v>10857</c:v>
                </c:pt>
                <c:pt idx="672">
                  <c:v>10857</c:v>
                </c:pt>
                <c:pt idx="673">
                  <c:v>10857</c:v>
                </c:pt>
                <c:pt idx="674">
                  <c:v>10894</c:v>
                </c:pt>
                <c:pt idx="675">
                  <c:v>10894</c:v>
                </c:pt>
                <c:pt idx="676">
                  <c:v>10894</c:v>
                </c:pt>
                <c:pt idx="677">
                  <c:v>10894</c:v>
                </c:pt>
                <c:pt idx="678">
                  <c:v>10894</c:v>
                </c:pt>
                <c:pt idx="679">
                  <c:v>10937</c:v>
                </c:pt>
                <c:pt idx="680">
                  <c:v>10937</c:v>
                </c:pt>
                <c:pt idx="681">
                  <c:v>10962</c:v>
                </c:pt>
                <c:pt idx="682">
                  <c:v>10962</c:v>
                </c:pt>
                <c:pt idx="683">
                  <c:v>10962</c:v>
                </c:pt>
                <c:pt idx="684">
                  <c:v>10962</c:v>
                </c:pt>
                <c:pt idx="685">
                  <c:v>10962</c:v>
                </c:pt>
                <c:pt idx="686">
                  <c:v>11005</c:v>
                </c:pt>
                <c:pt idx="687">
                  <c:v>11005</c:v>
                </c:pt>
                <c:pt idx="688">
                  <c:v>11035</c:v>
                </c:pt>
                <c:pt idx="689">
                  <c:v>11160</c:v>
                </c:pt>
                <c:pt idx="690">
                  <c:v>11160</c:v>
                </c:pt>
                <c:pt idx="691">
                  <c:v>11160</c:v>
                </c:pt>
                <c:pt idx="692">
                  <c:v>11160</c:v>
                </c:pt>
                <c:pt idx="693">
                  <c:v>11160</c:v>
                </c:pt>
                <c:pt idx="694">
                  <c:v>11160</c:v>
                </c:pt>
                <c:pt idx="695">
                  <c:v>11160</c:v>
                </c:pt>
                <c:pt idx="696">
                  <c:v>11160</c:v>
                </c:pt>
                <c:pt idx="697">
                  <c:v>11160</c:v>
                </c:pt>
                <c:pt idx="698">
                  <c:v>11160</c:v>
                </c:pt>
                <c:pt idx="699">
                  <c:v>11160</c:v>
                </c:pt>
                <c:pt idx="700">
                  <c:v>11160</c:v>
                </c:pt>
                <c:pt idx="701">
                  <c:v>11160</c:v>
                </c:pt>
                <c:pt idx="702">
                  <c:v>11160</c:v>
                </c:pt>
                <c:pt idx="703">
                  <c:v>11160</c:v>
                </c:pt>
                <c:pt idx="704">
                  <c:v>11160</c:v>
                </c:pt>
                <c:pt idx="705">
                  <c:v>11160</c:v>
                </c:pt>
                <c:pt idx="706">
                  <c:v>11160</c:v>
                </c:pt>
                <c:pt idx="707">
                  <c:v>11160</c:v>
                </c:pt>
                <c:pt idx="708">
                  <c:v>11160</c:v>
                </c:pt>
                <c:pt idx="709">
                  <c:v>11160</c:v>
                </c:pt>
                <c:pt idx="710">
                  <c:v>11160</c:v>
                </c:pt>
                <c:pt idx="711">
                  <c:v>11160</c:v>
                </c:pt>
                <c:pt idx="712">
                  <c:v>11225</c:v>
                </c:pt>
                <c:pt idx="713">
                  <c:v>11311</c:v>
                </c:pt>
                <c:pt idx="714">
                  <c:v>11348</c:v>
                </c:pt>
                <c:pt idx="715">
                  <c:v>11369</c:v>
                </c:pt>
                <c:pt idx="716">
                  <c:v>11369</c:v>
                </c:pt>
                <c:pt idx="717">
                  <c:v>11369</c:v>
                </c:pt>
                <c:pt idx="718">
                  <c:v>11403</c:v>
                </c:pt>
                <c:pt idx="719">
                  <c:v>11403</c:v>
                </c:pt>
                <c:pt idx="720">
                  <c:v>11403</c:v>
                </c:pt>
                <c:pt idx="721">
                  <c:v>11403</c:v>
                </c:pt>
                <c:pt idx="722">
                  <c:v>11403</c:v>
                </c:pt>
                <c:pt idx="723">
                  <c:v>11403</c:v>
                </c:pt>
                <c:pt idx="724">
                  <c:v>11403</c:v>
                </c:pt>
                <c:pt idx="725">
                  <c:v>11403</c:v>
                </c:pt>
                <c:pt idx="726">
                  <c:v>11403</c:v>
                </c:pt>
                <c:pt idx="727">
                  <c:v>11403</c:v>
                </c:pt>
                <c:pt idx="728">
                  <c:v>11403</c:v>
                </c:pt>
                <c:pt idx="729">
                  <c:v>11403</c:v>
                </c:pt>
                <c:pt idx="730">
                  <c:v>11403</c:v>
                </c:pt>
                <c:pt idx="731">
                  <c:v>11403</c:v>
                </c:pt>
                <c:pt idx="732">
                  <c:v>11403</c:v>
                </c:pt>
                <c:pt idx="733">
                  <c:v>11403</c:v>
                </c:pt>
                <c:pt idx="734">
                  <c:v>11403</c:v>
                </c:pt>
                <c:pt idx="735">
                  <c:v>11403</c:v>
                </c:pt>
                <c:pt idx="736">
                  <c:v>11403</c:v>
                </c:pt>
                <c:pt idx="737">
                  <c:v>11403</c:v>
                </c:pt>
                <c:pt idx="738">
                  <c:v>11403</c:v>
                </c:pt>
                <c:pt idx="739">
                  <c:v>11403</c:v>
                </c:pt>
                <c:pt idx="740">
                  <c:v>11403</c:v>
                </c:pt>
                <c:pt idx="741">
                  <c:v>11403</c:v>
                </c:pt>
                <c:pt idx="742">
                  <c:v>11403</c:v>
                </c:pt>
                <c:pt idx="743">
                  <c:v>11403</c:v>
                </c:pt>
                <c:pt idx="744">
                  <c:v>11403</c:v>
                </c:pt>
                <c:pt idx="745">
                  <c:v>11403</c:v>
                </c:pt>
                <c:pt idx="746">
                  <c:v>11403</c:v>
                </c:pt>
                <c:pt idx="747">
                  <c:v>11403</c:v>
                </c:pt>
                <c:pt idx="748">
                  <c:v>11403</c:v>
                </c:pt>
                <c:pt idx="749">
                  <c:v>11403</c:v>
                </c:pt>
                <c:pt idx="750">
                  <c:v>11403</c:v>
                </c:pt>
                <c:pt idx="751">
                  <c:v>11403</c:v>
                </c:pt>
                <c:pt idx="752">
                  <c:v>11403</c:v>
                </c:pt>
                <c:pt idx="753">
                  <c:v>11403</c:v>
                </c:pt>
                <c:pt idx="754">
                  <c:v>11403</c:v>
                </c:pt>
                <c:pt idx="755">
                  <c:v>11403</c:v>
                </c:pt>
                <c:pt idx="756">
                  <c:v>11403</c:v>
                </c:pt>
                <c:pt idx="757">
                  <c:v>11403</c:v>
                </c:pt>
                <c:pt idx="758">
                  <c:v>11403</c:v>
                </c:pt>
                <c:pt idx="759">
                  <c:v>11403</c:v>
                </c:pt>
                <c:pt idx="760">
                  <c:v>11403</c:v>
                </c:pt>
                <c:pt idx="761">
                  <c:v>11403</c:v>
                </c:pt>
                <c:pt idx="762">
                  <c:v>11403</c:v>
                </c:pt>
                <c:pt idx="763">
                  <c:v>11403</c:v>
                </c:pt>
                <c:pt idx="764">
                  <c:v>11403</c:v>
                </c:pt>
                <c:pt idx="765">
                  <c:v>11403</c:v>
                </c:pt>
                <c:pt idx="766">
                  <c:v>11403</c:v>
                </c:pt>
                <c:pt idx="767">
                  <c:v>11403</c:v>
                </c:pt>
                <c:pt idx="768">
                  <c:v>11403</c:v>
                </c:pt>
                <c:pt idx="769">
                  <c:v>11403</c:v>
                </c:pt>
                <c:pt idx="770">
                  <c:v>11403</c:v>
                </c:pt>
                <c:pt idx="771">
                  <c:v>11403</c:v>
                </c:pt>
                <c:pt idx="772">
                  <c:v>11403</c:v>
                </c:pt>
                <c:pt idx="773">
                  <c:v>11403</c:v>
                </c:pt>
                <c:pt idx="774">
                  <c:v>11403</c:v>
                </c:pt>
                <c:pt idx="775">
                  <c:v>11403</c:v>
                </c:pt>
                <c:pt idx="776">
                  <c:v>11403</c:v>
                </c:pt>
                <c:pt idx="777">
                  <c:v>11403</c:v>
                </c:pt>
                <c:pt idx="778">
                  <c:v>11403</c:v>
                </c:pt>
                <c:pt idx="779">
                  <c:v>11403</c:v>
                </c:pt>
                <c:pt idx="780">
                  <c:v>11403</c:v>
                </c:pt>
                <c:pt idx="781">
                  <c:v>11403</c:v>
                </c:pt>
                <c:pt idx="782">
                  <c:v>11403</c:v>
                </c:pt>
                <c:pt idx="783">
                  <c:v>11403</c:v>
                </c:pt>
                <c:pt idx="784">
                  <c:v>11403</c:v>
                </c:pt>
                <c:pt idx="785">
                  <c:v>11403</c:v>
                </c:pt>
                <c:pt idx="786">
                  <c:v>11403</c:v>
                </c:pt>
                <c:pt idx="787">
                  <c:v>11403</c:v>
                </c:pt>
                <c:pt idx="788">
                  <c:v>11403</c:v>
                </c:pt>
                <c:pt idx="789">
                  <c:v>11403</c:v>
                </c:pt>
                <c:pt idx="790">
                  <c:v>11403</c:v>
                </c:pt>
                <c:pt idx="791">
                  <c:v>11403</c:v>
                </c:pt>
                <c:pt idx="792">
                  <c:v>11403</c:v>
                </c:pt>
                <c:pt idx="793">
                  <c:v>11403</c:v>
                </c:pt>
                <c:pt idx="794">
                  <c:v>11403</c:v>
                </c:pt>
                <c:pt idx="795">
                  <c:v>11403</c:v>
                </c:pt>
                <c:pt idx="796">
                  <c:v>11403</c:v>
                </c:pt>
                <c:pt idx="797">
                  <c:v>11403</c:v>
                </c:pt>
                <c:pt idx="798">
                  <c:v>11403</c:v>
                </c:pt>
                <c:pt idx="799">
                  <c:v>11403</c:v>
                </c:pt>
                <c:pt idx="800">
                  <c:v>11403</c:v>
                </c:pt>
                <c:pt idx="801">
                  <c:v>11403</c:v>
                </c:pt>
                <c:pt idx="802">
                  <c:v>11403</c:v>
                </c:pt>
                <c:pt idx="803">
                  <c:v>11403</c:v>
                </c:pt>
                <c:pt idx="804">
                  <c:v>11403</c:v>
                </c:pt>
                <c:pt idx="805">
                  <c:v>11403</c:v>
                </c:pt>
                <c:pt idx="806">
                  <c:v>11403</c:v>
                </c:pt>
                <c:pt idx="807">
                  <c:v>11403</c:v>
                </c:pt>
                <c:pt idx="808">
                  <c:v>11403</c:v>
                </c:pt>
                <c:pt idx="809">
                  <c:v>11403</c:v>
                </c:pt>
                <c:pt idx="810">
                  <c:v>11403</c:v>
                </c:pt>
                <c:pt idx="811">
                  <c:v>11403</c:v>
                </c:pt>
                <c:pt idx="812">
                  <c:v>11403</c:v>
                </c:pt>
                <c:pt idx="813">
                  <c:v>11403</c:v>
                </c:pt>
                <c:pt idx="814">
                  <c:v>11403</c:v>
                </c:pt>
                <c:pt idx="815">
                  <c:v>11403</c:v>
                </c:pt>
                <c:pt idx="816">
                  <c:v>11450</c:v>
                </c:pt>
                <c:pt idx="817">
                  <c:v>11544</c:v>
                </c:pt>
                <c:pt idx="818">
                  <c:v>11559</c:v>
                </c:pt>
                <c:pt idx="819">
                  <c:v>11573</c:v>
                </c:pt>
                <c:pt idx="820">
                  <c:v>11573</c:v>
                </c:pt>
                <c:pt idx="821">
                  <c:v>11573</c:v>
                </c:pt>
                <c:pt idx="822">
                  <c:v>11573</c:v>
                </c:pt>
                <c:pt idx="823">
                  <c:v>11577</c:v>
                </c:pt>
                <c:pt idx="824">
                  <c:v>11589</c:v>
                </c:pt>
                <c:pt idx="825">
                  <c:v>11744</c:v>
                </c:pt>
                <c:pt idx="826">
                  <c:v>11744</c:v>
                </c:pt>
                <c:pt idx="827">
                  <c:v>11744</c:v>
                </c:pt>
                <c:pt idx="828">
                  <c:v>11744</c:v>
                </c:pt>
                <c:pt idx="829">
                  <c:v>11744</c:v>
                </c:pt>
                <c:pt idx="830">
                  <c:v>11744</c:v>
                </c:pt>
                <c:pt idx="831">
                  <c:v>11744</c:v>
                </c:pt>
                <c:pt idx="832">
                  <c:v>11744</c:v>
                </c:pt>
                <c:pt idx="833">
                  <c:v>11744</c:v>
                </c:pt>
                <c:pt idx="834">
                  <c:v>11744</c:v>
                </c:pt>
                <c:pt idx="835">
                  <c:v>11744</c:v>
                </c:pt>
                <c:pt idx="836">
                  <c:v>11744</c:v>
                </c:pt>
                <c:pt idx="837">
                  <c:v>11744</c:v>
                </c:pt>
                <c:pt idx="838">
                  <c:v>11744</c:v>
                </c:pt>
                <c:pt idx="839">
                  <c:v>11744</c:v>
                </c:pt>
                <c:pt idx="840">
                  <c:v>11744</c:v>
                </c:pt>
                <c:pt idx="841">
                  <c:v>11744</c:v>
                </c:pt>
                <c:pt idx="842">
                  <c:v>11744</c:v>
                </c:pt>
                <c:pt idx="843">
                  <c:v>11744</c:v>
                </c:pt>
                <c:pt idx="844">
                  <c:v>11744</c:v>
                </c:pt>
                <c:pt idx="845">
                  <c:v>11744</c:v>
                </c:pt>
                <c:pt idx="846">
                  <c:v>11744</c:v>
                </c:pt>
                <c:pt idx="847">
                  <c:v>11744</c:v>
                </c:pt>
                <c:pt idx="848">
                  <c:v>11744</c:v>
                </c:pt>
                <c:pt idx="849">
                  <c:v>11744</c:v>
                </c:pt>
                <c:pt idx="850">
                  <c:v>11744</c:v>
                </c:pt>
                <c:pt idx="851">
                  <c:v>11744</c:v>
                </c:pt>
                <c:pt idx="852">
                  <c:v>11744</c:v>
                </c:pt>
                <c:pt idx="853">
                  <c:v>11744</c:v>
                </c:pt>
                <c:pt idx="854">
                  <c:v>11744</c:v>
                </c:pt>
                <c:pt idx="855">
                  <c:v>11744</c:v>
                </c:pt>
                <c:pt idx="856">
                  <c:v>11744</c:v>
                </c:pt>
                <c:pt idx="857">
                  <c:v>11744</c:v>
                </c:pt>
                <c:pt idx="858">
                  <c:v>11744</c:v>
                </c:pt>
                <c:pt idx="859">
                  <c:v>11744</c:v>
                </c:pt>
                <c:pt idx="860">
                  <c:v>11744</c:v>
                </c:pt>
                <c:pt idx="861">
                  <c:v>11744</c:v>
                </c:pt>
                <c:pt idx="862">
                  <c:v>11744</c:v>
                </c:pt>
                <c:pt idx="863">
                  <c:v>11744</c:v>
                </c:pt>
                <c:pt idx="864">
                  <c:v>11744</c:v>
                </c:pt>
                <c:pt idx="865">
                  <c:v>11744</c:v>
                </c:pt>
                <c:pt idx="866">
                  <c:v>11744</c:v>
                </c:pt>
                <c:pt idx="867">
                  <c:v>11744</c:v>
                </c:pt>
                <c:pt idx="868">
                  <c:v>11744</c:v>
                </c:pt>
                <c:pt idx="869">
                  <c:v>11744</c:v>
                </c:pt>
                <c:pt idx="870">
                  <c:v>11744</c:v>
                </c:pt>
                <c:pt idx="871">
                  <c:v>11744</c:v>
                </c:pt>
                <c:pt idx="872">
                  <c:v>11744</c:v>
                </c:pt>
                <c:pt idx="873">
                  <c:v>11744</c:v>
                </c:pt>
                <c:pt idx="874">
                  <c:v>11744</c:v>
                </c:pt>
                <c:pt idx="875">
                  <c:v>11744</c:v>
                </c:pt>
                <c:pt idx="876">
                  <c:v>11744</c:v>
                </c:pt>
                <c:pt idx="877">
                  <c:v>11744</c:v>
                </c:pt>
                <c:pt idx="878">
                  <c:v>11744</c:v>
                </c:pt>
                <c:pt idx="879">
                  <c:v>11744</c:v>
                </c:pt>
                <c:pt idx="880">
                  <c:v>11744</c:v>
                </c:pt>
                <c:pt idx="881">
                  <c:v>11744</c:v>
                </c:pt>
                <c:pt idx="882">
                  <c:v>11744</c:v>
                </c:pt>
                <c:pt idx="883">
                  <c:v>11744</c:v>
                </c:pt>
                <c:pt idx="884">
                  <c:v>11744</c:v>
                </c:pt>
                <c:pt idx="885">
                  <c:v>11744</c:v>
                </c:pt>
                <c:pt idx="886">
                  <c:v>11744</c:v>
                </c:pt>
                <c:pt idx="887">
                  <c:v>11744</c:v>
                </c:pt>
                <c:pt idx="888">
                  <c:v>11744</c:v>
                </c:pt>
                <c:pt idx="889">
                  <c:v>11744</c:v>
                </c:pt>
                <c:pt idx="890">
                  <c:v>11744</c:v>
                </c:pt>
                <c:pt idx="891">
                  <c:v>11744</c:v>
                </c:pt>
                <c:pt idx="892">
                  <c:v>11898.5</c:v>
                </c:pt>
                <c:pt idx="893">
                  <c:v>12003</c:v>
                </c:pt>
                <c:pt idx="894">
                  <c:v>12123</c:v>
                </c:pt>
                <c:pt idx="895">
                  <c:v>12218</c:v>
                </c:pt>
                <c:pt idx="896">
                  <c:v>12227</c:v>
                </c:pt>
                <c:pt idx="897">
                  <c:v>12227</c:v>
                </c:pt>
                <c:pt idx="898">
                  <c:v>12252</c:v>
                </c:pt>
                <c:pt idx="899">
                  <c:v>12341</c:v>
                </c:pt>
                <c:pt idx="900">
                  <c:v>12380</c:v>
                </c:pt>
                <c:pt idx="901">
                  <c:v>12407</c:v>
                </c:pt>
                <c:pt idx="902">
                  <c:v>12499</c:v>
                </c:pt>
                <c:pt idx="903">
                  <c:v>12547</c:v>
                </c:pt>
                <c:pt idx="904">
                  <c:v>12658</c:v>
                </c:pt>
                <c:pt idx="905">
                  <c:v>12668</c:v>
                </c:pt>
                <c:pt idx="906">
                  <c:v>12668</c:v>
                </c:pt>
                <c:pt idx="907">
                  <c:v>12668</c:v>
                </c:pt>
                <c:pt idx="908">
                  <c:v>12668</c:v>
                </c:pt>
                <c:pt idx="909">
                  <c:v>12668</c:v>
                </c:pt>
                <c:pt idx="910">
                  <c:v>12668</c:v>
                </c:pt>
                <c:pt idx="911">
                  <c:v>12668</c:v>
                </c:pt>
                <c:pt idx="912">
                  <c:v>12668</c:v>
                </c:pt>
                <c:pt idx="913">
                  <c:v>12668</c:v>
                </c:pt>
                <c:pt idx="914">
                  <c:v>12668</c:v>
                </c:pt>
                <c:pt idx="915">
                  <c:v>12744</c:v>
                </c:pt>
                <c:pt idx="916">
                  <c:v>12791</c:v>
                </c:pt>
                <c:pt idx="917">
                  <c:v>12814</c:v>
                </c:pt>
                <c:pt idx="918">
                  <c:v>12814</c:v>
                </c:pt>
                <c:pt idx="919">
                  <c:v>12814</c:v>
                </c:pt>
                <c:pt idx="920">
                  <c:v>12814</c:v>
                </c:pt>
                <c:pt idx="921">
                  <c:v>12927</c:v>
                </c:pt>
                <c:pt idx="922">
                  <c:v>12982</c:v>
                </c:pt>
                <c:pt idx="923">
                  <c:v>12982</c:v>
                </c:pt>
                <c:pt idx="924">
                  <c:v>12992</c:v>
                </c:pt>
                <c:pt idx="925">
                  <c:v>12992</c:v>
                </c:pt>
                <c:pt idx="926">
                  <c:v>12992</c:v>
                </c:pt>
                <c:pt idx="927">
                  <c:v>12992</c:v>
                </c:pt>
                <c:pt idx="928">
                  <c:v>12992</c:v>
                </c:pt>
                <c:pt idx="929">
                  <c:v>12992</c:v>
                </c:pt>
                <c:pt idx="930">
                  <c:v>12992</c:v>
                </c:pt>
                <c:pt idx="931">
                  <c:v>12992</c:v>
                </c:pt>
                <c:pt idx="932">
                  <c:v>12992</c:v>
                </c:pt>
                <c:pt idx="933">
                  <c:v>12992</c:v>
                </c:pt>
                <c:pt idx="934">
                  <c:v>12992</c:v>
                </c:pt>
                <c:pt idx="935">
                  <c:v>12992</c:v>
                </c:pt>
                <c:pt idx="936">
                  <c:v>12992</c:v>
                </c:pt>
                <c:pt idx="937">
                  <c:v>12992</c:v>
                </c:pt>
                <c:pt idx="938">
                  <c:v>12992</c:v>
                </c:pt>
                <c:pt idx="939">
                  <c:v>12992</c:v>
                </c:pt>
                <c:pt idx="940">
                  <c:v>12992</c:v>
                </c:pt>
                <c:pt idx="941">
                  <c:v>12992</c:v>
                </c:pt>
                <c:pt idx="942">
                  <c:v>12992</c:v>
                </c:pt>
                <c:pt idx="943">
                  <c:v>12992</c:v>
                </c:pt>
                <c:pt idx="944">
                  <c:v>12992</c:v>
                </c:pt>
                <c:pt idx="945">
                  <c:v>12992</c:v>
                </c:pt>
                <c:pt idx="946">
                  <c:v>12992</c:v>
                </c:pt>
                <c:pt idx="947">
                  <c:v>12992</c:v>
                </c:pt>
                <c:pt idx="948">
                  <c:v>12992</c:v>
                </c:pt>
                <c:pt idx="949">
                  <c:v>12992</c:v>
                </c:pt>
                <c:pt idx="950">
                  <c:v>12992</c:v>
                </c:pt>
                <c:pt idx="951">
                  <c:v>12992</c:v>
                </c:pt>
                <c:pt idx="952">
                  <c:v>12992</c:v>
                </c:pt>
                <c:pt idx="953">
                  <c:v>12992</c:v>
                </c:pt>
                <c:pt idx="954">
                  <c:v>12992</c:v>
                </c:pt>
                <c:pt idx="955">
                  <c:v>12992</c:v>
                </c:pt>
                <c:pt idx="956">
                  <c:v>12992</c:v>
                </c:pt>
                <c:pt idx="957">
                  <c:v>12992</c:v>
                </c:pt>
                <c:pt idx="958">
                  <c:v>12992</c:v>
                </c:pt>
                <c:pt idx="959">
                  <c:v>12992</c:v>
                </c:pt>
                <c:pt idx="960">
                  <c:v>12992</c:v>
                </c:pt>
                <c:pt idx="961">
                  <c:v>12992</c:v>
                </c:pt>
                <c:pt idx="962">
                  <c:v>12992</c:v>
                </c:pt>
                <c:pt idx="963">
                  <c:v>12992</c:v>
                </c:pt>
                <c:pt idx="964">
                  <c:v>12992</c:v>
                </c:pt>
                <c:pt idx="965">
                  <c:v>12992</c:v>
                </c:pt>
                <c:pt idx="966">
                  <c:v>12992</c:v>
                </c:pt>
                <c:pt idx="967">
                  <c:v>12992</c:v>
                </c:pt>
                <c:pt idx="968">
                  <c:v>12992</c:v>
                </c:pt>
                <c:pt idx="969">
                  <c:v>12992</c:v>
                </c:pt>
                <c:pt idx="970">
                  <c:v>12992</c:v>
                </c:pt>
                <c:pt idx="971">
                  <c:v>12992</c:v>
                </c:pt>
                <c:pt idx="972">
                  <c:v>12992</c:v>
                </c:pt>
                <c:pt idx="973">
                  <c:v>12992</c:v>
                </c:pt>
                <c:pt idx="974">
                  <c:v>12992</c:v>
                </c:pt>
                <c:pt idx="975">
                  <c:v>12992</c:v>
                </c:pt>
                <c:pt idx="976">
                  <c:v>12992</c:v>
                </c:pt>
                <c:pt idx="977">
                  <c:v>12992</c:v>
                </c:pt>
                <c:pt idx="978">
                  <c:v>12992</c:v>
                </c:pt>
                <c:pt idx="979">
                  <c:v>12992</c:v>
                </c:pt>
                <c:pt idx="980">
                  <c:v>12992</c:v>
                </c:pt>
                <c:pt idx="981">
                  <c:v>12992</c:v>
                </c:pt>
                <c:pt idx="982">
                  <c:v>12992</c:v>
                </c:pt>
                <c:pt idx="983">
                  <c:v>12992</c:v>
                </c:pt>
                <c:pt idx="984">
                  <c:v>12992</c:v>
                </c:pt>
                <c:pt idx="985">
                  <c:v>12992</c:v>
                </c:pt>
                <c:pt idx="986">
                  <c:v>12992</c:v>
                </c:pt>
                <c:pt idx="987">
                  <c:v>12992</c:v>
                </c:pt>
                <c:pt idx="988">
                  <c:v>12992</c:v>
                </c:pt>
                <c:pt idx="989">
                  <c:v>12992</c:v>
                </c:pt>
                <c:pt idx="990">
                  <c:v>12992</c:v>
                </c:pt>
                <c:pt idx="991">
                  <c:v>12992</c:v>
                </c:pt>
                <c:pt idx="992">
                  <c:v>12992</c:v>
                </c:pt>
                <c:pt idx="993">
                  <c:v>12992</c:v>
                </c:pt>
                <c:pt idx="994">
                  <c:v>12992</c:v>
                </c:pt>
                <c:pt idx="995">
                  <c:v>12992</c:v>
                </c:pt>
                <c:pt idx="996">
                  <c:v>12992</c:v>
                </c:pt>
                <c:pt idx="997">
                  <c:v>12992</c:v>
                </c:pt>
                <c:pt idx="998">
                  <c:v>12992</c:v>
                </c:pt>
                <c:pt idx="999">
                  <c:v>12992</c:v>
                </c:pt>
                <c:pt idx="1000">
                  <c:v>12992</c:v>
                </c:pt>
                <c:pt idx="1001">
                  <c:v>12992</c:v>
                </c:pt>
                <c:pt idx="1002">
                  <c:v>12992</c:v>
                </c:pt>
                <c:pt idx="1003">
                  <c:v>12992</c:v>
                </c:pt>
                <c:pt idx="1004">
                  <c:v>12992</c:v>
                </c:pt>
                <c:pt idx="1005">
                  <c:v>12992</c:v>
                </c:pt>
                <c:pt idx="1006">
                  <c:v>12992</c:v>
                </c:pt>
                <c:pt idx="1007">
                  <c:v>12992</c:v>
                </c:pt>
                <c:pt idx="1008">
                  <c:v>12992</c:v>
                </c:pt>
                <c:pt idx="1009">
                  <c:v>12992</c:v>
                </c:pt>
                <c:pt idx="1010">
                  <c:v>12992</c:v>
                </c:pt>
                <c:pt idx="1011">
                  <c:v>12992</c:v>
                </c:pt>
                <c:pt idx="1012">
                  <c:v>12992</c:v>
                </c:pt>
                <c:pt idx="1013">
                  <c:v>12992</c:v>
                </c:pt>
                <c:pt idx="1014">
                  <c:v>12992</c:v>
                </c:pt>
                <c:pt idx="1015">
                  <c:v>12992</c:v>
                </c:pt>
                <c:pt idx="1016">
                  <c:v>12992</c:v>
                </c:pt>
                <c:pt idx="1017">
                  <c:v>12992</c:v>
                </c:pt>
                <c:pt idx="1018">
                  <c:v>12992</c:v>
                </c:pt>
                <c:pt idx="1019">
                  <c:v>12992</c:v>
                </c:pt>
                <c:pt idx="1020">
                  <c:v>12992</c:v>
                </c:pt>
                <c:pt idx="1021">
                  <c:v>12992</c:v>
                </c:pt>
                <c:pt idx="1022">
                  <c:v>12992</c:v>
                </c:pt>
                <c:pt idx="1023">
                  <c:v>12992</c:v>
                </c:pt>
                <c:pt idx="1024">
                  <c:v>12992</c:v>
                </c:pt>
                <c:pt idx="1025">
                  <c:v>12992</c:v>
                </c:pt>
                <c:pt idx="1026">
                  <c:v>12992</c:v>
                </c:pt>
                <c:pt idx="1027">
                  <c:v>12992</c:v>
                </c:pt>
                <c:pt idx="1028">
                  <c:v>12992</c:v>
                </c:pt>
                <c:pt idx="1029">
                  <c:v>12992</c:v>
                </c:pt>
                <c:pt idx="1030">
                  <c:v>12992</c:v>
                </c:pt>
                <c:pt idx="1031">
                  <c:v>12992</c:v>
                </c:pt>
                <c:pt idx="1032">
                  <c:v>12992</c:v>
                </c:pt>
                <c:pt idx="1033">
                  <c:v>12992</c:v>
                </c:pt>
                <c:pt idx="1034">
                  <c:v>12992</c:v>
                </c:pt>
                <c:pt idx="1035">
                  <c:v>12992</c:v>
                </c:pt>
                <c:pt idx="1036">
                  <c:v>12992</c:v>
                </c:pt>
                <c:pt idx="1037">
                  <c:v>12992</c:v>
                </c:pt>
                <c:pt idx="1038">
                  <c:v>12992</c:v>
                </c:pt>
                <c:pt idx="1039">
                  <c:v>12992</c:v>
                </c:pt>
                <c:pt idx="1040">
                  <c:v>12992</c:v>
                </c:pt>
                <c:pt idx="1041">
                  <c:v>12992</c:v>
                </c:pt>
                <c:pt idx="1042">
                  <c:v>12992</c:v>
                </c:pt>
                <c:pt idx="1043">
                  <c:v>12992</c:v>
                </c:pt>
                <c:pt idx="1044">
                  <c:v>12992</c:v>
                </c:pt>
                <c:pt idx="1045">
                  <c:v>12992</c:v>
                </c:pt>
                <c:pt idx="1046">
                  <c:v>12992</c:v>
                </c:pt>
                <c:pt idx="1047">
                  <c:v>12992</c:v>
                </c:pt>
                <c:pt idx="1048">
                  <c:v>12992</c:v>
                </c:pt>
                <c:pt idx="1049">
                  <c:v>12992</c:v>
                </c:pt>
                <c:pt idx="1050">
                  <c:v>12992</c:v>
                </c:pt>
                <c:pt idx="1051">
                  <c:v>12992</c:v>
                </c:pt>
                <c:pt idx="1052">
                  <c:v>13024</c:v>
                </c:pt>
                <c:pt idx="1053">
                  <c:v>13024</c:v>
                </c:pt>
                <c:pt idx="1054">
                  <c:v>13036.5</c:v>
                </c:pt>
                <c:pt idx="1055">
                  <c:v>13036.5</c:v>
                </c:pt>
                <c:pt idx="1056">
                  <c:v>13036.5</c:v>
                </c:pt>
                <c:pt idx="1057">
                  <c:v>13036.5</c:v>
                </c:pt>
                <c:pt idx="1058">
                  <c:v>13036.5</c:v>
                </c:pt>
                <c:pt idx="1059">
                  <c:v>13036.5</c:v>
                </c:pt>
                <c:pt idx="1060">
                  <c:v>13036.5</c:v>
                </c:pt>
                <c:pt idx="1061">
                  <c:v>13036.5</c:v>
                </c:pt>
                <c:pt idx="1062">
                  <c:v>13086</c:v>
                </c:pt>
                <c:pt idx="1063">
                  <c:v>13139</c:v>
                </c:pt>
                <c:pt idx="1064">
                  <c:v>13187</c:v>
                </c:pt>
                <c:pt idx="1065">
                  <c:v>13230</c:v>
                </c:pt>
                <c:pt idx="1066">
                  <c:v>13230</c:v>
                </c:pt>
                <c:pt idx="1067">
                  <c:v>13316</c:v>
                </c:pt>
                <c:pt idx="1068">
                  <c:v>13445</c:v>
                </c:pt>
                <c:pt idx="1069">
                  <c:v>13569</c:v>
                </c:pt>
                <c:pt idx="1070">
                  <c:v>13743</c:v>
                </c:pt>
                <c:pt idx="1071">
                  <c:v>13766</c:v>
                </c:pt>
                <c:pt idx="1072">
                  <c:v>13766</c:v>
                </c:pt>
                <c:pt idx="1073">
                  <c:v>13766</c:v>
                </c:pt>
                <c:pt idx="1074">
                  <c:v>13797</c:v>
                </c:pt>
                <c:pt idx="1075">
                  <c:v>13797</c:v>
                </c:pt>
                <c:pt idx="1076">
                  <c:v>13900</c:v>
                </c:pt>
                <c:pt idx="1077">
                  <c:v>13900</c:v>
                </c:pt>
                <c:pt idx="1078">
                  <c:v>13900</c:v>
                </c:pt>
                <c:pt idx="1079">
                  <c:v>13900</c:v>
                </c:pt>
                <c:pt idx="1080">
                  <c:v>13900</c:v>
                </c:pt>
                <c:pt idx="1081">
                  <c:v>13900</c:v>
                </c:pt>
                <c:pt idx="1082">
                  <c:v>13900</c:v>
                </c:pt>
                <c:pt idx="1083">
                  <c:v>13966</c:v>
                </c:pt>
                <c:pt idx="1084">
                  <c:v>14005</c:v>
                </c:pt>
                <c:pt idx="1085">
                  <c:v>14005</c:v>
                </c:pt>
                <c:pt idx="1086">
                  <c:v>14005</c:v>
                </c:pt>
                <c:pt idx="1087">
                  <c:v>14005</c:v>
                </c:pt>
                <c:pt idx="1088">
                  <c:v>14112</c:v>
                </c:pt>
                <c:pt idx="1089">
                  <c:v>14112</c:v>
                </c:pt>
                <c:pt idx="1090">
                  <c:v>14112</c:v>
                </c:pt>
                <c:pt idx="1091">
                  <c:v>14112</c:v>
                </c:pt>
                <c:pt idx="1092">
                  <c:v>14112</c:v>
                </c:pt>
                <c:pt idx="1093">
                  <c:v>14112</c:v>
                </c:pt>
                <c:pt idx="1094">
                  <c:v>14112</c:v>
                </c:pt>
                <c:pt idx="1095">
                  <c:v>14112</c:v>
                </c:pt>
                <c:pt idx="1096">
                  <c:v>14112</c:v>
                </c:pt>
                <c:pt idx="1097">
                  <c:v>14112</c:v>
                </c:pt>
                <c:pt idx="1098">
                  <c:v>14112</c:v>
                </c:pt>
                <c:pt idx="1099">
                  <c:v>14112</c:v>
                </c:pt>
                <c:pt idx="1100">
                  <c:v>14112</c:v>
                </c:pt>
                <c:pt idx="1101">
                  <c:v>14112</c:v>
                </c:pt>
                <c:pt idx="1102">
                  <c:v>14112</c:v>
                </c:pt>
                <c:pt idx="1103">
                  <c:v>14112</c:v>
                </c:pt>
                <c:pt idx="1104">
                  <c:v>14112</c:v>
                </c:pt>
                <c:pt idx="1105">
                  <c:v>14112</c:v>
                </c:pt>
                <c:pt idx="1106">
                  <c:v>14112</c:v>
                </c:pt>
                <c:pt idx="1107">
                  <c:v>14112</c:v>
                </c:pt>
                <c:pt idx="1108">
                  <c:v>14112</c:v>
                </c:pt>
                <c:pt idx="1109">
                  <c:v>14112</c:v>
                </c:pt>
                <c:pt idx="1110">
                  <c:v>14112</c:v>
                </c:pt>
                <c:pt idx="1111">
                  <c:v>14297</c:v>
                </c:pt>
                <c:pt idx="1112">
                  <c:v>14400</c:v>
                </c:pt>
                <c:pt idx="1113">
                  <c:v>14505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0-4F5E-8FC2-AA34E6D10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Day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</c:valAx>
      <c:valAx>
        <c:axId val="540095055"/>
        <c:scaling>
          <c:orientation val="minMax"/>
          <c:max val="15000"/>
        </c:scaling>
        <c:delete val="0"/>
        <c:axPos val="r"/>
        <c:majorGridlines>
          <c:spPr>
            <a:ln w="9525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Cumulative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  <c:majorUnit val="2500"/>
      </c:valAx>
      <c:date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 2023 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[0]!PagesDate2023</c:f>
              <c:numCache>
                <c:formatCode>m/d/yyyy</c:formatCode>
                <c:ptCount val="81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</c:numCache>
            </c:numRef>
          </c:cat>
          <c:val>
            <c:numRef>
              <c:f>[0]!PagesDayTotal2023</c:f>
              <c:numCache>
                <c:formatCode>General</c:formatCode>
                <c:ptCount val="81"/>
                <c:pt idx="0">
                  <c:v>129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</c:v>
                </c:pt>
                <c:pt idx="12">
                  <c:v>102</c:v>
                </c:pt>
                <c:pt idx="13">
                  <c:v>95</c:v>
                </c:pt>
                <c:pt idx="14">
                  <c:v>128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76</c:v>
                </c:pt>
                <c:pt idx="20">
                  <c:v>166</c:v>
                </c:pt>
                <c:pt idx="21">
                  <c:v>139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129</c:v>
                </c:pt>
                <c:pt idx="27">
                  <c:v>42</c:v>
                </c:pt>
                <c:pt idx="28">
                  <c:v>88</c:v>
                </c:pt>
                <c:pt idx="29">
                  <c:v>63</c:v>
                </c:pt>
                <c:pt idx="30">
                  <c:v>0</c:v>
                </c:pt>
                <c:pt idx="31">
                  <c:v>54</c:v>
                </c:pt>
                <c:pt idx="32">
                  <c:v>121</c:v>
                </c:pt>
                <c:pt idx="33">
                  <c:v>62</c:v>
                </c:pt>
                <c:pt idx="34">
                  <c:v>47</c:v>
                </c:pt>
                <c:pt idx="35">
                  <c:v>101</c:v>
                </c:pt>
                <c:pt idx="36">
                  <c:v>200</c:v>
                </c:pt>
                <c:pt idx="37">
                  <c:v>144</c:v>
                </c:pt>
                <c:pt idx="38">
                  <c:v>71</c:v>
                </c:pt>
                <c:pt idx="39">
                  <c:v>100</c:v>
                </c:pt>
                <c:pt idx="40">
                  <c:v>15</c:v>
                </c:pt>
                <c:pt idx="41">
                  <c:v>72</c:v>
                </c:pt>
                <c:pt idx="42">
                  <c:v>0</c:v>
                </c:pt>
                <c:pt idx="43">
                  <c:v>44</c:v>
                </c:pt>
                <c:pt idx="44">
                  <c:v>22</c:v>
                </c:pt>
                <c:pt idx="45">
                  <c:v>76</c:v>
                </c:pt>
                <c:pt idx="46">
                  <c:v>89</c:v>
                </c:pt>
                <c:pt idx="47">
                  <c:v>0</c:v>
                </c:pt>
                <c:pt idx="48">
                  <c:v>63</c:v>
                </c:pt>
                <c:pt idx="49">
                  <c:v>179</c:v>
                </c:pt>
                <c:pt idx="50">
                  <c:v>44</c:v>
                </c:pt>
                <c:pt idx="51">
                  <c:v>0</c:v>
                </c:pt>
                <c:pt idx="52">
                  <c:v>114</c:v>
                </c:pt>
                <c:pt idx="53">
                  <c:v>0</c:v>
                </c:pt>
                <c:pt idx="54">
                  <c:v>263</c:v>
                </c:pt>
                <c:pt idx="55">
                  <c:v>42</c:v>
                </c:pt>
                <c:pt idx="56">
                  <c:v>103</c:v>
                </c:pt>
                <c:pt idx="57">
                  <c:v>62</c:v>
                </c:pt>
                <c:pt idx="58">
                  <c:v>0</c:v>
                </c:pt>
                <c:pt idx="59">
                  <c:v>0</c:v>
                </c:pt>
                <c:pt idx="60">
                  <c:v>127</c:v>
                </c:pt>
                <c:pt idx="61">
                  <c:v>34</c:v>
                </c:pt>
                <c:pt idx="62">
                  <c:v>0</c:v>
                </c:pt>
                <c:pt idx="63">
                  <c:v>26</c:v>
                </c:pt>
                <c:pt idx="64">
                  <c:v>48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21</c:v>
                </c:pt>
                <c:pt idx="73">
                  <c:v>39</c:v>
                </c:pt>
                <c:pt idx="74">
                  <c:v>89</c:v>
                </c:pt>
                <c:pt idx="75">
                  <c:v>30</c:v>
                </c:pt>
                <c:pt idx="76">
                  <c:v>20</c:v>
                </c:pt>
                <c:pt idx="77">
                  <c:v>50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6-4B9E-BE29-D44A6E91E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0"/>
          <c:order val="1"/>
          <c:tx>
            <c:strRef>
              <c:f>Pages!$D$1</c:f>
              <c:strCache>
                <c:ptCount val="1"/>
                <c:pt idx="0">
                  <c:v>Cumulative 2023 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[0]!PagesDate2023</c:f>
              <c:numCache>
                <c:formatCode>m/d/yyyy</c:formatCode>
                <c:ptCount val="81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</c:numCache>
            </c:numRef>
          </c:cat>
          <c:val>
            <c:numRef>
              <c:f>[0]!PagesCum2023</c:f>
              <c:numCache>
                <c:formatCode>General</c:formatCode>
                <c:ptCount val="81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163</c:v>
                </c:pt>
                <c:pt idx="6">
                  <c:v>204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436</c:v>
                </c:pt>
                <c:pt idx="12">
                  <c:v>538</c:v>
                </c:pt>
                <c:pt idx="13">
                  <c:v>633</c:v>
                </c:pt>
                <c:pt idx="14">
                  <c:v>761</c:v>
                </c:pt>
                <c:pt idx="15">
                  <c:v>843</c:v>
                </c:pt>
                <c:pt idx="16">
                  <c:v>843</c:v>
                </c:pt>
                <c:pt idx="17">
                  <c:v>843</c:v>
                </c:pt>
                <c:pt idx="18">
                  <c:v>843</c:v>
                </c:pt>
                <c:pt idx="19">
                  <c:v>919</c:v>
                </c:pt>
                <c:pt idx="20">
                  <c:v>1085</c:v>
                </c:pt>
                <c:pt idx="21">
                  <c:v>1224</c:v>
                </c:pt>
                <c:pt idx="22">
                  <c:v>1224</c:v>
                </c:pt>
                <c:pt idx="23">
                  <c:v>1224</c:v>
                </c:pt>
                <c:pt idx="24">
                  <c:v>1224</c:v>
                </c:pt>
                <c:pt idx="25">
                  <c:v>1301</c:v>
                </c:pt>
                <c:pt idx="26">
                  <c:v>1430</c:v>
                </c:pt>
                <c:pt idx="27">
                  <c:v>1472</c:v>
                </c:pt>
                <c:pt idx="28">
                  <c:v>1560</c:v>
                </c:pt>
                <c:pt idx="29">
                  <c:v>1623</c:v>
                </c:pt>
                <c:pt idx="30">
                  <c:v>1623</c:v>
                </c:pt>
                <c:pt idx="31">
                  <c:v>1677</c:v>
                </c:pt>
                <c:pt idx="32">
                  <c:v>1798</c:v>
                </c:pt>
                <c:pt idx="33">
                  <c:v>1860</c:v>
                </c:pt>
                <c:pt idx="34">
                  <c:v>1907</c:v>
                </c:pt>
                <c:pt idx="35">
                  <c:v>2008</c:v>
                </c:pt>
                <c:pt idx="36">
                  <c:v>2208</c:v>
                </c:pt>
                <c:pt idx="37">
                  <c:v>2352</c:v>
                </c:pt>
                <c:pt idx="38">
                  <c:v>2423</c:v>
                </c:pt>
                <c:pt idx="39">
                  <c:v>2523</c:v>
                </c:pt>
                <c:pt idx="40">
                  <c:v>2538</c:v>
                </c:pt>
                <c:pt idx="41">
                  <c:v>2610</c:v>
                </c:pt>
                <c:pt idx="42">
                  <c:v>2610</c:v>
                </c:pt>
                <c:pt idx="43">
                  <c:v>2654</c:v>
                </c:pt>
                <c:pt idx="44">
                  <c:v>2676</c:v>
                </c:pt>
                <c:pt idx="45">
                  <c:v>2752</c:v>
                </c:pt>
                <c:pt idx="46">
                  <c:v>2841</c:v>
                </c:pt>
                <c:pt idx="47">
                  <c:v>2841</c:v>
                </c:pt>
                <c:pt idx="48">
                  <c:v>2904</c:v>
                </c:pt>
                <c:pt idx="49">
                  <c:v>3083</c:v>
                </c:pt>
                <c:pt idx="50">
                  <c:v>3127</c:v>
                </c:pt>
                <c:pt idx="51">
                  <c:v>3127</c:v>
                </c:pt>
                <c:pt idx="52">
                  <c:v>3241</c:v>
                </c:pt>
                <c:pt idx="53">
                  <c:v>3241</c:v>
                </c:pt>
                <c:pt idx="54">
                  <c:v>3504</c:v>
                </c:pt>
                <c:pt idx="55">
                  <c:v>3546</c:v>
                </c:pt>
                <c:pt idx="56">
                  <c:v>3649</c:v>
                </c:pt>
                <c:pt idx="57">
                  <c:v>3711</c:v>
                </c:pt>
                <c:pt idx="58">
                  <c:v>3711</c:v>
                </c:pt>
                <c:pt idx="59">
                  <c:v>3711</c:v>
                </c:pt>
                <c:pt idx="60">
                  <c:v>3838</c:v>
                </c:pt>
                <c:pt idx="61">
                  <c:v>3872</c:v>
                </c:pt>
                <c:pt idx="62">
                  <c:v>3872</c:v>
                </c:pt>
                <c:pt idx="63">
                  <c:v>3898</c:v>
                </c:pt>
                <c:pt idx="64">
                  <c:v>3946</c:v>
                </c:pt>
                <c:pt idx="65">
                  <c:v>3946</c:v>
                </c:pt>
                <c:pt idx="66">
                  <c:v>3946</c:v>
                </c:pt>
                <c:pt idx="67">
                  <c:v>3946</c:v>
                </c:pt>
                <c:pt idx="68">
                  <c:v>3946</c:v>
                </c:pt>
                <c:pt idx="69">
                  <c:v>3946</c:v>
                </c:pt>
                <c:pt idx="70">
                  <c:v>3946</c:v>
                </c:pt>
                <c:pt idx="71">
                  <c:v>3946</c:v>
                </c:pt>
                <c:pt idx="72">
                  <c:v>3967</c:v>
                </c:pt>
                <c:pt idx="73">
                  <c:v>4006</c:v>
                </c:pt>
                <c:pt idx="74">
                  <c:v>4095</c:v>
                </c:pt>
                <c:pt idx="75">
                  <c:v>4125</c:v>
                </c:pt>
                <c:pt idx="76">
                  <c:v>4145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6-4B9E-BE29-D44A6E91E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</c:valAx>
      <c:valAx>
        <c:axId val="5400950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  <c:majorUnit val="750"/>
      </c:valAx>
      <c:date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[0]!PagesDate2024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</c:numCache>
            </c:numRef>
          </c:cat>
          <c:val>
            <c:numRef>
              <c:f>[0]!PagesDayTotal2024</c:f>
              <c:numCache>
                <c:formatCode>General</c:formatCode>
                <c:ptCount val="366"/>
                <c:pt idx="0">
                  <c:v>102</c:v>
                </c:pt>
                <c:pt idx="1">
                  <c:v>153</c:v>
                </c:pt>
                <c:pt idx="2">
                  <c:v>139</c:v>
                </c:pt>
                <c:pt idx="3">
                  <c:v>36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27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36</c:v>
                </c:pt>
                <c:pt idx="12">
                  <c:v>0</c:v>
                </c:pt>
                <c:pt idx="13">
                  <c:v>51</c:v>
                </c:pt>
                <c:pt idx="14">
                  <c:v>37</c:v>
                </c:pt>
                <c:pt idx="15">
                  <c:v>41</c:v>
                </c:pt>
                <c:pt idx="16">
                  <c:v>88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114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18</c:v>
                </c:pt>
                <c:pt idx="26">
                  <c:v>0</c:v>
                </c:pt>
                <c:pt idx="27">
                  <c:v>16</c:v>
                </c:pt>
                <c:pt idx="28">
                  <c:v>72</c:v>
                </c:pt>
                <c:pt idx="29">
                  <c:v>78</c:v>
                </c:pt>
                <c:pt idx="30">
                  <c:v>218</c:v>
                </c:pt>
                <c:pt idx="31">
                  <c:v>0</c:v>
                </c:pt>
                <c:pt idx="32">
                  <c:v>0</c:v>
                </c:pt>
                <c:pt idx="33">
                  <c:v>37</c:v>
                </c:pt>
                <c:pt idx="34">
                  <c:v>0</c:v>
                </c:pt>
                <c:pt idx="35">
                  <c:v>207</c:v>
                </c:pt>
                <c:pt idx="36">
                  <c:v>0</c:v>
                </c:pt>
                <c:pt idx="37">
                  <c:v>42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33</c:v>
                </c:pt>
                <c:pt idx="43">
                  <c:v>43</c:v>
                </c:pt>
                <c:pt idx="44">
                  <c:v>65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77</c:v>
                </c:pt>
                <c:pt idx="62">
                  <c:v>0</c:v>
                </c:pt>
                <c:pt idx="63">
                  <c:v>21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56</c:v>
                </c:pt>
                <c:pt idx="84">
                  <c:v>0</c:v>
                </c:pt>
                <c:pt idx="85">
                  <c:v>0</c:v>
                </c:pt>
                <c:pt idx="86">
                  <c:v>49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75</c:v>
                </c:pt>
                <c:pt idx="91">
                  <c:v>43</c:v>
                </c:pt>
                <c:pt idx="92">
                  <c:v>0</c:v>
                </c:pt>
                <c:pt idx="93">
                  <c:v>83</c:v>
                </c:pt>
                <c:pt idx="94">
                  <c:v>0</c:v>
                </c:pt>
                <c:pt idx="95">
                  <c:v>31</c:v>
                </c:pt>
                <c:pt idx="96">
                  <c:v>25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36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112</c:v>
                </c:pt>
                <c:pt idx="113">
                  <c:v>44</c:v>
                </c:pt>
                <c:pt idx="114">
                  <c:v>37</c:v>
                </c:pt>
                <c:pt idx="115">
                  <c:v>104</c:v>
                </c:pt>
                <c:pt idx="116">
                  <c:v>79</c:v>
                </c:pt>
                <c:pt idx="117">
                  <c:v>64</c:v>
                </c:pt>
                <c:pt idx="118">
                  <c:v>64</c:v>
                </c:pt>
                <c:pt idx="119">
                  <c:v>81</c:v>
                </c:pt>
                <c:pt idx="120">
                  <c:v>54</c:v>
                </c:pt>
                <c:pt idx="121">
                  <c:v>39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44</c:v>
                </c:pt>
                <c:pt idx="127">
                  <c:v>24</c:v>
                </c:pt>
                <c:pt idx="128">
                  <c:v>1</c:v>
                </c:pt>
                <c:pt idx="129">
                  <c:v>22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51</c:v>
                </c:pt>
                <c:pt idx="134">
                  <c:v>120</c:v>
                </c:pt>
                <c:pt idx="135">
                  <c:v>85</c:v>
                </c:pt>
                <c:pt idx="136">
                  <c:v>210</c:v>
                </c:pt>
                <c:pt idx="137">
                  <c:v>46</c:v>
                </c:pt>
                <c:pt idx="138">
                  <c:v>83</c:v>
                </c:pt>
                <c:pt idx="139">
                  <c:v>84</c:v>
                </c:pt>
                <c:pt idx="140">
                  <c:v>140</c:v>
                </c:pt>
                <c:pt idx="141">
                  <c:v>98</c:v>
                </c:pt>
                <c:pt idx="142">
                  <c:v>27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75</c:v>
                </c:pt>
                <c:pt idx="150">
                  <c:v>0</c:v>
                </c:pt>
                <c:pt idx="151">
                  <c:v>111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5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37</c:v>
                </c:pt>
                <c:pt idx="218">
                  <c:v>0</c:v>
                </c:pt>
                <c:pt idx="219">
                  <c:v>32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35</c:v>
                </c:pt>
                <c:pt idx="239">
                  <c:v>20</c:v>
                </c:pt>
                <c:pt idx="240">
                  <c:v>59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127</c:v>
                </c:pt>
                <c:pt idx="245">
                  <c:v>22</c:v>
                </c:pt>
                <c:pt idx="246">
                  <c:v>70</c:v>
                </c:pt>
                <c:pt idx="247">
                  <c:v>62</c:v>
                </c:pt>
                <c:pt idx="248">
                  <c:v>7</c:v>
                </c:pt>
                <c:pt idx="249">
                  <c:v>7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61</c:v>
                </c:pt>
                <c:pt idx="258">
                  <c:v>8</c:v>
                </c:pt>
                <c:pt idx="259">
                  <c:v>19</c:v>
                </c:pt>
                <c:pt idx="260">
                  <c:v>52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60</c:v>
                </c:pt>
                <c:pt idx="267">
                  <c:v>10</c:v>
                </c:pt>
                <c:pt idx="268">
                  <c:v>48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74</c:v>
                </c:pt>
                <c:pt idx="276">
                  <c:v>148</c:v>
                </c:pt>
                <c:pt idx="277">
                  <c:v>4</c:v>
                </c:pt>
                <c:pt idx="278">
                  <c:v>24</c:v>
                </c:pt>
                <c:pt idx="279">
                  <c:v>69</c:v>
                </c:pt>
                <c:pt idx="280">
                  <c:v>17</c:v>
                </c:pt>
                <c:pt idx="281">
                  <c:v>27</c:v>
                </c:pt>
                <c:pt idx="282">
                  <c:v>51</c:v>
                </c:pt>
                <c:pt idx="283">
                  <c:v>0</c:v>
                </c:pt>
                <c:pt idx="284">
                  <c:v>37</c:v>
                </c:pt>
                <c:pt idx="285">
                  <c:v>0</c:v>
                </c:pt>
                <c:pt idx="286">
                  <c:v>78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21</c:v>
                </c:pt>
                <c:pt idx="309">
                  <c:v>10</c:v>
                </c:pt>
                <c:pt idx="310">
                  <c:v>42</c:v>
                </c:pt>
                <c:pt idx="311">
                  <c:v>0</c:v>
                </c:pt>
                <c:pt idx="312">
                  <c:v>96</c:v>
                </c:pt>
                <c:pt idx="313">
                  <c:v>93</c:v>
                </c:pt>
                <c:pt idx="314">
                  <c:v>12</c:v>
                </c:pt>
                <c:pt idx="315">
                  <c:v>0</c:v>
                </c:pt>
                <c:pt idx="316">
                  <c:v>0</c:v>
                </c:pt>
                <c:pt idx="317">
                  <c:v>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8-4329-9724-84D37E3A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2"/>
          <c:order val="1"/>
          <c:tx>
            <c:strRef>
              <c:f>Pages!$F$1</c:f>
              <c:strCache>
                <c:ptCount val="1"/>
                <c:pt idx="0">
                  <c:v>Cumulative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[0]!PagesDate2024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</c:numCache>
            </c:numRef>
          </c:cat>
          <c:val>
            <c:numRef>
              <c:f>[0]!PagesCum2024</c:f>
              <c:numCache>
                <c:formatCode>General</c:formatCode>
                <c:ptCount val="366"/>
                <c:pt idx="0">
                  <c:v>102</c:v>
                </c:pt>
                <c:pt idx="1">
                  <c:v>255</c:v>
                </c:pt>
                <c:pt idx="2">
                  <c:v>394</c:v>
                </c:pt>
                <c:pt idx="3">
                  <c:v>430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477</c:v>
                </c:pt>
                <c:pt idx="8">
                  <c:v>496</c:v>
                </c:pt>
                <c:pt idx="9">
                  <c:v>496</c:v>
                </c:pt>
                <c:pt idx="10">
                  <c:v>496</c:v>
                </c:pt>
                <c:pt idx="11">
                  <c:v>532</c:v>
                </c:pt>
                <c:pt idx="12">
                  <c:v>532</c:v>
                </c:pt>
                <c:pt idx="13">
                  <c:v>583</c:v>
                </c:pt>
                <c:pt idx="14">
                  <c:v>620</c:v>
                </c:pt>
                <c:pt idx="15">
                  <c:v>661</c:v>
                </c:pt>
                <c:pt idx="16">
                  <c:v>749</c:v>
                </c:pt>
                <c:pt idx="17">
                  <c:v>803</c:v>
                </c:pt>
                <c:pt idx="18">
                  <c:v>803</c:v>
                </c:pt>
                <c:pt idx="19">
                  <c:v>803</c:v>
                </c:pt>
                <c:pt idx="20">
                  <c:v>917</c:v>
                </c:pt>
                <c:pt idx="21">
                  <c:v>917</c:v>
                </c:pt>
                <c:pt idx="22">
                  <c:v>917</c:v>
                </c:pt>
                <c:pt idx="23">
                  <c:v>917</c:v>
                </c:pt>
                <c:pt idx="24">
                  <c:v>917</c:v>
                </c:pt>
                <c:pt idx="25">
                  <c:v>935</c:v>
                </c:pt>
                <c:pt idx="26">
                  <c:v>935</c:v>
                </c:pt>
                <c:pt idx="27">
                  <c:v>951</c:v>
                </c:pt>
                <c:pt idx="28">
                  <c:v>1023</c:v>
                </c:pt>
                <c:pt idx="29">
                  <c:v>1101</c:v>
                </c:pt>
                <c:pt idx="30">
                  <c:v>1319</c:v>
                </c:pt>
                <c:pt idx="31">
                  <c:v>1319</c:v>
                </c:pt>
                <c:pt idx="32">
                  <c:v>1319</c:v>
                </c:pt>
                <c:pt idx="33">
                  <c:v>1356</c:v>
                </c:pt>
                <c:pt idx="34">
                  <c:v>1356</c:v>
                </c:pt>
                <c:pt idx="35">
                  <c:v>1563</c:v>
                </c:pt>
                <c:pt idx="36">
                  <c:v>1563</c:v>
                </c:pt>
                <c:pt idx="37">
                  <c:v>1605</c:v>
                </c:pt>
                <c:pt idx="38">
                  <c:v>1605</c:v>
                </c:pt>
                <c:pt idx="39">
                  <c:v>1605</c:v>
                </c:pt>
                <c:pt idx="40">
                  <c:v>1605</c:v>
                </c:pt>
                <c:pt idx="41">
                  <c:v>1605</c:v>
                </c:pt>
                <c:pt idx="42">
                  <c:v>1638</c:v>
                </c:pt>
                <c:pt idx="43">
                  <c:v>1681</c:v>
                </c:pt>
                <c:pt idx="44">
                  <c:v>1746</c:v>
                </c:pt>
                <c:pt idx="45">
                  <c:v>1746</c:v>
                </c:pt>
                <c:pt idx="46">
                  <c:v>1746</c:v>
                </c:pt>
                <c:pt idx="47">
                  <c:v>1746</c:v>
                </c:pt>
                <c:pt idx="48">
                  <c:v>1746</c:v>
                </c:pt>
                <c:pt idx="49">
                  <c:v>1746</c:v>
                </c:pt>
                <c:pt idx="50">
                  <c:v>1746</c:v>
                </c:pt>
                <c:pt idx="51">
                  <c:v>1746</c:v>
                </c:pt>
                <c:pt idx="52">
                  <c:v>1746</c:v>
                </c:pt>
                <c:pt idx="53">
                  <c:v>1746</c:v>
                </c:pt>
                <c:pt idx="54">
                  <c:v>1746</c:v>
                </c:pt>
                <c:pt idx="55">
                  <c:v>1746</c:v>
                </c:pt>
                <c:pt idx="56">
                  <c:v>1746</c:v>
                </c:pt>
                <c:pt idx="57">
                  <c:v>1746</c:v>
                </c:pt>
                <c:pt idx="58">
                  <c:v>1746</c:v>
                </c:pt>
                <c:pt idx="59">
                  <c:v>1746</c:v>
                </c:pt>
                <c:pt idx="60">
                  <c:v>1746</c:v>
                </c:pt>
                <c:pt idx="61">
                  <c:v>1823</c:v>
                </c:pt>
                <c:pt idx="62">
                  <c:v>1823</c:v>
                </c:pt>
                <c:pt idx="63">
                  <c:v>1844</c:v>
                </c:pt>
                <c:pt idx="64">
                  <c:v>1844</c:v>
                </c:pt>
                <c:pt idx="65">
                  <c:v>1844</c:v>
                </c:pt>
                <c:pt idx="66">
                  <c:v>1844</c:v>
                </c:pt>
                <c:pt idx="67">
                  <c:v>1844</c:v>
                </c:pt>
                <c:pt idx="68">
                  <c:v>1844</c:v>
                </c:pt>
                <c:pt idx="69">
                  <c:v>1844</c:v>
                </c:pt>
                <c:pt idx="70">
                  <c:v>1844</c:v>
                </c:pt>
                <c:pt idx="71">
                  <c:v>1844</c:v>
                </c:pt>
                <c:pt idx="72">
                  <c:v>1844</c:v>
                </c:pt>
                <c:pt idx="73">
                  <c:v>1844</c:v>
                </c:pt>
                <c:pt idx="74">
                  <c:v>1844</c:v>
                </c:pt>
                <c:pt idx="75">
                  <c:v>1844</c:v>
                </c:pt>
                <c:pt idx="76">
                  <c:v>1844</c:v>
                </c:pt>
                <c:pt idx="77">
                  <c:v>1844</c:v>
                </c:pt>
                <c:pt idx="78">
                  <c:v>1844</c:v>
                </c:pt>
                <c:pt idx="79">
                  <c:v>1844</c:v>
                </c:pt>
                <c:pt idx="80">
                  <c:v>1844</c:v>
                </c:pt>
                <c:pt idx="81">
                  <c:v>1844</c:v>
                </c:pt>
                <c:pt idx="82">
                  <c:v>1844</c:v>
                </c:pt>
                <c:pt idx="83">
                  <c:v>1900</c:v>
                </c:pt>
                <c:pt idx="84">
                  <c:v>1900</c:v>
                </c:pt>
                <c:pt idx="85">
                  <c:v>1900</c:v>
                </c:pt>
                <c:pt idx="86">
                  <c:v>1949</c:v>
                </c:pt>
                <c:pt idx="87">
                  <c:v>1949</c:v>
                </c:pt>
                <c:pt idx="88">
                  <c:v>1949</c:v>
                </c:pt>
                <c:pt idx="89">
                  <c:v>1949</c:v>
                </c:pt>
                <c:pt idx="90">
                  <c:v>2024</c:v>
                </c:pt>
                <c:pt idx="91">
                  <c:v>2067</c:v>
                </c:pt>
                <c:pt idx="92">
                  <c:v>2067</c:v>
                </c:pt>
                <c:pt idx="93">
                  <c:v>2150</c:v>
                </c:pt>
                <c:pt idx="94">
                  <c:v>2150</c:v>
                </c:pt>
                <c:pt idx="95">
                  <c:v>2181</c:v>
                </c:pt>
                <c:pt idx="96">
                  <c:v>2206</c:v>
                </c:pt>
                <c:pt idx="97">
                  <c:v>2206</c:v>
                </c:pt>
                <c:pt idx="98">
                  <c:v>2206</c:v>
                </c:pt>
                <c:pt idx="99">
                  <c:v>2206</c:v>
                </c:pt>
                <c:pt idx="100">
                  <c:v>2238</c:v>
                </c:pt>
                <c:pt idx="101">
                  <c:v>2238</c:v>
                </c:pt>
                <c:pt idx="102">
                  <c:v>2238</c:v>
                </c:pt>
                <c:pt idx="103">
                  <c:v>2238</c:v>
                </c:pt>
                <c:pt idx="104">
                  <c:v>2238</c:v>
                </c:pt>
                <c:pt idx="105">
                  <c:v>2238</c:v>
                </c:pt>
                <c:pt idx="106">
                  <c:v>2238</c:v>
                </c:pt>
                <c:pt idx="107">
                  <c:v>2238</c:v>
                </c:pt>
                <c:pt idx="108">
                  <c:v>2274</c:v>
                </c:pt>
                <c:pt idx="109">
                  <c:v>2274</c:v>
                </c:pt>
                <c:pt idx="110">
                  <c:v>2274</c:v>
                </c:pt>
                <c:pt idx="111">
                  <c:v>2274</c:v>
                </c:pt>
                <c:pt idx="112">
                  <c:v>2386</c:v>
                </c:pt>
                <c:pt idx="113">
                  <c:v>2430</c:v>
                </c:pt>
                <c:pt idx="114">
                  <c:v>2467</c:v>
                </c:pt>
                <c:pt idx="115">
                  <c:v>2571</c:v>
                </c:pt>
                <c:pt idx="116">
                  <c:v>2650</c:v>
                </c:pt>
                <c:pt idx="117">
                  <c:v>2714</c:v>
                </c:pt>
                <c:pt idx="118">
                  <c:v>2778</c:v>
                </c:pt>
                <c:pt idx="119">
                  <c:v>2859</c:v>
                </c:pt>
                <c:pt idx="120">
                  <c:v>2913</c:v>
                </c:pt>
                <c:pt idx="121">
                  <c:v>2952</c:v>
                </c:pt>
                <c:pt idx="122">
                  <c:v>2952</c:v>
                </c:pt>
                <c:pt idx="123">
                  <c:v>2952</c:v>
                </c:pt>
                <c:pt idx="124">
                  <c:v>2952</c:v>
                </c:pt>
                <c:pt idx="125">
                  <c:v>2952</c:v>
                </c:pt>
                <c:pt idx="126">
                  <c:v>2996</c:v>
                </c:pt>
                <c:pt idx="127">
                  <c:v>3020</c:v>
                </c:pt>
                <c:pt idx="128">
                  <c:v>3021</c:v>
                </c:pt>
                <c:pt idx="129">
                  <c:v>3043</c:v>
                </c:pt>
                <c:pt idx="130">
                  <c:v>3043</c:v>
                </c:pt>
                <c:pt idx="131">
                  <c:v>3053</c:v>
                </c:pt>
                <c:pt idx="132">
                  <c:v>3053</c:v>
                </c:pt>
                <c:pt idx="133">
                  <c:v>3104</c:v>
                </c:pt>
                <c:pt idx="134">
                  <c:v>3224</c:v>
                </c:pt>
                <c:pt idx="135">
                  <c:v>3309</c:v>
                </c:pt>
                <c:pt idx="136">
                  <c:v>3519</c:v>
                </c:pt>
                <c:pt idx="137">
                  <c:v>3565</c:v>
                </c:pt>
                <c:pt idx="138">
                  <c:v>3648</c:v>
                </c:pt>
                <c:pt idx="139">
                  <c:v>3732</c:v>
                </c:pt>
                <c:pt idx="140">
                  <c:v>3872</c:v>
                </c:pt>
                <c:pt idx="141">
                  <c:v>3970</c:v>
                </c:pt>
                <c:pt idx="142">
                  <c:v>3997</c:v>
                </c:pt>
                <c:pt idx="143">
                  <c:v>3997</c:v>
                </c:pt>
                <c:pt idx="144">
                  <c:v>3998</c:v>
                </c:pt>
                <c:pt idx="145">
                  <c:v>3998</c:v>
                </c:pt>
                <c:pt idx="146">
                  <c:v>3998</c:v>
                </c:pt>
                <c:pt idx="147">
                  <c:v>3998</c:v>
                </c:pt>
                <c:pt idx="148">
                  <c:v>4001</c:v>
                </c:pt>
                <c:pt idx="149">
                  <c:v>4076</c:v>
                </c:pt>
                <c:pt idx="150">
                  <c:v>4076</c:v>
                </c:pt>
                <c:pt idx="151">
                  <c:v>4187</c:v>
                </c:pt>
                <c:pt idx="152">
                  <c:v>4187</c:v>
                </c:pt>
                <c:pt idx="153">
                  <c:v>4187</c:v>
                </c:pt>
                <c:pt idx="154">
                  <c:v>4187</c:v>
                </c:pt>
                <c:pt idx="155">
                  <c:v>4187</c:v>
                </c:pt>
                <c:pt idx="156">
                  <c:v>4188</c:v>
                </c:pt>
                <c:pt idx="157">
                  <c:v>4188</c:v>
                </c:pt>
                <c:pt idx="158">
                  <c:v>4188</c:v>
                </c:pt>
                <c:pt idx="159">
                  <c:v>4188</c:v>
                </c:pt>
                <c:pt idx="160">
                  <c:v>4188</c:v>
                </c:pt>
                <c:pt idx="161">
                  <c:v>4188</c:v>
                </c:pt>
                <c:pt idx="162">
                  <c:v>4188</c:v>
                </c:pt>
                <c:pt idx="163">
                  <c:v>4188</c:v>
                </c:pt>
                <c:pt idx="164">
                  <c:v>4188</c:v>
                </c:pt>
                <c:pt idx="165">
                  <c:v>4188</c:v>
                </c:pt>
                <c:pt idx="166">
                  <c:v>4188</c:v>
                </c:pt>
                <c:pt idx="167">
                  <c:v>4188</c:v>
                </c:pt>
                <c:pt idx="168">
                  <c:v>4189</c:v>
                </c:pt>
                <c:pt idx="169">
                  <c:v>4190</c:v>
                </c:pt>
                <c:pt idx="170">
                  <c:v>4190</c:v>
                </c:pt>
                <c:pt idx="171">
                  <c:v>4190</c:v>
                </c:pt>
                <c:pt idx="172">
                  <c:v>4190</c:v>
                </c:pt>
                <c:pt idx="173">
                  <c:v>4190</c:v>
                </c:pt>
                <c:pt idx="174">
                  <c:v>4190</c:v>
                </c:pt>
                <c:pt idx="175">
                  <c:v>4191</c:v>
                </c:pt>
                <c:pt idx="176">
                  <c:v>4192</c:v>
                </c:pt>
                <c:pt idx="177">
                  <c:v>4192</c:v>
                </c:pt>
                <c:pt idx="178">
                  <c:v>4192</c:v>
                </c:pt>
                <c:pt idx="179">
                  <c:v>4192</c:v>
                </c:pt>
                <c:pt idx="180">
                  <c:v>4192</c:v>
                </c:pt>
                <c:pt idx="181">
                  <c:v>4192</c:v>
                </c:pt>
                <c:pt idx="182">
                  <c:v>4192</c:v>
                </c:pt>
                <c:pt idx="183">
                  <c:v>4192</c:v>
                </c:pt>
                <c:pt idx="184">
                  <c:v>4192</c:v>
                </c:pt>
                <c:pt idx="185">
                  <c:v>4192</c:v>
                </c:pt>
                <c:pt idx="186">
                  <c:v>4192</c:v>
                </c:pt>
                <c:pt idx="187">
                  <c:v>4192</c:v>
                </c:pt>
                <c:pt idx="188">
                  <c:v>4192</c:v>
                </c:pt>
                <c:pt idx="189">
                  <c:v>4192</c:v>
                </c:pt>
                <c:pt idx="190">
                  <c:v>4196</c:v>
                </c:pt>
                <c:pt idx="191">
                  <c:v>4196</c:v>
                </c:pt>
                <c:pt idx="192">
                  <c:v>4196</c:v>
                </c:pt>
                <c:pt idx="193">
                  <c:v>4196</c:v>
                </c:pt>
                <c:pt idx="194">
                  <c:v>4196</c:v>
                </c:pt>
                <c:pt idx="195">
                  <c:v>4196</c:v>
                </c:pt>
                <c:pt idx="196">
                  <c:v>4196</c:v>
                </c:pt>
                <c:pt idx="197">
                  <c:v>4196</c:v>
                </c:pt>
                <c:pt idx="198">
                  <c:v>4196</c:v>
                </c:pt>
                <c:pt idx="199">
                  <c:v>4196</c:v>
                </c:pt>
                <c:pt idx="200">
                  <c:v>4196</c:v>
                </c:pt>
                <c:pt idx="201">
                  <c:v>4196</c:v>
                </c:pt>
                <c:pt idx="202">
                  <c:v>4196</c:v>
                </c:pt>
                <c:pt idx="203">
                  <c:v>4196</c:v>
                </c:pt>
                <c:pt idx="204">
                  <c:v>4200</c:v>
                </c:pt>
                <c:pt idx="205">
                  <c:v>4200</c:v>
                </c:pt>
                <c:pt idx="206">
                  <c:v>4200</c:v>
                </c:pt>
                <c:pt idx="207">
                  <c:v>4200</c:v>
                </c:pt>
                <c:pt idx="208">
                  <c:v>4200</c:v>
                </c:pt>
                <c:pt idx="209">
                  <c:v>4200</c:v>
                </c:pt>
                <c:pt idx="210">
                  <c:v>4205</c:v>
                </c:pt>
                <c:pt idx="211">
                  <c:v>4206</c:v>
                </c:pt>
                <c:pt idx="212">
                  <c:v>4206</c:v>
                </c:pt>
                <c:pt idx="213">
                  <c:v>4206</c:v>
                </c:pt>
                <c:pt idx="214">
                  <c:v>4206</c:v>
                </c:pt>
                <c:pt idx="215">
                  <c:v>4206</c:v>
                </c:pt>
                <c:pt idx="216">
                  <c:v>4206</c:v>
                </c:pt>
                <c:pt idx="217">
                  <c:v>4243</c:v>
                </c:pt>
                <c:pt idx="218">
                  <c:v>4243</c:v>
                </c:pt>
                <c:pt idx="219">
                  <c:v>4275</c:v>
                </c:pt>
                <c:pt idx="220">
                  <c:v>4275</c:v>
                </c:pt>
                <c:pt idx="221">
                  <c:v>4275</c:v>
                </c:pt>
                <c:pt idx="222">
                  <c:v>4275</c:v>
                </c:pt>
                <c:pt idx="223">
                  <c:v>4275</c:v>
                </c:pt>
                <c:pt idx="224">
                  <c:v>4321</c:v>
                </c:pt>
                <c:pt idx="225">
                  <c:v>4321</c:v>
                </c:pt>
                <c:pt idx="226">
                  <c:v>4321</c:v>
                </c:pt>
                <c:pt idx="227">
                  <c:v>4321</c:v>
                </c:pt>
                <c:pt idx="228">
                  <c:v>4321</c:v>
                </c:pt>
                <c:pt idx="229">
                  <c:v>4321</c:v>
                </c:pt>
                <c:pt idx="230">
                  <c:v>4321</c:v>
                </c:pt>
                <c:pt idx="231">
                  <c:v>4321</c:v>
                </c:pt>
                <c:pt idx="232">
                  <c:v>4321</c:v>
                </c:pt>
                <c:pt idx="233">
                  <c:v>4321</c:v>
                </c:pt>
                <c:pt idx="234">
                  <c:v>4321</c:v>
                </c:pt>
                <c:pt idx="235">
                  <c:v>4321</c:v>
                </c:pt>
                <c:pt idx="236">
                  <c:v>4321</c:v>
                </c:pt>
                <c:pt idx="237">
                  <c:v>4321</c:v>
                </c:pt>
                <c:pt idx="238">
                  <c:v>4356</c:v>
                </c:pt>
                <c:pt idx="239">
                  <c:v>4376</c:v>
                </c:pt>
                <c:pt idx="240">
                  <c:v>4435</c:v>
                </c:pt>
                <c:pt idx="241">
                  <c:v>4435</c:v>
                </c:pt>
                <c:pt idx="242">
                  <c:v>4435</c:v>
                </c:pt>
                <c:pt idx="243">
                  <c:v>4435</c:v>
                </c:pt>
                <c:pt idx="244">
                  <c:v>4562</c:v>
                </c:pt>
                <c:pt idx="245">
                  <c:v>4584</c:v>
                </c:pt>
                <c:pt idx="246">
                  <c:v>4654</c:v>
                </c:pt>
                <c:pt idx="247">
                  <c:v>4716</c:v>
                </c:pt>
                <c:pt idx="248">
                  <c:v>4723</c:v>
                </c:pt>
                <c:pt idx="249">
                  <c:v>4730</c:v>
                </c:pt>
                <c:pt idx="250">
                  <c:v>4731</c:v>
                </c:pt>
                <c:pt idx="251">
                  <c:v>4731</c:v>
                </c:pt>
                <c:pt idx="252">
                  <c:v>4731</c:v>
                </c:pt>
                <c:pt idx="253">
                  <c:v>4731</c:v>
                </c:pt>
                <c:pt idx="254">
                  <c:v>4731</c:v>
                </c:pt>
                <c:pt idx="255">
                  <c:v>4731</c:v>
                </c:pt>
                <c:pt idx="256">
                  <c:v>4731</c:v>
                </c:pt>
                <c:pt idx="257">
                  <c:v>4792</c:v>
                </c:pt>
                <c:pt idx="258">
                  <c:v>4800</c:v>
                </c:pt>
                <c:pt idx="259">
                  <c:v>4819</c:v>
                </c:pt>
                <c:pt idx="260">
                  <c:v>4871</c:v>
                </c:pt>
                <c:pt idx="261">
                  <c:v>4871</c:v>
                </c:pt>
                <c:pt idx="262">
                  <c:v>4871</c:v>
                </c:pt>
                <c:pt idx="263">
                  <c:v>4871</c:v>
                </c:pt>
                <c:pt idx="264">
                  <c:v>4871</c:v>
                </c:pt>
                <c:pt idx="265">
                  <c:v>4871</c:v>
                </c:pt>
                <c:pt idx="266">
                  <c:v>4931</c:v>
                </c:pt>
                <c:pt idx="267">
                  <c:v>4941</c:v>
                </c:pt>
                <c:pt idx="268">
                  <c:v>4989</c:v>
                </c:pt>
                <c:pt idx="269">
                  <c:v>4989</c:v>
                </c:pt>
                <c:pt idx="270">
                  <c:v>4989</c:v>
                </c:pt>
                <c:pt idx="271">
                  <c:v>4989</c:v>
                </c:pt>
                <c:pt idx="272">
                  <c:v>4989</c:v>
                </c:pt>
                <c:pt idx="273">
                  <c:v>4989</c:v>
                </c:pt>
                <c:pt idx="274">
                  <c:v>4989</c:v>
                </c:pt>
                <c:pt idx="275">
                  <c:v>5063</c:v>
                </c:pt>
                <c:pt idx="276">
                  <c:v>5211</c:v>
                </c:pt>
                <c:pt idx="277">
                  <c:v>5215</c:v>
                </c:pt>
                <c:pt idx="278">
                  <c:v>5239</c:v>
                </c:pt>
                <c:pt idx="279">
                  <c:v>5308</c:v>
                </c:pt>
                <c:pt idx="280">
                  <c:v>5325</c:v>
                </c:pt>
                <c:pt idx="281">
                  <c:v>5352</c:v>
                </c:pt>
                <c:pt idx="282">
                  <c:v>5403</c:v>
                </c:pt>
                <c:pt idx="283">
                  <c:v>5403</c:v>
                </c:pt>
                <c:pt idx="284">
                  <c:v>5440</c:v>
                </c:pt>
                <c:pt idx="285">
                  <c:v>5440</c:v>
                </c:pt>
                <c:pt idx="286">
                  <c:v>5518</c:v>
                </c:pt>
                <c:pt idx="287">
                  <c:v>5519</c:v>
                </c:pt>
                <c:pt idx="288">
                  <c:v>5519</c:v>
                </c:pt>
                <c:pt idx="289">
                  <c:v>5519</c:v>
                </c:pt>
                <c:pt idx="290">
                  <c:v>5519</c:v>
                </c:pt>
                <c:pt idx="291">
                  <c:v>5519</c:v>
                </c:pt>
                <c:pt idx="292">
                  <c:v>5519</c:v>
                </c:pt>
                <c:pt idx="293">
                  <c:v>5519</c:v>
                </c:pt>
                <c:pt idx="294">
                  <c:v>5519</c:v>
                </c:pt>
                <c:pt idx="295">
                  <c:v>5519</c:v>
                </c:pt>
                <c:pt idx="296">
                  <c:v>5519</c:v>
                </c:pt>
                <c:pt idx="297">
                  <c:v>5519</c:v>
                </c:pt>
                <c:pt idx="298">
                  <c:v>5519</c:v>
                </c:pt>
                <c:pt idx="299">
                  <c:v>5519</c:v>
                </c:pt>
                <c:pt idx="300">
                  <c:v>5519</c:v>
                </c:pt>
                <c:pt idx="301">
                  <c:v>5519</c:v>
                </c:pt>
                <c:pt idx="302">
                  <c:v>5519</c:v>
                </c:pt>
                <c:pt idx="303">
                  <c:v>5519</c:v>
                </c:pt>
                <c:pt idx="304">
                  <c:v>5519</c:v>
                </c:pt>
                <c:pt idx="305">
                  <c:v>5519</c:v>
                </c:pt>
                <c:pt idx="306">
                  <c:v>5519</c:v>
                </c:pt>
                <c:pt idx="307">
                  <c:v>5519</c:v>
                </c:pt>
                <c:pt idx="308">
                  <c:v>5540</c:v>
                </c:pt>
                <c:pt idx="309">
                  <c:v>5550</c:v>
                </c:pt>
                <c:pt idx="310">
                  <c:v>5592</c:v>
                </c:pt>
                <c:pt idx="311">
                  <c:v>5592</c:v>
                </c:pt>
                <c:pt idx="312">
                  <c:v>5688</c:v>
                </c:pt>
                <c:pt idx="313">
                  <c:v>5781</c:v>
                </c:pt>
                <c:pt idx="314">
                  <c:v>5793</c:v>
                </c:pt>
                <c:pt idx="315">
                  <c:v>5793</c:v>
                </c:pt>
                <c:pt idx="316">
                  <c:v>5793</c:v>
                </c:pt>
                <c:pt idx="317">
                  <c:v>5800</c:v>
                </c:pt>
                <c:pt idx="318">
                  <c:v>5800</c:v>
                </c:pt>
                <c:pt idx="319">
                  <c:v>5800</c:v>
                </c:pt>
                <c:pt idx="320">
                  <c:v>5800</c:v>
                </c:pt>
                <c:pt idx="321">
                  <c:v>5800</c:v>
                </c:pt>
                <c:pt idx="322">
                  <c:v>5800</c:v>
                </c:pt>
                <c:pt idx="323">
                  <c:v>5800</c:v>
                </c:pt>
                <c:pt idx="324">
                  <c:v>5800</c:v>
                </c:pt>
                <c:pt idx="325">
                  <c:v>5800</c:v>
                </c:pt>
                <c:pt idx="326">
                  <c:v>5800</c:v>
                </c:pt>
                <c:pt idx="327">
                  <c:v>5800</c:v>
                </c:pt>
                <c:pt idx="328">
                  <c:v>5800</c:v>
                </c:pt>
                <c:pt idx="329">
                  <c:v>5800</c:v>
                </c:pt>
                <c:pt idx="330">
                  <c:v>5800</c:v>
                </c:pt>
                <c:pt idx="331">
                  <c:v>5800</c:v>
                </c:pt>
                <c:pt idx="332">
                  <c:v>5800</c:v>
                </c:pt>
                <c:pt idx="333">
                  <c:v>5800</c:v>
                </c:pt>
                <c:pt idx="334">
                  <c:v>5800</c:v>
                </c:pt>
                <c:pt idx="335">
                  <c:v>5800</c:v>
                </c:pt>
                <c:pt idx="336">
                  <c:v>5800</c:v>
                </c:pt>
                <c:pt idx="337">
                  <c:v>5800</c:v>
                </c:pt>
                <c:pt idx="338">
                  <c:v>5800</c:v>
                </c:pt>
                <c:pt idx="339">
                  <c:v>5800</c:v>
                </c:pt>
                <c:pt idx="340">
                  <c:v>5800</c:v>
                </c:pt>
                <c:pt idx="341">
                  <c:v>5800</c:v>
                </c:pt>
                <c:pt idx="342">
                  <c:v>5800</c:v>
                </c:pt>
                <c:pt idx="343">
                  <c:v>5800</c:v>
                </c:pt>
                <c:pt idx="344">
                  <c:v>5800</c:v>
                </c:pt>
                <c:pt idx="345">
                  <c:v>5800</c:v>
                </c:pt>
                <c:pt idx="346">
                  <c:v>5800</c:v>
                </c:pt>
                <c:pt idx="347">
                  <c:v>5800</c:v>
                </c:pt>
                <c:pt idx="348">
                  <c:v>5800</c:v>
                </c:pt>
                <c:pt idx="349">
                  <c:v>5800</c:v>
                </c:pt>
                <c:pt idx="350">
                  <c:v>5800</c:v>
                </c:pt>
                <c:pt idx="351">
                  <c:v>5800</c:v>
                </c:pt>
                <c:pt idx="352">
                  <c:v>5800</c:v>
                </c:pt>
                <c:pt idx="353">
                  <c:v>5800</c:v>
                </c:pt>
                <c:pt idx="354">
                  <c:v>5800</c:v>
                </c:pt>
                <c:pt idx="355">
                  <c:v>5800</c:v>
                </c:pt>
                <c:pt idx="356">
                  <c:v>5800</c:v>
                </c:pt>
                <c:pt idx="357">
                  <c:v>5800</c:v>
                </c:pt>
                <c:pt idx="358">
                  <c:v>5800</c:v>
                </c:pt>
                <c:pt idx="359">
                  <c:v>5831</c:v>
                </c:pt>
                <c:pt idx="360">
                  <c:v>5831</c:v>
                </c:pt>
                <c:pt idx="361">
                  <c:v>5831</c:v>
                </c:pt>
                <c:pt idx="362">
                  <c:v>5831</c:v>
                </c:pt>
                <c:pt idx="363">
                  <c:v>5831</c:v>
                </c:pt>
                <c:pt idx="364">
                  <c:v>5831</c:v>
                </c:pt>
                <c:pt idx="365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8-4329-9724-84D37E3A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</c:valAx>
      <c:valAx>
        <c:axId val="540095055"/>
        <c:scaling>
          <c:orientation val="minMax"/>
          <c:max val="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  <c:majorUnit val="1200"/>
      </c:valAx>
      <c:date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[0]!PagesDate2025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[0]!PagesDayTotal2025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23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</c:v>
                </c:pt>
                <c:pt idx="23">
                  <c:v>15</c:v>
                </c:pt>
                <c:pt idx="24">
                  <c:v>0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33</c:v>
                </c:pt>
                <c:pt idx="38">
                  <c:v>88</c:v>
                </c:pt>
                <c:pt idx="39">
                  <c:v>0</c:v>
                </c:pt>
                <c:pt idx="40">
                  <c:v>38</c:v>
                </c:pt>
                <c:pt idx="41">
                  <c:v>0</c:v>
                </c:pt>
                <c:pt idx="42">
                  <c:v>34</c:v>
                </c:pt>
                <c:pt idx="43">
                  <c:v>0</c:v>
                </c:pt>
                <c:pt idx="44">
                  <c:v>0</c:v>
                </c:pt>
                <c:pt idx="45">
                  <c:v>129</c:v>
                </c:pt>
                <c:pt idx="46">
                  <c:v>0</c:v>
                </c:pt>
                <c:pt idx="47">
                  <c:v>0</c:v>
                </c:pt>
                <c:pt idx="48">
                  <c:v>19</c:v>
                </c:pt>
                <c:pt idx="49">
                  <c:v>25</c:v>
                </c:pt>
                <c:pt idx="50">
                  <c:v>23</c:v>
                </c:pt>
                <c:pt idx="51">
                  <c:v>0</c:v>
                </c:pt>
                <c:pt idx="52">
                  <c:v>72</c:v>
                </c:pt>
                <c:pt idx="53">
                  <c:v>46</c:v>
                </c:pt>
                <c:pt idx="54">
                  <c:v>12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107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37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43</c:v>
                </c:pt>
                <c:pt idx="233">
                  <c:v>0</c:v>
                </c:pt>
                <c:pt idx="234">
                  <c:v>25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43</c:v>
                </c:pt>
                <c:pt idx="240">
                  <c:v>0</c:v>
                </c:pt>
                <c:pt idx="241">
                  <c:v>30</c:v>
                </c:pt>
                <c:pt idx="242">
                  <c:v>125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65</c:v>
                </c:pt>
                <c:pt idx="266">
                  <c:v>86</c:v>
                </c:pt>
                <c:pt idx="267">
                  <c:v>37</c:v>
                </c:pt>
                <c:pt idx="268">
                  <c:v>21</c:v>
                </c:pt>
                <c:pt idx="269">
                  <c:v>0</c:v>
                </c:pt>
                <c:pt idx="270">
                  <c:v>0</c:v>
                </c:pt>
                <c:pt idx="271">
                  <c:v>34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E-433A-B203-ECA7D044F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2"/>
          <c:order val="1"/>
          <c:tx>
            <c:strRef>
              <c:f>Pages!$H$1</c:f>
              <c:strCache>
                <c:ptCount val="1"/>
                <c:pt idx="0">
                  <c:v>Cumulative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[0]!PagesDate2025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[0]!PagesCum2025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53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107</c:v>
                </c:pt>
                <c:pt idx="23">
                  <c:v>122</c:v>
                </c:pt>
                <c:pt idx="24">
                  <c:v>122</c:v>
                </c:pt>
                <c:pt idx="25">
                  <c:v>156</c:v>
                </c:pt>
                <c:pt idx="26">
                  <c:v>156</c:v>
                </c:pt>
                <c:pt idx="27">
                  <c:v>156</c:v>
                </c:pt>
                <c:pt idx="28">
                  <c:v>156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156</c:v>
                </c:pt>
                <c:pt idx="33">
                  <c:v>156</c:v>
                </c:pt>
                <c:pt idx="34">
                  <c:v>156</c:v>
                </c:pt>
                <c:pt idx="35">
                  <c:v>156</c:v>
                </c:pt>
                <c:pt idx="36">
                  <c:v>156</c:v>
                </c:pt>
                <c:pt idx="37">
                  <c:v>189</c:v>
                </c:pt>
                <c:pt idx="38">
                  <c:v>277</c:v>
                </c:pt>
                <c:pt idx="39">
                  <c:v>277</c:v>
                </c:pt>
                <c:pt idx="40">
                  <c:v>315</c:v>
                </c:pt>
                <c:pt idx="41">
                  <c:v>315</c:v>
                </c:pt>
                <c:pt idx="42">
                  <c:v>349</c:v>
                </c:pt>
                <c:pt idx="43">
                  <c:v>349</c:v>
                </c:pt>
                <c:pt idx="44">
                  <c:v>349</c:v>
                </c:pt>
                <c:pt idx="45">
                  <c:v>478</c:v>
                </c:pt>
                <c:pt idx="46">
                  <c:v>478</c:v>
                </c:pt>
                <c:pt idx="47">
                  <c:v>478</c:v>
                </c:pt>
                <c:pt idx="48">
                  <c:v>497</c:v>
                </c:pt>
                <c:pt idx="49">
                  <c:v>522</c:v>
                </c:pt>
                <c:pt idx="50">
                  <c:v>545</c:v>
                </c:pt>
                <c:pt idx="51">
                  <c:v>545</c:v>
                </c:pt>
                <c:pt idx="52">
                  <c:v>617</c:v>
                </c:pt>
                <c:pt idx="53">
                  <c:v>663</c:v>
                </c:pt>
                <c:pt idx="54">
                  <c:v>675</c:v>
                </c:pt>
                <c:pt idx="55">
                  <c:v>675</c:v>
                </c:pt>
                <c:pt idx="56">
                  <c:v>675</c:v>
                </c:pt>
                <c:pt idx="57">
                  <c:v>675</c:v>
                </c:pt>
                <c:pt idx="58">
                  <c:v>675</c:v>
                </c:pt>
                <c:pt idx="59">
                  <c:v>675</c:v>
                </c:pt>
                <c:pt idx="60">
                  <c:v>782</c:v>
                </c:pt>
                <c:pt idx="61">
                  <c:v>782</c:v>
                </c:pt>
                <c:pt idx="62">
                  <c:v>782</c:v>
                </c:pt>
                <c:pt idx="63">
                  <c:v>782</c:v>
                </c:pt>
                <c:pt idx="64">
                  <c:v>782</c:v>
                </c:pt>
                <c:pt idx="65">
                  <c:v>782</c:v>
                </c:pt>
                <c:pt idx="66">
                  <c:v>782</c:v>
                </c:pt>
                <c:pt idx="67">
                  <c:v>782</c:v>
                </c:pt>
                <c:pt idx="68">
                  <c:v>782</c:v>
                </c:pt>
                <c:pt idx="69">
                  <c:v>782</c:v>
                </c:pt>
                <c:pt idx="70">
                  <c:v>782</c:v>
                </c:pt>
                <c:pt idx="71">
                  <c:v>782</c:v>
                </c:pt>
                <c:pt idx="72">
                  <c:v>782</c:v>
                </c:pt>
                <c:pt idx="73">
                  <c:v>782</c:v>
                </c:pt>
                <c:pt idx="74">
                  <c:v>782</c:v>
                </c:pt>
                <c:pt idx="75">
                  <c:v>782</c:v>
                </c:pt>
                <c:pt idx="76">
                  <c:v>782</c:v>
                </c:pt>
                <c:pt idx="77">
                  <c:v>782</c:v>
                </c:pt>
                <c:pt idx="78">
                  <c:v>782</c:v>
                </c:pt>
                <c:pt idx="79">
                  <c:v>782</c:v>
                </c:pt>
                <c:pt idx="80">
                  <c:v>782</c:v>
                </c:pt>
                <c:pt idx="81">
                  <c:v>782</c:v>
                </c:pt>
                <c:pt idx="82">
                  <c:v>782</c:v>
                </c:pt>
                <c:pt idx="83">
                  <c:v>782</c:v>
                </c:pt>
                <c:pt idx="84">
                  <c:v>782</c:v>
                </c:pt>
                <c:pt idx="85">
                  <c:v>782</c:v>
                </c:pt>
                <c:pt idx="86">
                  <c:v>782</c:v>
                </c:pt>
                <c:pt idx="87">
                  <c:v>782</c:v>
                </c:pt>
                <c:pt idx="88">
                  <c:v>782</c:v>
                </c:pt>
                <c:pt idx="89">
                  <c:v>782</c:v>
                </c:pt>
                <c:pt idx="90">
                  <c:v>782</c:v>
                </c:pt>
                <c:pt idx="91">
                  <c:v>782</c:v>
                </c:pt>
                <c:pt idx="92">
                  <c:v>782</c:v>
                </c:pt>
                <c:pt idx="93">
                  <c:v>782</c:v>
                </c:pt>
                <c:pt idx="94">
                  <c:v>782</c:v>
                </c:pt>
                <c:pt idx="95">
                  <c:v>782</c:v>
                </c:pt>
                <c:pt idx="96">
                  <c:v>782</c:v>
                </c:pt>
                <c:pt idx="97">
                  <c:v>782</c:v>
                </c:pt>
                <c:pt idx="98">
                  <c:v>782</c:v>
                </c:pt>
                <c:pt idx="99">
                  <c:v>782</c:v>
                </c:pt>
                <c:pt idx="100">
                  <c:v>782</c:v>
                </c:pt>
                <c:pt idx="101">
                  <c:v>782</c:v>
                </c:pt>
                <c:pt idx="102">
                  <c:v>782</c:v>
                </c:pt>
                <c:pt idx="103">
                  <c:v>782</c:v>
                </c:pt>
                <c:pt idx="104">
                  <c:v>782</c:v>
                </c:pt>
                <c:pt idx="105">
                  <c:v>782</c:v>
                </c:pt>
                <c:pt idx="106">
                  <c:v>782</c:v>
                </c:pt>
                <c:pt idx="107">
                  <c:v>782</c:v>
                </c:pt>
                <c:pt idx="108">
                  <c:v>782</c:v>
                </c:pt>
                <c:pt idx="109">
                  <c:v>782</c:v>
                </c:pt>
                <c:pt idx="110">
                  <c:v>782</c:v>
                </c:pt>
                <c:pt idx="111">
                  <c:v>782</c:v>
                </c:pt>
                <c:pt idx="112">
                  <c:v>782</c:v>
                </c:pt>
                <c:pt idx="113">
                  <c:v>782</c:v>
                </c:pt>
                <c:pt idx="114">
                  <c:v>782</c:v>
                </c:pt>
                <c:pt idx="115">
                  <c:v>782</c:v>
                </c:pt>
                <c:pt idx="116">
                  <c:v>782</c:v>
                </c:pt>
                <c:pt idx="117">
                  <c:v>782</c:v>
                </c:pt>
                <c:pt idx="118">
                  <c:v>782</c:v>
                </c:pt>
                <c:pt idx="119">
                  <c:v>782</c:v>
                </c:pt>
                <c:pt idx="120">
                  <c:v>782</c:v>
                </c:pt>
                <c:pt idx="121">
                  <c:v>782</c:v>
                </c:pt>
                <c:pt idx="122">
                  <c:v>782</c:v>
                </c:pt>
                <c:pt idx="123">
                  <c:v>782</c:v>
                </c:pt>
                <c:pt idx="124">
                  <c:v>782</c:v>
                </c:pt>
                <c:pt idx="125">
                  <c:v>782</c:v>
                </c:pt>
                <c:pt idx="126">
                  <c:v>782</c:v>
                </c:pt>
                <c:pt idx="127">
                  <c:v>782</c:v>
                </c:pt>
                <c:pt idx="128">
                  <c:v>782</c:v>
                </c:pt>
                <c:pt idx="129">
                  <c:v>782</c:v>
                </c:pt>
                <c:pt idx="130">
                  <c:v>782</c:v>
                </c:pt>
                <c:pt idx="131">
                  <c:v>782</c:v>
                </c:pt>
                <c:pt idx="132">
                  <c:v>782</c:v>
                </c:pt>
                <c:pt idx="133">
                  <c:v>827</c:v>
                </c:pt>
                <c:pt idx="134">
                  <c:v>827</c:v>
                </c:pt>
                <c:pt idx="135">
                  <c:v>827</c:v>
                </c:pt>
                <c:pt idx="136">
                  <c:v>827</c:v>
                </c:pt>
                <c:pt idx="137">
                  <c:v>827</c:v>
                </c:pt>
                <c:pt idx="138">
                  <c:v>827</c:v>
                </c:pt>
                <c:pt idx="139">
                  <c:v>827</c:v>
                </c:pt>
                <c:pt idx="140">
                  <c:v>827</c:v>
                </c:pt>
                <c:pt idx="141">
                  <c:v>827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827</c:v>
                </c:pt>
                <c:pt idx="151">
                  <c:v>827</c:v>
                </c:pt>
                <c:pt idx="152">
                  <c:v>827</c:v>
                </c:pt>
                <c:pt idx="153">
                  <c:v>827</c:v>
                </c:pt>
                <c:pt idx="154">
                  <c:v>827</c:v>
                </c:pt>
                <c:pt idx="155">
                  <c:v>827</c:v>
                </c:pt>
                <c:pt idx="156">
                  <c:v>827</c:v>
                </c:pt>
                <c:pt idx="157">
                  <c:v>827</c:v>
                </c:pt>
                <c:pt idx="158">
                  <c:v>827</c:v>
                </c:pt>
                <c:pt idx="159">
                  <c:v>827</c:v>
                </c:pt>
                <c:pt idx="160">
                  <c:v>827</c:v>
                </c:pt>
                <c:pt idx="161">
                  <c:v>831</c:v>
                </c:pt>
                <c:pt idx="162">
                  <c:v>831</c:v>
                </c:pt>
                <c:pt idx="163">
                  <c:v>831</c:v>
                </c:pt>
                <c:pt idx="164">
                  <c:v>831</c:v>
                </c:pt>
                <c:pt idx="165">
                  <c:v>831</c:v>
                </c:pt>
                <c:pt idx="166">
                  <c:v>831</c:v>
                </c:pt>
                <c:pt idx="167">
                  <c:v>831</c:v>
                </c:pt>
                <c:pt idx="168">
                  <c:v>831</c:v>
                </c:pt>
                <c:pt idx="169">
                  <c:v>831</c:v>
                </c:pt>
                <c:pt idx="170">
                  <c:v>831</c:v>
                </c:pt>
                <c:pt idx="171">
                  <c:v>831</c:v>
                </c:pt>
                <c:pt idx="172">
                  <c:v>831</c:v>
                </c:pt>
                <c:pt idx="173">
                  <c:v>831</c:v>
                </c:pt>
                <c:pt idx="174">
                  <c:v>831</c:v>
                </c:pt>
                <c:pt idx="175">
                  <c:v>831</c:v>
                </c:pt>
                <c:pt idx="176">
                  <c:v>831</c:v>
                </c:pt>
                <c:pt idx="177">
                  <c:v>831</c:v>
                </c:pt>
                <c:pt idx="178">
                  <c:v>831</c:v>
                </c:pt>
                <c:pt idx="179">
                  <c:v>831</c:v>
                </c:pt>
                <c:pt idx="180">
                  <c:v>831</c:v>
                </c:pt>
                <c:pt idx="181">
                  <c:v>831</c:v>
                </c:pt>
                <c:pt idx="182">
                  <c:v>831</c:v>
                </c:pt>
                <c:pt idx="183">
                  <c:v>831</c:v>
                </c:pt>
                <c:pt idx="184">
                  <c:v>831</c:v>
                </c:pt>
                <c:pt idx="185">
                  <c:v>831</c:v>
                </c:pt>
                <c:pt idx="186">
                  <c:v>831</c:v>
                </c:pt>
                <c:pt idx="187">
                  <c:v>831</c:v>
                </c:pt>
                <c:pt idx="188">
                  <c:v>831</c:v>
                </c:pt>
                <c:pt idx="189">
                  <c:v>831</c:v>
                </c:pt>
                <c:pt idx="190">
                  <c:v>831</c:v>
                </c:pt>
                <c:pt idx="191">
                  <c:v>831</c:v>
                </c:pt>
                <c:pt idx="192">
                  <c:v>831</c:v>
                </c:pt>
                <c:pt idx="193">
                  <c:v>831</c:v>
                </c:pt>
                <c:pt idx="194">
                  <c:v>831</c:v>
                </c:pt>
                <c:pt idx="195">
                  <c:v>831</c:v>
                </c:pt>
                <c:pt idx="196">
                  <c:v>831</c:v>
                </c:pt>
                <c:pt idx="197">
                  <c:v>831</c:v>
                </c:pt>
                <c:pt idx="198">
                  <c:v>831</c:v>
                </c:pt>
                <c:pt idx="199">
                  <c:v>831</c:v>
                </c:pt>
                <c:pt idx="200">
                  <c:v>831</c:v>
                </c:pt>
                <c:pt idx="201">
                  <c:v>831</c:v>
                </c:pt>
                <c:pt idx="202">
                  <c:v>831</c:v>
                </c:pt>
                <c:pt idx="203">
                  <c:v>831</c:v>
                </c:pt>
                <c:pt idx="204">
                  <c:v>831</c:v>
                </c:pt>
                <c:pt idx="205">
                  <c:v>831</c:v>
                </c:pt>
                <c:pt idx="206">
                  <c:v>831</c:v>
                </c:pt>
                <c:pt idx="207">
                  <c:v>831</c:v>
                </c:pt>
                <c:pt idx="208">
                  <c:v>831</c:v>
                </c:pt>
                <c:pt idx="209">
                  <c:v>831</c:v>
                </c:pt>
                <c:pt idx="210">
                  <c:v>831</c:v>
                </c:pt>
                <c:pt idx="211">
                  <c:v>831</c:v>
                </c:pt>
                <c:pt idx="212">
                  <c:v>831</c:v>
                </c:pt>
                <c:pt idx="213">
                  <c:v>831</c:v>
                </c:pt>
                <c:pt idx="214">
                  <c:v>831</c:v>
                </c:pt>
                <c:pt idx="215">
                  <c:v>831</c:v>
                </c:pt>
                <c:pt idx="216">
                  <c:v>831</c:v>
                </c:pt>
                <c:pt idx="217">
                  <c:v>831</c:v>
                </c:pt>
                <c:pt idx="218">
                  <c:v>831</c:v>
                </c:pt>
                <c:pt idx="219">
                  <c:v>831</c:v>
                </c:pt>
                <c:pt idx="220">
                  <c:v>831</c:v>
                </c:pt>
                <c:pt idx="221">
                  <c:v>831</c:v>
                </c:pt>
                <c:pt idx="222">
                  <c:v>831</c:v>
                </c:pt>
                <c:pt idx="223">
                  <c:v>831</c:v>
                </c:pt>
                <c:pt idx="224">
                  <c:v>831</c:v>
                </c:pt>
                <c:pt idx="225">
                  <c:v>831</c:v>
                </c:pt>
                <c:pt idx="226">
                  <c:v>831</c:v>
                </c:pt>
                <c:pt idx="227">
                  <c:v>868</c:v>
                </c:pt>
                <c:pt idx="228">
                  <c:v>868</c:v>
                </c:pt>
                <c:pt idx="229">
                  <c:v>868</c:v>
                </c:pt>
                <c:pt idx="230">
                  <c:v>868</c:v>
                </c:pt>
                <c:pt idx="231">
                  <c:v>868</c:v>
                </c:pt>
                <c:pt idx="232">
                  <c:v>911</c:v>
                </c:pt>
                <c:pt idx="233">
                  <c:v>911</c:v>
                </c:pt>
                <c:pt idx="234">
                  <c:v>936</c:v>
                </c:pt>
                <c:pt idx="235">
                  <c:v>936</c:v>
                </c:pt>
                <c:pt idx="236">
                  <c:v>936</c:v>
                </c:pt>
                <c:pt idx="237">
                  <c:v>936</c:v>
                </c:pt>
                <c:pt idx="238">
                  <c:v>936</c:v>
                </c:pt>
                <c:pt idx="239">
                  <c:v>979</c:v>
                </c:pt>
                <c:pt idx="240">
                  <c:v>979</c:v>
                </c:pt>
                <c:pt idx="241">
                  <c:v>1009</c:v>
                </c:pt>
                <c:pt idx="242">
                  <c:v>1134</c:v>
                </c:pt>
                <c:pt idx="243">
                  <c:v>1134</c:v>
                </c:pt>
                <c:pt idx="244">
                  <c:v>1134</c:v>
                </c:pt>
                <c:pt idx="245">
                  <c:v>1134</c:v>
                </c:pt>
                <c:pt idx="246">
                  <c:v>1134</c:v>
                </c:pt>
                <c:pt idx="247">
                  <c:v>1134</c:v>
                </c:pt>
                <c:pt idx="248">
                  <c:v>1134</c:v>
                </c:pt>
                <c:pt idx="249">
                  <c:v>1134</c:v>
                </c:pt>
                <c:pt idx="250">
                  <c:v>1134</c:v>
                </c:pt>
                <c:pt idx="251">
                  <c:v>1134</c:v>
                </c:pt>
                <c:pt idx="252">
                  <c:v>1134</c:v>
                </c:pt>
                <c:pt idx="253">
                  <c:v>1134</c:v>
                </c:pt>
                <c:pt idx="254">
                  <c:v>1134</c:v>
                </c:pt>
                <c:pt idx="255">
                  <c:v>1134</c:v>
                </c:pt>
                <c:pt idx="256">
                  <c:v>1134</c:v>
                </c:pt>
                <c:pt idx="257">
                  <c:v>1134</c:v>
                </c:pt>
                <c:pt idx="258">
                  <c:v>1134</c:v>
                </c:pt>
                <c:pt idx="259">
                  <c:v>1134</c:v>
                </c:pt>
                <c:pt idx="260">
                  <c:v>1134</c:v>
                </c:pt>
                <c:pt idx="261">
                  <c:v>1134</c:v>
                </c:pt>
                <c:pt idx="262">
                  <c:v>1134</c:v>
                </c:pt>
                <c:pt idx="263">
                  <c:v>1134</c:v>
                </c:pt>
                <c:pt idx="264">
                  <c:v>1134</c:v>
                </c:pt>
                <c:pt idx="265">
                  <c:v>1199</c:v>
                </c:pt>
                <c:pt idx="266">
                  <c:v>1285</c:v>
                </c:pt>
                <c:pt idx="267">
                  <c:v>1322</c:v>
                </c:pt>
                <c:pt idx="268">
                  <c:v>1343</c:v>
                </c:pt>
                <c:pt idx="269">
                  <c:v>1343</c:v>
                </c:pt>
                <c:pt idx="270">
                  <c:v>1343</c:v>
                </c:pt>
                <c:pt idx="271">
                  <c:v>1377</c:v>
                </c:pt>
                <c:pt idx="272">
                  <c:v>1377</c:v>
                </c:pt>
                <c:pt idx="273">
                  <c:v>1377</c:v>
                </c:pt>
                <c:pt idx="274">
                  <c:v>1377</c:v>
                </c:pt>
                <c:pt idx="275">
                  <c:v>1377</c:v>
                </c:pt>
                <c:pt idx="276">
                  <c:v>1377</c:v>
                </c:pt>
                <c:pt idx="277">
                  <c:v>1377</c:v>
                </c:pt>
                <c:pt idx="278">
                  <c:v>1377</c:v>
                </c:pt>
                <c:pt idx="279">
                  <c:v>1377</c:v>
                </c:pt>
                <c:pt idx="280">
                  <c:v>1377</c:v>
                </c:pt>
                <c:pt idx="281">
                  <c:v>1377</c:v>
                </c:pt>
                <c:pt idx="282">
                  <c:v>1377</c:v>
                </c:pt>
                <c:pt idx="283">
                  <c:v>1377</c:v>
                </c:pt>
                <c:pt idx="284">
                  <c:v>1377</c:v>
                </c:pt>
                <c:pt idx="285">
                  <c:v>1377</c:v>
                </c:pt>
                <c:pt idx="286">
                  <c:v>1377</c:v>
                </c:pt>
                <c:pt idx="287">
                  <c:v>1377</c:v>
                </c:pt>
                <c:pt idx="288">
                  <c:v>1377</c:v>
                </c:pt>
                <c:pt idx="289">
                  <c:v>1377</c:v>
                </c:pt>
                <c:pt idx="290">
                  <c:v>1377</c:v>
                </c:pt>
                <c:pt idx="291">
                  <c:v>1377</c:v>
                </c:pt>
                <c:pt idx="292">
                  <c:v>1377</c:v>
                </c:pt>
                <c:pt idx="293">
                  <c:v>1377</c:v>
                </c:pt>
                <c:pt idx="294">
                  <c:v>1377</c:v>
                </c:pt>
                <c:pt idx="295">
                  <c:v>1377</c:v>
                </c:pt>
                <c:pt idx="296">
                  <c:v>1377</c:v>
                </c:pt>
                <c:pt idx="297">
                  <c:v>1377</c:v>
                </c:pt>
                <c:pt idx="298">
                  <c:v>1377</c:v>
                </c:pt>
                <c:pt idx="299">
                  <c:v>1377</c:v>
                </c:pt>
                <c:pt idx="300">
                  <c:v>1377</c:v>
                </c:pt>
                <c:pt idx="301">
                  <c:v>1377</c:v>
                </c:pt>
                <c:pt idx="302">
                  <c:v>1377</c:v>
                </c:pt>
                <c:pt idx="303">
                  <c:v>1377</c:v>
                </c:pt>
                <c:pt idx="304">
                  <c:v>1377</c:v>
                </c:pt>
                <c:pt idx="305">
                  <c:v>1377</c:v>
                </c:pt>
                <c:pt idx="306">
                  <c:v>1377</c:v>
                </c:pt>
                <c:pt idx="307">
                  <c:v>1377</c:v>
                </c:pt>
                <c:pt idx="308">
                  <c:v>1377</c:v>
                </c:pt>
                <c:pt idx="309">
                  <c:v>1377</c:v>
                </c:pt>
                <c:pt idx="310">
                  <c:v>1377</c:v>
                </c:pt>
                <c:pt idx="311">
                  <c:v>1377</c:v>
                </c:pt>
                <c:pt idx="312">
                  <c:v>1377</c:v>
                </c:pt>
                <c:pt idx="313">
                  <c:v>1377</c:v>
                </c:pt>
                <c:pt idx="314">
                  <c:v>1377</c:v>
                </c:pt>
                <c:pt idx="315">
                  <c:v>1377</c:v>
                </c:pt>
                <c:pt idx="316">
                  <c:v>1377</c:v>
                </c:pt>
                <c:pt idx="317">
                  <c:v>1377</c:v>
                </c:pt>
                <c:pt idx="318">
                  <c:v>1377</c:v>
                </c:pt>
                <c:pt idx="319">
                  <c:v>1377</c:v>
                </c:pt>
                <c:pt idx="320">
                  <c:v>1377</c:v>
                </c:pt>
                <c:pt idx="321">
                  <c:v>1377</c:v>
                </c:pt>
                <c:pt idx="322">
                  <c:v>1377</c:v>
                </c:pt>
                <c:pt idx="323">
                  <c:v>1377</c:v>
                </c:pt>
                <c:pt idx="324">
                  <c:v>1377</c:v>
                </c:pt>
                <c:pt idx="325">
                  <c:v>1377</c:v>
                </c:pt>
                <c:pt idx="326">
                  <c:v>1377</c:v>
                </c:pt>
                <c:pt idx="327">
                  <c:v>1377</c:v>
                </c:pt>
                <c:pt idx="328">
                  <c:v>1377</c:v>
                </c:pt>
                <c:pt idx="329">
                  <c:v>1377</c:v>
                </c:pt>
                <c:pt idx="330">
                  <c:v>1377</c:v>
                </c:pt>
                <c:pt idx="331">
                  <c:v>1377</c:v>
                </c:pt>
                <c:pt idx="332">
                  <c:v>1377</c:v>
                </c:pt>
                <c:pt idx="333">
                  <c:v>1377</c:v>
                </c:pt>
                <c:pt idx="334">
                  <c:v>1377</c:v>
                </c:pt>
                <c:pt idx="335">
                  <c:v>1377</c:v>
                </c:pt>
                <c:pt idx="336">
                  <c:v>1377</c:v>
                </c:pt>
                <c:pt idx="337">
                  <c:v>1377</c:v>
                </c:pt>
                <c:pt idx="338">
                  <c:v>1377</c:v>
                </c:pt>
                <c:pt idx="339">
                  <c:v>1377</c:v>
                </c:pt>
                <c:pt idx="340">
                  <c:v>1377</c:v>
                </c:pt>
                <c:pt idx="341">
                  <c:v>1377</c:v>
                </c:pt>
                <c:pt idx="342">
                  <c:v>1377</c:v>
                </c:pt>
                <c:pt idx="343">
                  <c:v>1377</c:v>
                </c:pt>
                <c:pt idx="344">
                  <c:v>1377</c:v>
                </c:pt>
                <c:pt idx="345">
                  <c:v>1377</c:v>
                </c:pt>
                <c:pt idx="346">
                  <c:v>1377</c:v>
                </c:pt>
                <c:pt idx="347">
                  <c:v>1377</c:v>
                </c:pt>
                <c:pt idx="348">
                  <c:v>1377</c:v>
                </c:pt>
                <c:pt idx="349">
                  <c:v>1377</c:v>
                </c:pt>
                <c:pt idx="350">
                  <c:v>1377</c:v>
                </c:pt>
                <c:pt idx="351">
                  <c:v>1377</c:v>
                </c:pt>
                <c:pt idx="352">
                  <c:v>1377</c:v>
                </c:pt>
                <c:pt idx="353">
                  <c:v>1377</c:v>
                </c:pt>
                <c:pt idx="354">
                  <c:v>1377</c:v>
                </c:pt>
                <c:pt idx="355">
                  <c:v>1377</c:v>
                </c:pt>
                <c:pt idx="356">
                  <c:v>1377</c:v>
                </c:pt>
                <c:pt idx="357">
                  <c:v>1377</c:v>
                </c:pt>
                <c:pt idx="358">
                  <c:v>1377</c:v>
                </c:pt>
                <c:pt idx="359">
                  <c:v>1377</c:v>
                </c:pt>
                <c:pt idx="360">
                  <c:v>1377</c:v>
                </c:pt>
                <c:pt idx="361">
                  <c:v>1377</c:v>
                </c:pt>
                <c:pt idx="362">
                  <c:v>1377</c:v>
                </c:pt>
                <c:pt idx="363">
                  <c:v>1377</c:v>
                </c:pt>
                <c:pt idx="364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E-433A-B203-ECA7D044F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  <c:majorUnit val="25"/>
      </c:valAx>
      <c:valAx>
        <c:axId val="540095055"/>
        <c:scaling>
          <c:orientation val="minMax"/>
          <c:max val="15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  <c:majorUnit val="250"/>
      </c:valAx>
      <c:date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06028506526374E-2"/>
          <c:y val="7.5283498664835233E-2"/>
          <c:w val="0.77332768381530781"/>
          <c:h val="0.90708059095286431"/>
        </c:manualLayout>
      </c:layout>
      <c:radarChart>
        <c:radarStyle val="marker"/>
        <c:varyColors val="0"/>
        <c:ser>
          <c:idx val="0"/>
          <c:order val="0"/>
          <c:tx>
            <c:strRef>
              <c:f>'Pages+'!$AP$1:$AQ$1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'Pages+'!$AL$2:$AL$367</c:f>
              <c:strCache>
                <c:ptCount val="336"/>
                <c:pt idx="0">
                  <c:v>January</c:v>
                </c:pt>
                <c:pt idx="31">
                  <c:v>February</c:v>
                </c:pt>
                <c:pt idx="60">
                  <c:v>March</c:v>
                </c:pt>
                <c:pt idx="91">
                  <c:v>April</c:v>
                </c:pt>
                <c:pt idx="121">
                  <c:v>May</c:v>
                </c:pt>
                <c:pt idx="152">
                  <c:v>June</c:v>
                </c:pt>
                <c:pt idx="182">
                  <c:v>July</c:v>
                </c:pt>
                <c:pt idx="213">
                  <c:v>August</c:v>
                </c:pt>
                <c:pt idx="244">
                  <c:v>September</c:v>
                </c:pt>
                <c:pt idx="274">
                  <c:v>October</c:v>
                </c:pt>
                <c:pt idx="305">
                  <c:v>November</c:v>
                </c:pt>
                <c:pt idx="335">
                  <c:v>December</c:v>
                </c:pt>
              </c:strCache>
            </c:strRef>
          </c:cat>
          <c:val>
            <c:numRef>
              <c:f>'Pages+'!$AQ$2:$AQ$367</c:f>
              <c:numCache>
                <c:formatCode>General</c:formatCode>
                <c:ptCount val="366"/>
                <c:pt idx="284">
                  <c:v>0</c:v>
                </c:pt>
                <c:pt idx="285">
                  <c:v>129</c:v>
                </c:pt>
                <c:pt idx="286">
                  <c:v>129</c:v>
                </c:pt>
                <c:pt idx="287">
                  <c:v>129</c:v>
                </c:pt>
                <c:pt idx="288">
                  <c:v>129</c:v>
                </c:pt>
                <c:pt idx="289">
                  <c:v>129</c:v>
                </c:pt>
                <c:pt idx="290">
                  <c:v>163</c:v>
                </c:pt>
                <c:pt idx="291">
                  <c:v>204</c:v>
                </c:pt>
                <c:pt idx="292">
                  <c:v>204</c:v>
                </c:pt>
                <c:pt idx="293">
                  <c:v>204</c:v>
                </c:pt>
                <c:pt idx="294">
                  <c:v>204</c:v>
                </c:pt>
                <c:pt idx="295">
                  <c:v>204</c:v>
                </c:pt>
                <c:pt idx="296">
                  <c:v>436</c:v>
                </c:pt>
                <c:pt idx="297">
                  <c:v>538</c:v>
                </c:pt>
                <c:pt idx="298">
                  <c:v>633</c:v>
                </c:pt>
                <c:pt idx="299">
                  <c:v>761</c:v>
                </c:pt>
                <c:pt idx="300">
                  <c:v>843</c:v>
                </c:pt>
                <c:pt idx="301">
                  <c:v>843</c:v>
                </c:pt>
                <c:pt idx="302">
                  <c:v>843</c:v>
                </c:pt>
                <c:pt idx="303">
                  <c:v>843</c:v>
                </c:pt>
                <c:pt idx="304">
                  <c:v>919</c:v>
                </c:pt>
                <c:pt idx="305">
                  <c:v>1085</c:v>
                </c:pt>
                <c:pt idx="306">
                  <c:v>1224</c:v>
                </c:pt>
                <c:pt idx="307">
                  <c:v>1224</c:v>
                </c:pt>
                <c:pt idx="308">
                  <c:v>1224</c:v>
                </c:pt>
                <c:pt idx="309">
                  <c:v>1224</c:v>
                </c:pt>
                <c:pt idx="310">
                  <c:v>1301</c:v>
                </c:pt>
                <c:pt idx="311">
                  <c:v>1430</c:v>
                </c:pt>
                <c:pt idx="312">
                  <c:v>1472</c:v>
                </c:pt>
                <c:pt idx="313">
                  <c:v>1560</c:v>
                </c:pt>
                <c:pt idx="314">
                  <c:v>1623</c:v>
                </c:pt>
                <c:pt idx="315">
                  <c:v>1623</c:v>
                </c:pt>
                <c:pt idx="316">
                  <c:v>1677</c:v>
                </c:pt>
                <c:pt idx="317">
                  <c:v>1798</c:v>
                </c:pt>
                <c:pt idx="318">
                  <c:v>1860</c:v>
                </c:pt>
                <c:pt idx="319">
                  <c:v>1907</c:v>
                </c:pt>
                <c:pt idx="320">
                  <c:v>2008</c:v>
                </c:pt>
                <c:pt idx="321">
                  <c:v>2208</c:v>
                </c:pt>
                <c:pt idx="322">
                  <c:v>2352</c:v>
                </c:pt>
                <c:pt idx="323">
                  <c:v>2423</c:v>
                </c:pt>
                <c:pt idx="324">
                  <c:v>2523</c:v>
                </c:pt>
                <c:pt idx="325">
                  <c:v>2538</c:v>
                </c:pt>
                <c:pt idx="326">
                  <c:v>2610</c:v>
                </c:pt>
                <c:pt idx="327">
                  <c:v>2610</c:v>
                </c:pt>
                <c:pt idx="328">
                  <c:v>2654</c:v>
                </c:pt>
                <c:pt idx="329">
                  <c:v>2676</c:v>
                </c:pt>
                <c:pt idx="330">
                  <c:v>2752</c:v>
                </c:pt>
                <c:pt idx="331">
                  <c:v>2841</c:v>
                </c:pt>
                <c:pt idx="332">
                  <c:v>2841</c:v>
                </c:pt>
                <c:pt idx="333">
                  <c:v>2904</c:v>
                </c:pt>
                <c:pt idx="334">
                  <c:v>3083</c:v>
                </c:pt>
                <c:pt idx="335">
                  <c:v>3127</c:v>
                </c:pt>
                <c:pt idx="336">
                  <c:v>3127</c:v>
                </c:pt>
                <c:pt idx="337">
                  <c:v>3241</c:v>
                </c:pt>
                <c:pt idx="338">
                  <c:v>3241</c:v>
                </c:pt>
                <c:pt idx="339">
                  <c:v>3504</c:v>
                </c:pt>
                <c:pt idx="340">
                  <c:v>3546</c:v>
                </c:pt>
                <c:pt idx="341">
                  <c:v>3649</c:v>
                </c:pt>
                <c:pt idx="342">
                  <c:v>3711</c:v>
                </c:pt>
                <c:pt idx="343">
                  <c:v>3711</c:v>
                </c:pt>
                <c:pt idx="344">
                  <c:v>3711</c:v>
                </c:pt>
                <c:pt idx="345">
                  <c:v>3838</c:v>
                </c:pt>
                <c:pt idx="346">
                  <c:v>3872</c:v>
                </c:pt>
                <c:pt idx="347">
                  <c:v>3872</c:v>
                </c:pt>
                <c:pt idx="348">
                  <c:v>3898</c:v>
                </c:pt>
                <c:pt idx="349">
                  <c:v>3946</c:v>
                </c:pt>
                <c:pt idx="350">
                  <c:v>3946</c:v>
                </c:pt>
                <c:pt idx="351">
                  <c:v>3946</c:v>
                </c:pt>
                <c:pt idx="352">
                  <c:v>3946</c:v>
                </c:pt>
                <c:pt idx="353">
                  <c:v>3946</c:v>
                </c:pt>
                <c:pt idx="354">
                  <c:v>3946</c:v>
                </c:pt>
                <c:pt idx="355">
                  <c:v>3946</c:v>
                </c:pt>
                <c:pt idx="356">
                  <c:v>3946</c:v>
                </c:pt>
                <c:pt idx="357">
                  <c:v>3967</c:v>
                </c:pt>
                <c:pt idx="358">
                  <c:v>4006</c:v>
                </c:pt>
                <c:pt idx="359">
                  <c:v>4095</c:v>
                </c:pt>
                <c:pt idx="360">
                  <c:v>4125</c:v>
                </c:pt>
                <c:pt idx="361">
                  <c:v>4145</c:v>
                </c:pt>
                <c:pt idx="362">
                  <c:v>4195</c:v>
                </c:pt>
                <c:pt idx="363">
                  <c:v>4195</c:v>
                </c:pt>
                <c:pt idx="364">
                  <c:v>4195</c:v>
                </c:pt>
                <c:pt idx="365">
                  <c:v>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708-BC96-D16F5235A874}"/>
            </c:ext>
          </c:extLst>
        </c:ser>
        <c:ser>
          <c:idx val="1"/>
          <c:order val="1"/>
          <c:tx>
            <c:strRef>
              <c:f>'Pages+'!$AR$1:$AS$1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'Pages+'!$AL$2:$AL$367</c:f>
              <c:strCache>
                <c:ptCount val="336"/>
                <c:pt idx="0">
                  <c:v>January</c:v>
                </c:pt>
                <c:pt idx="31">
                  <c:v>February</c:v>
                </c:pt>
                <c:pt idx="60">
                  <c:v>March</c:v>
                </c:pt>
                <c:pt idx="91">
                  <c:v>April</c:v>
                </c:pt>
                <c:pt idx="121">
                  <c:v>May</c:v>
                </c:pt>
                <c:pt idx="152">
                  <c:v>June</c:v>
                </c:pt>
                <c:pt idx="182">
                  <c:v>July</c:v>
                </c:pt>
                <c:pt idx="213">
                  <c:v>August</c:v>
                </c:pt>
                <c:pt idx="244">
                  <c:v>September</c:v>
                </c:pt>
                <c:pt idx="274">
                  <c:v>October</c:v>
                </c:pt>
                <c:pt idx="305">
                  <c:v>November</c:v>
                </c:pt>
                <c:pt idx="335">
                  <c:v>December</c:v>
                </c:pt>
              </c:strCache>
            </c:strRef>
          </c:cat>
          <c:val>
            <c:numRef>
              <c:f>'Pages+'!$AS$2:$AS$350</c:f>
              <c:numCache>
                <c:formatCode>General</c:formatCode>
                <c:ptCount val="349"/>
                <c:pt idx="0">
                  <c:v>102</c:v>
                </c:pt>
                <c:pt idx="1">
                  <c:v>255</c:v>
                </c:pt>
                <c:pt idx="2">
                  <c:v>394</c:v>
                </c:pt>
                <c:pt idx="3">
                  <c:v>430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477</c:v>
                </c:pt>
                <c:pt idx="8">
                  <c:v>496</c:v>
                </c:pt>
                <c:pt idx="9">
                  <c:v>496</c:v>
                </c:pt>
                <c:pt idx="10">
                  <c:v>496</c:v>
                </c:pt>
                <c:pt idx="11">
                  <c:v>532</c:v>
                </c:pt>
                <c:pt idx="12">
                  <c:v>532</c:v>
                </c:pt>
                <c:pt idx="13">
                  <c:v>583</c:v>
                </c:pt>
                <c:pt idx="14">
                  <c:v>620</c:v>
                </c:pt>
                <c:pt idx="15">
                  <c:v>661</c:v>
                </c:pt>
                <c:pt idx="16">
                  <c:v>749</c:v>
                </c:pt>
                <c:pt idx="17">
                  <c:v>803</c:v>
                </c:pt>
                <c:pt idx="18">
                  <c:v>803</c:v>
                </c:pt>
                <c:pt idx="19">
                  <c:v>803</c:v>
                </c:pt>
                <c:pt idx="20">
                  <c:v>917</c:v>
                </c:pt>
                <c:pt idx="21">
                  <c:v>917</c:v>
                </c:pt>
                <c:pt idx="22">
                  <c:v>917</c:v>
                </c:pt>
                <c:pt idx="23">
                  <c:v>917</c:v>
                </c:pt>
                <c:pt idx="24">
                  <c:v>917</c:v>
                </c:pt>
                <c:pt idx="25">
                  <c:v>935</c:v>
                </c:pt>
                <c:pt idx="26">
                  <c:v>935</c:v>
                </c:pt>
                <c:pt idx="27">
                  <c:v>951</c:v>
                </c:pt>
                <c:pt idx="28">
                  <c:v>1023</c:v>
                </c:pt>
                <c:pt idx="29">
                  <c:v>1101</c:v>
                </c:pt>
                <c:pt idx="30">
                  <c:v>1319</c:v>
                </c:pt>
                <c:pt idx="31">
                  <c:v>1319</c:v>
                </c:pt>
                <c:pt idx="32">
                  <c:v>1319</c:v>
                </c:pt>
                <c:pt idx="33">
                  <c:v>1356</c:v>
                </c:pt>
                <c:pt idx="34">
                  <c:v>1356</c:v>
                </c:pt>
                <c:pt idx="35">
                  <c:v>1563</c:v>
                </c:pt>
                <c:pt idx="36">
                  <c:v>1563</c:v>
                </c:pt>
                <c:pt idx="37">
                  <c:v>1605</c:v>
                </c:pt>
                <c:pt idx="38">
                  <c:v>1605</c:v>
                </c:pt>
                <c:pt idx="39">
                  <c:v>1605</c:v>
                </c:pt>
                <c:pt idx="40">
                  <c:v>1605</c:v>
                </c:pt>
                <c:pt idx="41">
                  <c:v>1605</c:v>
                </c:pt>
                <c:pt idx="42">
                  <c:v>1638</c:v>
                </c:pt>
                <c:pt idx="43">
                  <c:v>1681</c:v>
                </c:pt>
                <c:pt idx="44">
                  <c:v>1746</c:v>
                </c:pt>
                <c:pt idx="45">
                  <c:v>1746</c:v>
                </c:pt>
                <c:pt idx="46">
                  <c:v>1746</c:v>
                </c:pt>
                <c:pt idx="47">
                  <c:v>1746</c:v>
                </c:pt>
                <c:pt idx="48">
                  <c:v>1746</c:v>
                </c:pt>
                <c:pt idx="49">
                  <c:v>1746</c:v>
                </c:pt>
                <c:pt idx="50">
                  <c:v>1746</c:v>
                </c:pt>
                <c:pt idx="51">
                  <c:v>1746</c:v>
                </c:pt>
                <c:pt idx="52">
                  <c:v>1746</c:v>
                </c:pt>
                <c:pt idx="53">
                  <c:v>1746</c:v>
                </c:pt>
                <c:pt idx="54">
                  <c:v>1746</c:v>
                </c:pt>
                <c:pt idx="55">
                  <c:v>1746</c:v>
                </c:pt>
                <c:pt idx="56">
                  <c:v>1746</c:v>
                </c:pt>
                <c:pt idx="57">
                  <c:v>1746</c:v>
                </c:pt>
                <c:pt idx="58">
                  <c:v>1746</c:v>
                </c:pt>
                <c:pt idx="59">
                  <c:v>1746</c:v>
                </c:pt>
                <c:pt idx="60">
                  <c:v>1746</c:v>
                </c:pt>
                <c:pt idx="61">
                  <c:v>1823</c:v>
                </c:pt>
                <c:pt idx="62">
                  <c:v>1823</c:v>
                </c:pt>
                <c:pt idx="63">
                  <c:v>1844</c:v>
                </c:pt>
                <c:pt idx="64">
                  <c:v>1844</c:v>
                </c:pt>
                <c:pt idx="65">
                  <c:v>1844</c:v>
                </c:pt>
                <c:pt idx="66">
                  <c:v>1844</c:v>
                </c:pt>
                <c:pt idx="67">
                  <c:v>1844</c:v>
                </c:pt>
                <c:pt idx="68">
                  <c:v>1844</c:v>
                </c:pt>
                <c:pt idx="69">
                  <c:v>1844</c:v>
                </c:pt>
                <c:pt idx="70">
                  <c:v>1844</c:v>
                </c:pt>
                <c:pt idx="71">
                  <c:v>1844</c:v>
                </c:pt>
                <c:pt idx="72">
                  <c:v>1844</c:v>
                </c:pt>
                <c:pt idx="73">
                  <c:v>1844</c:v>
                </c:pt>
                <c:pt idx="74">
                  <c:v>1844</c:v>
                </c:pt>
                <c:pt idx="75">
                  <c:v>1844</c:v>
                </c:pt>
                <c:pt idx="76">
                  <c:v>1844</c:v>
                </c:pt>
                <c:pt idx="77">
                  <c:v>1844</c:v>
                </c:pt>
                <c:pt idx="78">
                  <c:v>1844</c:v>
                </c:pt>
                <c:pt idx="79">
                  <c:v>1844</c:v>
                </c:pt>
                <c:pt idx="80">
                  <c:v>1844</c:v>
                </c:pt>
                <c:pt idx="81">
                  <c:v>1844</c:v>
                </c:pt>
                <c:pt idx="82">
                  <c:v>1844</c:v>
                </c:pt>
                <c:pt idx="83">
                  <c:v>1900</c:v>
                </c:pt>
                <c:pt idx="84">
                  <c:v>1900</c:v>
                </c:pt>
                <c:pt idx="85">
                  <c:v>1900</c:v>
                </c:pt>
                <c:pt idx="86">
                  <c:v>1949</c:v>
                </c:pt>
                <c:pt idx="87">
                  <c:v>1949</c:v>
                </c:pt>
                <c:pt idx="88">
                  <c:v>1949</c:v>
                </c:pt>
                <c:pt idx="89">
                  <c:v>1949</c:v>
                </c:pt>
                <c:pt idx="90">
                  <c:v>2024</c:v>
                </c:pt>
                <c:pt idx="91">
                  <c:v>2067</c:v>
                </c:pt>
                <c:pt idx="92">
                  <c:v>2067</c:v>
                </c:pt>
                <c:pt idx="93">
                  <c:v>2150</c:v>
                </c:pt>
                <c:pt idx="94">
                  <c:v>2150</c:v>
                </c:pt>
                <c:pt idx="95">
                  <c:v>2181</c:v>
                </c:pt>
                <c:pt idx="96">
                  <c:v>2206</c:v>
                </c:pt>
                <c:pt idx="97">
                  <c:v>2206</c:v>
                </c:pt>
                <c:pt idx="98">
                  <c:v>2206</c:v>
                </c:pt>
                <c:pt idx="99">
                  <c:v>2206</c:v>
                </c:pt>
                <c:pt idx="100">
                  <c:v>2238</c:v>
                </c:pt>
                <c:pt idx="101">
                  <c:v>2238</c:v>
                </c:pt>
                <c:pt idx="102">
                  <c:v>2238</c:v>
                </c:pt>
                <c:pt idx="103">
                  <c:v>2238</c:v>
                </c:pt>
                <c:pt idx="104">
                  <c:v>2238</c:v>
                </c:pt>
                <c:pt idx="105">
                  <c:v>2238</c:v>
                </c:pt>
                <c:pt idx="106">
                  <c:v>2238</c:v>
                </c:pt>
                <c:pt idx="107">
                  <c:v>2238</c:v>
                </c:pt>
                <c:pt idx="108">
                  <c:v>2274</c:v>
                </c:pt>
                <c:pt idx="109">
                  <c:v>2274</c:v>
                </c:pt>
                <c:pt idx="110">
                  <c:v>2274</c:v>
                </c:pt>
                <c:pt idx="111">
                  <c:v>2274</c:v>
                </c:pt>
                <c:pt idx="112">
                  <c:v>2386</c:v>
                </c:pt>
                <c:pt idx="113">
                  <c:v>2430</c:v>
                </c:pt>
                <c:pt idx="114">
                  <c:v>2467</c:v>
                </c:pt>
                <c:pt idx="115">
                  <c:v>2571</c:v>
                </c:pt>
                <c:pt idx="116">
                  <c:v>2650</c:v>
                </c:pt>
                <c:pt idx="117">
                  <c:v>2714</c:v>
                </c:pt>
                <c:pt idx="118">
                  <c:v>2778</c:v>
                </c:pt>
                <c:pt idx="119">
                  <c:v>2859</c:v>
                </c:pt>
                <c:pt idx="120">
                  <c:v>2913</c:v>
                </c:pt>
                <c:pt idx="121">
                  <c:v>2952</c:v>
                </c:pt>
                <c:pt idx="122">
                  <c:v>2952</c:v>
                </c:pt>
                <c:pt idx="123">
                  <c:v>2952</c:v>
                </c:pt>
                <c:pt idx="124">
                  <c:v>2952</c:v>
                </c:pt>
                <c:pt idx="125">
                  <c:v>2952</c:v>
                </c:pt>
                <c:pt idx="126">
                  <c:v>2996</c:v>
                </c:pt>
                <c:pt idx="127">
                  <c:v>3020</c:v>
                </c:pt>
                <c:pt idx="128">
                  <c:v>3021</c:v>
                </c:pt>
                <c:pt idx="129">
                  <c:v>3043</c:v>
                </c:pt>
                <c:pt idx="130">
                  <c:v>3043</c:v>
                </c:pt>
                <c:pt idx="131">
                  <c:v>3053</c:v>
                </c:pt>
                <c:pt idx="132">
                  <c:v>3053</c:v>
                </c:pt>
                <c:pt idx="133">
                  <c:v>3104</c:v>
                </c:pt>
                <c:pt idx="134">
                  <c:v>3224</c:v>
                </c:pt>
                <c:pt idx="135">
                  <c:v>3309</c:v>
                </c:pt>
                <c:pt idx="136">
                  <c:v>3519</c:v>
                </c:pt>
                <c:pt idx="137">
                  <c:v>3565</c:v>
                </c:pt>
                <c:pt idx="138">
                  <c:v>3648</c:v>
                </c:pt>
                <c:pt idx="139">
                  <c:v>3732</c:v>
                </c:pt>
                <c:pt idx="140">
                  <c:v>3872</c:v>
                </c:pt>
                <c:pt idx="141">
                  <c:v>3970</c:v>
                </c:pt>
                <c:pt idx="142">
                  <c:v>3997</c:v>
                </c:pt>
                <c:pt idx="143">
                  <c:v>3997</c:v>
                </c:pt>
                <c:pt idx="144">
                  <c:v>3998</c:v>
                </c:pt>
                <c:pt idx="145">
                  <c:v>3998</c:v>
                </c:pt>
                <c:pt idx="146">
                  <c:v>3998</c:v>
                </c:pt>
                <c:pt idx="147">
                  <c:v>3998</c:v>
                </c:pt>
                <c:pt idx="148">
                  <c:v>4001</c:v>
                </c:pt>
                <c:pt idx="149">
                  <c:v>4076</c:v>
                </c:pt>
                <c:pt idx="150">
                  <c:v>4076</c:v>
                </c:pt>
                <c:pt idx="151">
                  <c:v>4187</c:v>
                </c:pt>
                <c:pt idx="152">
                  <c:v>4187</c:v>
                </c:pt>
                <c:pt idx="153">
                  <c:v>4187</c:v>
                </c:pt>
                <c:pt idx="154">
                  <c:v>4187</c:v>
                </c:pt>
                <c:pt idx="155">
                  <c:v>4187</c:v>
                </c:pt>
                <c:pt idx="156">
                  <c:v>4188</c:v>
                </c:pt>
                <c:pt idx="157">
                  <c:v>4188</c:v>
                </c:pt>
                <c:pt idx="158">
                  <c:v>4188</c:v>
                </c:pt>
                <c:pt idx="159">
                  <c:v>4188</c:v>
                </c:pt>
                <c:pt idx="160">
                  <c:v>4188</c:v>
                </c:pt>
                <c:pt idx="161">
                  <c:v>4188</c:v>
                </c:pt>
                <c:pt idx="162">
                  <c:v>4188</c:v>
                </c:pt>
                <c:pt idx="163">
                  <c:v>4188</c:v>
                </c:pt>
                <c:pt idx="164">
                  <c:v>4188</c:v>
                </c:pt>
                <c:pt idx="165">
                  <c:v>4188</c:v>
                </c:pt>
                <c:pt idx="166">
                  <c:v>4188</c:v>
                </c:pt>
                <c:pt idx="167">
                  <c:v>4188</c:v>
                </c:pt>
                <c:pt idx="168">
                  <c:v>4189</c:v>
                </c:pt>
                <c:pt idx="169">
                  <c:v>4190</c:v>
                </c:pt>
                <c:pt idx="170">
                  <c:v>4190</c:v>
                </c:pt>
                <c:pt idx="171">
                  <c:v>4190</c:v>
                </c:pt>
                <c:pt idx="172">
                  <c:v>4190</c:v>
                </c:pt>
                <c:pt idx="173">
                  <c:v>4190</c:v>
                </c:pt>
                <c:pt idx="174">
                  <c:v>4190</c:v>
                </c:pt>
                <c:pt idx="175">
                  <c:v>4191</c:v>
                </c:pt>
                <c:pt idx="176">
                  <c:v>4192</c:v>
                </c:pt>
                <c:pt idx="177">
                  <c:v>4192</c:v>
                </c:pt>
                <c:pt idx="178">
                  <c:v>4192</c:v>
                </c:pt>
                <c:pt idx="179">
                  <c:v>4192</c:v>
                </c:pt>
                <c:pt idx="180">
                  <c:v>4192</c:v>
                </c:pt>
                <c:pt idx="181">
                  <c:v>4192</c:v>
                </c:pt>
                <c:pt idx="182">
                  <c:v>4192</c:v>
                </c:pt>
                <c:pt idx="183">
                  <c:v>4192</c:v>
                </c:pt>
                <c:pt idx="184">
                  <c:v>4192</c:v>
                </c:pt>
                <c:pt idx="185">
                  <c:v>4192</c:v>
                </c:pt>
                <c:pt idx="186">
                  <c:v>4192</c:v>
                </c:pt>
                <c:pt idx="187">
                  <c:v>4192</c:v>
                </c:pt>
                <c:pt idx="188">
                  <c:v>4192</c:v>
                </c:pt>
                <c:pt idx="189">
                  <c:v>4192</c:v>
                </c:pt>
                <c:pt idx="190">
                  <c:v>4196</c:v>
                </c:pt>
                <c:pt idx="191">
                  <c:v>4196</c:v>
                </c:pt>
                <c:pt idx="192">
                  <c:v>4196</c:v>
                </c:pt>
                <c:pt idx="193">
                  <c:v>4196</c:v>
                </c:pt>
                <c:pt idx="194">
                  <c:v>4196</c:v>
                </c:pt>
                <c:pt idx="195">
                  <c:v>4196</c:v>
                </c:pt>
                <c:pt idx="196">
                  <c:v>4196</c:v>
                </c:pt>
                <c:pt idx="197">
                  <c:v>4196</c:v>
                </c:pt>
                <c:pt idx="198">
                  <c:v>4196</c:v>
                </c:pt>
                <c:pt idx="199">
                  <c:v>4196</c:v>
                </c:pt>
                <c:pt idx="200">
                  <c:v>4196</c:v>
                </c:pt>
                <c:pt idx="201">
                  <c:v>4196</c:v>
                </c:pt>
                <c:pt idx="202">
                  <c:v>4196</c:v>
                </c:pt>
                <c:pt idx="203">
                  <c:v>4196</c:v>
                </c:pt>
                <c:pt idx="204">
                  <c:v>4200</c:v>
                </c:pt>
                <c:pt idx="205">
                  <c:v>4200</c:v>
                </c:pt>
                <c:pt idx="206">
                  <c:v>4200</c:v>
                </c:pt>
                <c:pt idx="207">
                  <c:v>4200</c:v>
                </c:pt>
                <c:pt idx="208">
                  <c:v>4200</c:v>
                </c:pt>
                <c:pt idx="209">
                  <c:v>4200</c:v>
                </c:pt>
                <c:pt idx="210">
                  <c:v>4205</c:v>
                </c:pt>
                <c:pt idx="211">
                  <c:v>4206</c:v>
                </c:pt>
                <c:pt idx="212">
                  <c:v>4206</c:v>
                </c:pt>
                <c:pt idx="213">
                  <c:v>4206</c:v>
                </c:pt>
                <c:pt idx="214">
                  <c:v>4206</c:v>
                </c:pt>
                <c:pt idx="215">
                  <c:v>4206</c:v>
                </c:pt>
                <c:pt idx="216">
                  <c:v>4206</c:v>
                </c:pt>
                <c:pt idx="217">
                  <c:v>4243</c:v>
                </c:pt>
                <c:pt idx="218">
                  <c:v>4243</c:v>
                </c:pt>
                <c:pt idx="219">
                  <c:v>4275</c:v>
                </c:pt>
                <c:pt idx="220">
                  <c:v>4275</c:v>
                </c:pt>
                <c:pt idx="221">
                  <c:v>4275</c:v>
                </c:pt>
                <c:pt idx="222">
                  <c:v>4275</c:v>
                </c:pt>
                <c:pt idx="223">
                  <c:v>4275</c:v>
                </c:pt>
                <c:pt idx="224">
                  <c:v>4321</c:v>
                </c:pt>
                <c:pt idx="225">
                  <c:v>4321</c:v>
                </c:pt>
                <c:pt idx="226">
                  <c:v>4321</c:v>
                </c:pt>
                <c:pt idx="227">
                  <c:v>4321</c:v>
                </c:pt>
                <c:pt idx="228">
                  <c:v>4321</c:v>
                </c:pt>
                <c:pt idx="229">
                  <c:v>4321</c:v>
                </c:pt>
                <c:pt idx="230">
                  <c:v>4321</c:v>
                </c:pt>
                <c:pt idx="231">
                  <c:v>4321</c:v>
                </c:pt>
                <c:pt idx="232">
                  <c:v>4321</c:v>
                </c:pt>
                <c:pt idx="233">
                  <c:v>4321</c:v>
                </c:pt>
                <c:pt idx="234">
                  <c:v>4321</c:v>
                </c:pt>
                <c:pt idx="235">
                  <c:v>4321</c:v>
                </c:pt>
                <c:pt idx="236">
                  <c:v>4321</c:v>
                </c:pt>
                <c:pt idx="237">
                  <c:v>4321</c:v>
                </c:pt>
                <c:pt idx="238">
                  <c:v>4356</c:v>
                </c:pt>
                <c:pt idx="239">
                  <c:v>4376</c:v>
                </c:pt>
                <c:pt idx="240">
                  <c:v>4435</c:v>
                </c:pt>
                <c:pt idx="241">
                  <c:v>4435</c:v>
                </c:pt>
                <c:pt idx="242">
                  <c:v>4435</c:v>
                </c:pt>
                <c:pt idx="243">
                  <c:v>4435</c:v>
                </c:pt>
                <c:pt idx="244">
                  <c:v>4562</c:v>
                </c:pt>
                <c:pt idx="245">
                  <c:v>4584</c:v>
                </c:pt>
                <c:pt idx="246">
                  <c:v>4654</c:v>
                </c:pt>
                <c:pt idx="247">
                  <c:v>4716</c:v>
                </c:pt>
                <c:pt idx="248">
                  <c:v>4723</c:v>
                </c:pt>
                <c:pt idx="249">
                  <c:v>4730</c:v>
                </c:pt>
                <c:pt idx="250">
                  <c:v>4731</c:v>
                </c:pt>
                <c:pt idx="251">
                  <c:v>4731</c:v>
                </c:pt>
                <c:pt idx="252">
                  <c:v>4731</c:v>
                </c:pt>
                <c:pt idx="253">
                  <c:v>4731</c:v>
                </c:pt>
                <c:pt idx="254">
                  <c:v>4731</c:v>
                </c:pt>
                <c:pt idx="255">
                  <c:v>4731</c:v>
                </c:pt>
                <c:pt idx="256">
                  <c:v>4731</c:v>
                </c:pt>
                <c:pt idx="257">
                  <c:v>4792</c:v>
                </c:pt>
                <c:pt idx="258">
                  <c:v>4800</c:v>
                </c:pt>
                <c:pt idx="259">
                  <c:v>4819</c:v>
                </c:pt>
                <c:pt idx="260">
                  <c:v>4871</c:v>
                </c:pt>
                <c:pt idx="261">
                  <c:v>4871</c:v>
                </c:pt>
                <c:pt idx="262">
                  <c:v>4871</c:v>
                </c:pt>
                <c:pt idx="263">
                  <c:v>4871</c:v>
                </c:pt>
                <c:pt idx="264">
                  <c:v>4871</c:v>
                </c:pt>
                <c:pt idx="265">
                  <c:v>4871</c:v>
                </c:pt>
                <c:pt idx="266">
                  <c:v>4931</c:v>
                </c:pt>
                <c:pt idx="267">
                  <c:v>4941</c:v>
                </c:pt>
                <c:pt idx="268">
                  <c:v>4989</c:v>
                </c:pt>
                <c:pt idx="269">
                  <c:v>4989</c:v>
                </c:pt>
                <c:pt idx="270">
                  <c:v>4989</c:v>
                </c:pt>
                <c:pt idx="271">
                  <c:v>4989</c:v>
                </c:pt>
                <c:pt idx="272">
                  <c:v>4989</c:v>
                </c:pt>
                <c:pt idx="273">
                  <c:v>4989</c:v>
                </c:pt>
                <c:pt idx="274">
                  <c:v>4989</c:v>
                </c:pt>
                <c:pt idx="275">
                  <c:v>5063</c:v>
                </c:pt>
                <c:pt idx="276">
                  <c:v>5211</c:v>
                </c:pt>
                <c:pt idx="277">
                  <c:v>5215</c:v>
                </c:pt>
                <c:pt idx="278">
                  <c:v>5239</c:v>
                </c:pt>
                <c:pt idx="279">
                  <c:v>5308</c:v>
                </c:pt>
                <c:pt idx="280">
                  <c:v>5325</c:v>
                </c:pt>
                <c:pt idx="281">
                  <c:v>5352</c:v>
                </c:pt>
                <c:pt idx="282">
                  <c:v>5403</c:v>
                </c:pt>
                <c:pt idx="283">
                  <c:v>5403</c:v>
                </c:pt>
                <c:pt idx="284">
                  <c:v>5440</c:v>
                </c:pt>
                <c:pt idx="285">
                  <c:v>5440</c:v>
                </c:pt>
                <c:pt idx="286">
                  <c:v>5518</c:v>
                </c:pt>
                <c:pt idx="287">
                  <c:v>5519</c:v>
                </c:pt>
                <c:pt idx="288">
                  <c:v>5519</c:v>
                </c:pt>
                <c:pt idx="289">
                  <c:v>5519</c:v>
                </c:pt>
                <c:pt idx="290">
                  <c:v>5519</c:v>
                </c:pt>
                <c:pt idx="291">
                  <c:v>5519</c:v>
                </c:pt>
                <c:pt idx="292">
                  <c:v>5519</c:v>
                </c:pt>
                <c:pt idx="293">
                  <c:v>5519</c:v>
                </c:pt>
                <c:pt idx="294">
                  <c:v>5519</c:v>
                </c:pt>
                <c:pt idx="295">
                  <c:v>5519</c:v>
                </c:pt>
                <c:pt idx="296">
                  <c:v>5519</c:v>
                </c:pt>
                <c:pt idx="297">
                  <c:v>5519</c:v>
                </c:pt>
                <c:pt idx="298">
                  <c:v>5519</c:v>
                </c:pt>
                <c:pt idx="299">
                  <c:v>5519</c:v>
                </c:pt>
                <c:pt idx="300">
                  <c:v>5519</c:v>
                </c:pt>
                <c:pt idx="301">
                  <c:v>5519</c:v>
                </c:pt>
                <c:pt idx="302">
                  <c:v>5519</c:v>
                </c:pt>
                <c:pt idx="303">
                  <c:v>5519</c:v>
                </c:pt>
                <c:pt idx="304">
                  <c:v>5519</c:v>
                </c:pt>
                <c:pt idx="305">
                  <c:v>5519</c:v>
                </c:pt>
                <c:pt idx="306">
                  <c:v>5519</c:v>
                </c:pt>
                <c:pt idx="307">
                  <c:v>5519</c:v>
                </c:pt>
                <c:pt idx="308">
                  <c:v>5540</c:v>
                </c:pt>
                <c:pt idx="309">
                  <c:v>5550</c:v>
                </c:pt>
                <c:pt idx="310">
                  <c:v>5592</c:v>
                </c:pt>
                <c:pt idx="311">
                  <c:v>5592</c:v>
                </c:pt>
                <c:pt idx="312">
                  <c:v>5688</c:v>
                </c:pt>
                <c:pt idx="313">
                  <c:v>5781</c:v>
                </c:pt>
                <c:pt idx="314">
                  <c:v>5793</c:v>
                </c:pt>
                <c:pt idx="315">
                  <c:v>5793</c:v>
                </c:pt>
                <c:pt idx="316">
                  <c:v>5793</c:v>
                </c:pt>
                <c:pt idx="317">
                  <c:v>5800</c:v>
                </c:pt>
                <c:pt idx="318">
                  <c:v>5800</c:v>
                </c:pt>
                <c:pt idx="319">
                  <c:v>5800</c:v>
                </c:pt>
                <c:pt idx="320">
                  <c:v>5800</c:v>
                </c:pt>
                <c:pt idx="321">
                  <c:v>5800</c:v>
                </c:pt>
                <c:pt idx="322">
                  <c:v>5800</c:v>
                </c:pt>
                <c:pt idx="323">
                  <c:v>5800</c:v>
                </c:pt>
                <c:pt idx="324">
                  <c:v>5800</c:v>
                </c:pt>
                <c:pt idx="325">
                  <c:v>5800</c:v>
                </c:pt>
                <c:pt idx="326">
                  <c:v>5800</c:v>
                </c:pt>
                <c:pt idx="327">
                  <c:v>5800</c:v>
                </c:pt>
                <c:pt idx="328">
                  <c:v>5800</c:v>
                </c:pt>
                <c:pt idx="329">
                  <c:v>5800</c:v>
                </c:pt>
                <c:pt idx="330">
                  <c:v>5800</c:v>
                </c:pt>
                <c:pt idx="331">
                  <c:v>5800</c:v>
                </c:pt>
                <c:pt idx="332">
                  <c:v>5800</c:v>
                </c:pt>
                <c:pt idx="333">
                  <c:v>5800</c:v>
                </c:pt>
                <c:pt idx="334">
                  <c:v>5800</c:v>
                </c:pt>
                <c:pt idx="335">
                  <c:v>5800</c:v>
                </c:pt>
                <c:pt idx="336">
                  <c:v>5800</c:v>
                </c:pt>
                <c:pt idx="337">
                  <c:v>5800</c:v>
                </c:pt>
                <c:pt idx="338">
                  <c:v>5800</c:v>
                </c:pt>
                <c:pt idx="339">
                  <c:v>5800</c:v>
                </c:pt>
                <c:pt idx="340">
                  <c:v>5800</c:v>
                </c:pt>
                <c:pt idx="341">
                  <c:v>5800</c:v>
                </c:pt>
                <c:pt idx="342">
                  <c:v>5800</c:v>
                </c:pt>
                <c:pt idx="343">
                  <c:v>5800</c:v>
                </c:pt>
                <c:pt idx="344">
                  <c:v>5800</c:v>
                </c:pt>
                <c:pt idx="345">
                  <c:v>5800</c:v>
                </c:pt>
                <c:pt idx="346">
                  <c:v>5800</c:v>
                </c:pt>
                <c:pt idx="347">
                  <c:v>5800</c:v>
                </c:pt>
                <c:pt idx="348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3-4708-BC96-D16F5235A874}"/>
            </c:ext>
          </c:extLst>
        </c:ser>
        <c:ser>
          <c:idx val="2"/>
          <c:order val="2"/>
          <c:tx>
            <c:strRef>
              <c:f>'Pages+'!$AT$1:$AU$1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'Pages+'!$AL$2:$AL$367</c:f>
              <c:strCache>
                <c:ptCount val="336"/>
                <c:pt idx="0">
                  <c:v>January</c:v>
                </c:pt>
                <c:pt idx="31">
                  <c:v>February</c:v>
                </c:pt>
                <c:pt idx="60">
                  <c:v>March</c:v>
                </c:pt>
                <c:pt idx="91">
                  <c:v>April</c:v>
                </c:pt>
                <c:pt idx="121">
                  <c:v>May</c:v>
                </c:pt>
                <c:pt idx="152">
                  <c:v>June</c:v>
                </c:pt>
                <c:pt idx="182">
                  <c:v>July</c:v>
                </c:pt>
                <c:pt idx="213">
                  <c:v>August</c:v>
                </c:pt>
                <c:pt idx="244">
                  <c:v>September</c:v>
                </c:pt>
                <c:pt idx="274">
                  <c:v>October</c:v>
                </c:pt>
                <c:pt idx="305">
                  <c:v>November</c:v>
                </c:pt>
                <c:pt idx="335">
                  <c:v>December</c:v>
                </c:pt>
              </c:strCache>
            </c:strRef>
          </c:cat>
          <c:val>
            <c:numRef>
              <c:f>'Pages+'!$AU$2:$AU$367</c:f>
              <c:numCache>
                <c:formatCode>General</c:formatCode>
                <c:ptCount val="366"/>
                <c:pt idx="8">
                  <c:v>0</c:v>
                </c:pt>
                <c:pt idx="9">
                  <c:v>30</c:v>
                </c:pt>
                <c:pt idx="10">
                  <c:v>53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107</c:v>
                </c:pt>
                <c:pt idx="23">
                  <c:v>122</c:v>
                </c:pt>
                <c:pt idx="24">
                  <c:v>122</c:v>
                </c:pt>
                <c:pt idx="25">
                  <c:v>156</c:v>
                </c:pt>
                <c:pt idx="26">
                  <c:v>156</c:v>
                </c:pt>
                <c:pt idx="27">
                  <c:v>156</c:v>
                </c:pt>
                <c:pt idx="28">
                  <c:v>156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156</c:v>
                </c:pt>
                <c:pt idx="33">
                  <c:v>156</c:v>
                </c:pt>
                <c:pt idx="34">
                  <c:v>156</c:v>
                </c:pt>
                <c:pt idx="35">
                  <c:v>156</c:v>
                </c:pt>
                <c:pt idx="36">
                  <c:v>156</c:v>
                </c:pt>
                <c:pt idx="37">
                  <c:v>189</c:v>
                </c:pt>
                <c:pt idx="38">
                  <c:v>277</c:v>
                </c:pt>
                <c:pt idx="39">
                  <c:v>277</c:v>
                </c:pt>
                <c:pt idx="40">
                  <c:v>315</c:v>
                </c:pt>
                <c:pt idx="41">
                  <c:v>315</c:v>
                </c:pt>
                <c:pt idx="42">
                  <c:v>349</c:v>
                </c:pt>
                <c:pt idx="43">
                  <c:v>349</c:v>
                </c:pt>
                <c:pt idx="44">
                  <c:v>349</c:v>
                </c:pt>
                <c:pt idx="45">
                  <c:v>478</c:v>
                </c:pt>
                <c:pt idx="46">
                  <c:v>478</c:v>
                </c:pt>
                <c:pt idx="47">
                  <c:v>478</c:v>
                </c:pt>
                <c:pt idx="48">
                  <c:v>497</c:v>
                </c:pt>
                <c:pt idx="49">
                  <c:v>522</c:v>
                </c:pt>
                <c:pt idx="50">
                  <c:v>545</c:v>
                </c:pt>
                <c:pt idx="51">
                  <c:v>545</c:v>
                </c:pt>
                <c:pt idx="52">
                  <c:v>617</c:v>
                </c:pt>
                <c:pt idx="53">
                  <c:v>663</c:v>
                </c:pt>
                <c:pt idx="54">
                  <c:v>675</c:v>
                </c:pt>
                <c:pt idx="55">
                  <c:v>675</c:v>
                </c:pt>
                <c:pt idx="56">
                  <c:v>675</c:v>
                </c:pt>
                <c:pt idx="57">
                  <c:v>675</c:v>
                </c:pt>
                <c:pt idx="58">
                  <c:v>675</c:v>
                </c:pt>
                <c:pt idx="59">
                  <c:v>675</c:v>
                </c:pt>
                <c:pt idx="60">
                  <c:v>675</c:v>
                </c:pt>
                <c:pt idx="61">
                  <c:v>782</c:v>
                </c:pt>
                <c:pt idx="62">
                  <c:v>782</c:v>
                </c:pt>
                <c:pt idx="63">
                  <c:v>782</c:v>
                </c:pt>
                <c:pt idx="64">
                  <c:v>782</c:v>
                </c:pt>
                <c:pt idx="65">
                  <c:v>782</c:v>
                </c:pt>
                <c:pt idx="66">
                  <c:v>782</c:v>
                </c:pt>
                <c:pt idx="67">
                  <c:v>782</c:v>
                </c:pt>
                <c:pt idx="68">
                  <c:v>782</c:v>
                </c:pt>
                <c:pt idx="69">
                  <c:v>782</c:v>
                </c:pt>
                <c:pt idx="70">
                  <c:v>782</c:v>
                </c:pt>
                <c:pt idx="71">
                  <c:v>782</c:v>
                </c:pt>
                <c:pt idx="72">
                  <c:v>782</c:v>
                </c:pt>
                <c:pt idx="73">
                  <c:v>782</c:v>
                </c:pt>
                <c:pt idx="74">
                  <c:v>782</c:v>
                </c:pt>
                <c:pt idx="75">
                  <c:v>782</c:v>
                </c:pt>
                <c:pt idx="76">
                  <c:v>782</c:v>
                </c:pt>
                <c:pt idx="77">
                  <c:v>782</c:v>
                </c:pt>
                <c:pt idx="78">
                  <c:v>782</c:v>
                </c:pt>
                <c:pt idx="79">
                  <c:v>782</c:v>
                </c:pt>
                <c:pt idx="80">
                  <c:v>782</c:v>
                </c:pt>
                <c:pt idx="81">
                  <c:v>782</c:v>
                </c:pt>
                <c:pt idx="82">
                  <c:v>782</c:v>
                </c:pt>
                <c:pt idx="83">
                  <c:v>782</c:v>
                </c:pt>
                <c:pt idx="84">
                  <c:v>782</c:v>
                </c:pt>
                <c:pt idx="85">
                  <c:v>782</c:v>
                </c:pt>
                <c:pt idx="86">
                  <c:v>782</c:v>
                </c:pt>
                <c:pt idx="87">
                  <c:v>782</c:v>
                </c:pt>
                <c:pt idx="88">
                  <c:v>782</c:v>
                </c:pt>
                <c:pt idx="89">
                  <c:v>782</c:v>
                </c:pt>
                <c:pt idx="90">
                  <c:v>782</c:v>
                </c:pt>
                <c:pt idx="91">
                  <c:v>782</c:v>
                </c:pt>
                <c:pt idx="92">
                  <c:v>782</c:v>
                </c:pt>
                <c:pt idx="93">
                  <c:v>782</c:v>
                </c:pt>
                <c:pt idx="94">
                  <c:v>782</c:v>
                </c:pt>
                <c:pt idx="95">
                  <c:v>782</c:v>
                </c:pt>
                <c:pt idx="96">
                  <c:v>782</c:v>
                </c:pt>
                <c:pt idx="97">
                  <c:v>782</c:v>
                </c:pt>
                <c:pt idx="98">
                  <c:v>782</c:v>
                </c:pt>
                <c:pt idx="99">
                  <c:v>782</c:v>
                </c:pt>
                <c:pt idx="100">
                  <c:v>782</c:v>
                </c:pt>
                <c:pt idx="101">
                  <c:v>782</c:v>
                </c:pt>
                <c:pt idx="102">
                  <c:v>782</c:v>
                </c:pt>
                <c:pt idx="103">
                  <c:v>782</c:v>
                </c:pt>
                <c:pt idx="104">
                  <c:v>782</c:v>
                </c:pt>
                <c:pt idx="105">
                  <c:v>782</c:v>
                </c:pt>
                <c:pt idx="106">
                  <c:v>782</c:v>
                </c:pt>
                <c:pt idx="107">
                  <c:v>782</c:v>
                </c:pt>
                <c:pt idx="108">
                  <c:v>782</c:v>
                </c:pt>
                <c:pt idx="109">
                  <c:v>782</c:v>
                </c:pt>
                <c:pt idx="110">
                  <c:v>782</c:v>
                </c:pt>
                <c:pt idx="111">
                  <c:v>782</c:v>
                </c:pt>
                <c:pt idx="112">
                  <c:v>782</c:v>
                </c:pt>
                <c:pt idx="113">
                  <c:v>782</c:v>
                </c:pt>
                <c:pt idx="114">
                  <c:v>782</c:v>
                </c:pt>
                <c:pt idx="115">
                  <c:v>782</c:v>
                </c:pt>
                <c:pt idx="116">
                  <c:v>782</c:v>
                </c:pt>
                <c:pt idx="117">
                  <c:v>782</c:v>
                </c:pt>
                <c:pt idx="118">
                  <c:v>782</c:v>
                </c:pt>
                <c:pt idx="119">
                  <c:v>782</c:v>
                </c:pt>
                <c:pt idx="120">
                  <c:v>782</c:v>
                </c:pt>
                <c:pt idx="121">
                  <c:v>782</c:v>
                </c:pt>
                <c:pt idx="122">
                  <c:v>782</c:v>
                </c:pt>
                <c:pt idx="123">
                  <c:v>782</c:v>
                </c:pt>
                <c:pt idx="124">
                  <c:v>782</c:v>
                </c:pt>
                <c:pt idx="125">
                  <c:v>782</c:v>
                </c:pt>
                <c:pt idx="126">
                  <c:v>782</c:v>
                </c:pt>
                <c:pt idx="127">
                  <c:v>782</c:v>
                </c:pt>
                <c:pt idx="128">
                  <c:v>782</c:v>
                </c:pt>
                <c:pt idx="129">
                  <c:v>782</c:v>
                </c:pt>
                <c:pt idx="130">
                  <c:v>782</c:v>
                </c:pt>
                <c:pt idx="131">
                  <c:v>782</c:v>
                </c:pt>
                <c:pt idx="132">
                  <c:v>782</c:v>
                </c:pt>
                <c:pt idx="133">
                  <c:v>782</c:v>
                </c:pt>
                <c:pt idx="134">
                  <c:v>827</c:v>
                </c:pt>
                <c:pt idx="135">
                  <c:v>827</c:v>
                </c:pt>
                <c:pt idx="136">
                  <c:v>827</c:v>
                </c:pt>
                <c:pt idx="137">
                  <c:v>827</c:v>
                </c:pt>
                <c:pt idx="138">
                  <c:v>827</c:v>
                </c:pt>
                <c:pt idx="139">
                  <c:v>827</c:v>
                </c:pt>
                <c:pt idx="140">
                  <c:v>827</c:v>
                </c:pt>
                <c:pt idx="141">
                  <c:v>827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827</c:v>
                </c:pt>
                <c:pt idx="151">
                  <c:v>827</c:v>
                </c:pt>
                <c:pt idx="152">
                  <c:v>827</c:v>
                </c:pt>
                <c:pt idx="153">
                  <c:v>827</c:v>
                </c:pt>
                <c:pt idx="154">
                  <c:v>827</c:v>
                </c:pt>
                <c:pt idx="155">
                  <c:v>827</c:v>
                </c:pt>
                <c:pt idx="156">
                  <c:v>827</c:v>
                </c:pt>
                <c:pt idx="157">
                  <c:v>827</c:v>
                </c:pt>
                <c:pt idx="158">
                  <c:v>827</c:v>
                </c:pt>
                <c:pt idx="159">
                  <c:v>827</c:v>
                </c:pt>
                <c:pt idx="160">
                  <c:v>827</c:v>
                </c:pt>
                <c:pt idx="161">
                  <c:v>827</c:v>
                </c:pt>
                <c:pt idx="162">
                  <c:v>831</c:v>
                </c:pt>
                <c:pt idx="163">
                  <c:v>831</c:v>
                </c:pt>
                <c:pt idx="164">
                  <c:v>831</c:v>
                </c:pt>
                <c:pt idx="165">
                  <c:v>831</c:v>
                </c:pt>
                <c:pt idx="166">
                  <c:v>831</c:v>
                </c:pt>
                <c:pt idx="167">
                  <c:v>831</c:v>
                </c:pt>
                <c:pt idx="168">
                  <c:v>831</c:v>
                </c:pt>
                <c:pt idx="169">
                  <c:v>831</c:v>
                </c:pt>
                <c:pt idx="170">
                  <c:v>831</c:v>
                </c:pt>
                <c:pt idx="171">
                  <c:v>831</c:v>
                </c:pt>
                <c:pt idx="172">
                  <c:v>831</c:v>
                </c:pt>
                <c:pt idx="173">
                  <c:v>831</c:v>
                </c:pt>
                <c:pt idx="174">
                  <c:v>831</c:v>
                </c:pt>
                <c:pt idx="175">
                  <c:v>831</c:v>
                </c:pt>
                <c:pt idx="176">
                  <c:v>831</c:v>
                </c:pt>
                <c:pt idx="177">
                  <c:v>831</c:v>
                </c:pt>
                <c:pt idx="178">
                  <c:v>831</c:v>
                </c:pt>
                <c:pt idx="179">
                  <c:v>831</c:v>
                </c:pt>
                <c:pt idx="180">
                  <c:v>831</c:v>
                </c:pt>
                <c:pt idx="181">
                  <c:v>831</c:v>
                </c:pt>
                <c:pt idx="182">
                  <c:v>831</c:v>
                </c:pt>
                <c:pt idx="183">
                  <c:v>831</c:v>
                </c:pt>
                <c:pt idx="184">
                  <c:v>831</c:v>
                </c:pt>
                <c:pt idx="185">
                  <c:v>831</c:v>
                </c:pt>
                <c:pt idx="186">
                  <c:v>831</c:v>
                </c:pt>
                <c:pt idx="187">
                  <c:v>831</c:v>
                </c:pt>
                <c:pt idx="188">
                  <c:v>831</c:v>
                </c:pt>
                <c:pt idx="189">
                  <c:v>831</c:v>
                </c:pt>
                <c:pt idx="190">
                  <c:v>831</c:v>
                </c:pt>
                <c:pt idx="191">
                  <c:v>831</c:v>
                </c:pt>
                <c:pt idx="192">
                  <c:v>831</c:v>
                </c:pt>
                <c:pt idx="193">
                  <c:v>831</c:v>
                </c:pt>
                <c:pt idx="194">
                  <c:v>831</c:v>
                </c:pt>
                <c:pt idx="195">
                  <c:v>831</c:v>
                </c:pt>
                <c:pt idx="196">
                  <c:v>831</c:v>
                </c:pt>
                <c:pt idx="197">
                  <c:v>831</c:v>
                </c:pt>
                <c:pt idx="198">
                  <c:v>831</c:v>
                </c:pt>
                <c:pt idx="199">
                  <c:v>831</c:v>
                </c:pt>
                <c:pt idx="200">
                  <c:v>831</c:v>
                </c:pt>
                <c:pt idx="201">
                  <c:v>831</c:v>
                </c:pt>
                <c:pt idx="202">
                  <c:v>831</c:v>
                </c:pt>
                <c:pt idx="203">
                  <c:v>831</c:v>
                </c:pt>
                <c:pt idx="204">
                  <c:v>831</c:v>
                </c:pt>
                <c:pt idx="205">
                  <c:v>831</c:v>
                </c:pt>
                <c:pt idx="206">
                  <c:v>831</c:v>
                </c:pt>
                <c:pt idx="207">
                  <c:v>831</c:v>
                </c:pt>
                <c:pt idx="208">
                  <c:v>831</c:v>
                </c:pt>
                <c:pt idx="209">
                  <c:v>831</c:v>
                </c:pt>
                <c:pt idx="210">
                  <c:v>831</c:v>
                </c:pt>
                <c:pt idx="211">
                  <c:v>831</c:v>
                </c:pt>
                <c:pt idx="212">
                  <c:v>831</c:v>
                </c:pt>
                <c:pt idx="213">
                  <c:v>831</c:v>
                </c:pt>
                <c:pt idx="214">
                  <c:v>831</c:v>
                </c:pt>
                <c:pt idx="215">
                  <c:v>831</c:v>
                </c:pt>
                <c:pt idx="216">
                  <c:v>831</c:v>
                </c:pt>
                <c:pt idx="217">
                  <c:v>831</c:v>
                </c:pt>
                <c:pt idx="218">
                  <c:v>831</c:v>
                </c:pt>
                <c:pt idx="219">
                  <c:v>831</c:v>
                </c:pt>
                <c:pt idx="220">
                  <c:v>831</c:v>
                </c:pt>
                <c:pt idx="221">
                  <c:v>831</c:v>
                </c:pt>
                <c:pt idx="222">
                  <c:v>831</c:v>
                </c:pt>
                <c:pt idx="223">
                  <c:v>831</c:v>
                </c:pt>
                <c:pt idx="224">
                  <c:v>831</c:v>
                </c:pt>
                <c:pt idx="225">
                  <c:v>831</c:v>
                </c:pt>
                <c:pt idx="226">
                  <c:v>831</c:v>
                </c:pt>
                <c:pt idx="227">
                  <c:v>831</c:v>
                </c:pt>
                <c:pt idx="228">
                  <c:v>868</c:v>
                </c:pt>
                <c:pt idx="229">
                  <c:v>868</c:v>
                </c:pt>
                <c:pt idx="230">
                  <c:v>868</c:v>
                </c:pt>
                <c:pt idx="231">
                  <c:v>868</c:v>
                </c:pt>
                <c:pt idx="232">
                  <c:v>868</c:v>
                </c:pt>
                <c:pt idx="233">
                  <c:v>911</c:v>
                </c:pt>
                <c:pt idx="234">
                  <c:v>911</c:v>
                </c:pt>
                <c:pt idx="235">
                  <c:v>936</c:v>
                </c:pt>
                <c:pt idx="236">
                  <c:v>936</c:v>
                </c:pt>
                <c:pt idx="237">
                  <c:v>936</c:v>
                </c:pt>
                <c:pt idx="238">
                  <c:v>936</c:v>
                </c:pt>
                <c:pt idx="239">
                  <c:v>936</c:v>
                </c:pt>
                <c:pt idx="240">
                  <c:v>979</c:v>
                </c:pt>
                <c:pt idx="241">
                  <c:v>979</c:v>
                </c:pt>
                <c:pt idx="242">
                  <c:v>1009</c:v>
                </c:pt>
                <c:pt idx="243">
                  <c:v>1134</c:v>
                </c:pt>
                <c:pt idx="244">
                  <c:v>1134</c:v>
                </c:pt>
                <c:pt idx="245">
                  <c:v>1134</c:v>
                </c:pt>
                <c:pt idx="246">
                  <c:v>1134</c:v>
                </c:pt>
                <c:pt idx="247">
                  <c:v>1134</c:v>
                </c:pt>
                <c:pt idx="248">
                  <c:v>1134</c:v>
                </c:pt>
                <c:pt idx="249">
                  <c:v>1134</c:v>
                </c:pt>
                <c:pt idx="250">
                  <c:v>1134</c:v>
                </c:pt>
                <c:pt idx="251">
                  <c:v>1134</c:v>
                </c:pt>
                <c:pt idx="252">
                  <c:v>1134</c:v>
                </c:pt>
                <c:pt idx="253">
                  <c:v>1134</c:v>
                </c:pt>
                <c:pt idx="254">
                  <c:v>1134</c:v>
                </c:pt>
                <c:pt idx="255">
                  <c:v>1134</c:v>
                </c:pt>
                <c:pt idx="256">
                  <c:v>1134</c:v>
                </c:pt>
                <c:pt idx="257">
                  <c:v>1134</c:v>
                </c:pt>
                <c:pt idx="258">
                  <c:v>1134</c:v>
                </c:pt>
                <c:pt idx="259">
                  <c:v>1134</c:v>
                </c:pt>
                <c:pt idx="260">
                  <c:v>1134</c:v>
                </c:pt>
                <c:pt idx="261">
                  <c:v>1134</c:v>
                </c:pt>
                <c:pt idx="262">
                  <c:v>1134</c:v>
                </c:pt>
                <c:pt idx="263">
                  <c:v>1134</c:v>
                </c:pt>
                <c:pt idx="264">
                  <c:v>1134</c:v>
                </c:pt>
                <c:pt idx="265">
                  <c:v>1134</c:v>
                </c:pt>
                <c:pt idx="266">
                  <c:v>1199</c:v>
                </c:pt>
                <c:pt idx="267">
                  <c:v>1285</c:v>
                </c:pt>
                <c:pt idx="268">
                  <c:v>1322</c:v>
                </c:pt>
                <c:pt idx="269">
                  <c:v>1343</c:v>
                </c:pt>
                <c:pt idx="270">
                  <c:v>1343</c:v>
                </c:pt>
                <c:pt idx="271">
                  <c:v>1343</c:v>
                </c:pt>
                <c:pt idx="272">
                  <c:v>1377</c:v>
                </c:pt>
                <c:pt idx="273">
                  <c:v>1377</c:v>
                </c:pt>
                <c:pt idx="274">
                  <c:v>1377</c:v>
                </c:pt>
                <c:pt idx="275">
                  <c:v>1377</c:v>
                </c:pt>
                <c:pt idx="276">
                  <c:v>1377</c:v>
                </c:pt>
                <c:pt idx="277">
                  <c:v>1377</c:v>
                </c:pt>
                <c:pt idx="278">
                  <c:v>1377</c:v>
                </c:pt>
                <c:pt idx="279">
                  <c:v>1377</c:v>
                </c:pt>
                <c:pt idx="280">
                  <c:v>1377</c:v>
                </c:pt>
                <c:pt idx="281">
                  <c:v>1377</c:v>
                </c:pt>
                <c:pt idx="282">
                  <c:v>1377</c:v>
                </c:pt>
                <c:pt idx="283">
                  <c:v>1377</c:v>
                </c:pt>
                <c:pt idx="284">
                  <c:v>1377</c:v>
                </c:pt>
                <c:pt idx="285">
                  <c:v>1377</c:v>
                </c:pt>
                <c:pt idx="286">
                  <c:v>1377</c:v>
                </c:pt>
                <c:pt idx="287">
                  <c:v>1377</c:v>
                </c:pt>
                <c:pt idx="288">
                  <c:v>1377</c:v>
                </c:pt>
                <c:pt idx="289">
                  <c:v>1377</c:v>
                </c:pt>
                <c:pt idx="290">
                  <c:v>1377</c:v>
                </c:pt>
                <c:pt idx="291">
                  <c:v>1377</c:v>
                </c:pt>
                <c:pt idx="292">
                  <c:v>1377</c:v>
                </c:pt>
                <c:pt idx="293">
                  <c:v>1377</c:v>
                </c:pt>
                <c:pt idx="294">
                  <c:v>1377</c:v>
                </c:pt>
                <c:pt idx="295">
                  <c:v>1377</c:v>
                </c:pt>
                <c:pt idx="296">
                  <c:v>1377</c:v>
                </c:pt>
                <c:pt idx="297">
                  <c:v>1377</c:v>
                </c:pt>
                <c:pt idx="298">
                  <c:v>1377</c:v>
                </c:pt>
                <c:pt idx="299">
                  <c:v>1377</c:v>
                </c:pt>
                <c:pt idx="300">
                  <c:v>1377</c:v>
                </c:pt>
                <c:pt idx="301">
                  <c:v>1377</c:v>
                </c:pt>
                <c:pt idx="302">
                  <c:v>1377</c:v>
                </c:pt>
                <c:pt idx="303">
                  <c:v>1377</c:v>
                </c:pt>
                <c:pt idx="304">
                  <c:v>1377</c:v>
                </c:pt>
                <c:pt idx="305">
                  <c:v>1377</c:v>
                </c:pt>
                <c:pt idx="306">
                  <c:v>1377</c:v>
                </c:pt>
                <c:pt idx="307">
                  <c:v>1377</c:v>
                </c:pt>
                <c:pt idx="308">
                  <c:v>1377</c:v>
                </c:pt>
                <c:pt idx="309">
                  <c:v>1377</c:v>
                </c:pt>
                <c:pt idx="310">
                  <c:v>1377</c:v>
                </c:pt>
                <c:pt idx="311">
                  <c:v>1377</c:v>
                </c:pt>
                <c:pt idx="312">
                  <c:v>1377</c:v>
                </c:pt>
                <c:pt idx="313">
                  <c:v>1377</c:v>
                </c:pt>
                <c:pt idx="314">
                  <c:v>1377</c:v>
                </c:pt>
                <c:pt idx="315">
                  <c:v>1377</c:v>
                </c:pt>
                <c:pt idx="316">
                  <c:v>1377</c:v>
                </c:pt>
                <c:pt idx="317">
                  <c:v>1377</c:v>
                </c:pt>
                <c:pt idx="318">
                  <c:v>1377</c:v>
                </c:pt>
                <c:pt idx="319">
                  <c:v>1377</c:v>
                </c:pt>
                <c:pt idx="320">
                  <c:v>1377</c:v>
                </c:pt>
                <c:pt idx="321">
                  <c:v>1377</c:v>
                </c:pt>
                <c:pt idx="322">
                  <c:v>1377</c:v>
                </c:pt>
                <c:pt idx="323">
                  <c:v>1377</c:v>
                </c:pt>
                <c:pt idx="324">
                  <c:v>1377</c:v>
                </c:pt>
                <c:pt idx="325">
                  <c:v>1377</c:v>
                </c:pt>
                <c:pt idx="326">
                  <c:v>1377</c:v>
                </c:pt>
                <c:pt idx="327">
                  <c:v>1377</c:v>
                </c:pt>
                <c:pt idx="328">
                  <c:v>1377</c:v>
                </c:pt>
                <c:pt idx="329">
                  <c:v>1377</c:v>
                </c:pt>
                <c:pt idx="330">
                  <c:v>1377</c:v>
                </c:pt>
                <c:pt idx="331">
                  <c:v>1377</c:v>
                </c:pt>
                <c:pt idx="332">
                  <c:v>1377</c:v>
                </c:pt>
                <c:pt idx="333">
                  <c:v>1377</c:v>
                </c:pt>
                <c:pt idx="334">
                  <c:v>1377</c:v>
                </c:pt>
                <c:pt idx="335">
                  <c:v>1377</c:v>
                </c:pt>
                <c:pt idx="336">
                  <c:v>1377</c:v>
                </c:pt>
                <c:pt idx="337">
                  <c:v>1377</c:v>
                </c:pt>
                <c:pt idx="338">
                  <c:v>1377</c:v>
                </c:pt>
                <c:pt idx="339">
                  <c:v>1377</c:v>
                </c:pt>
                <c:pt idx="340">
                  <c:v>1377</c:v>
                </c:pt>
                <c:pt idx="341">
                  <c:v>1377</c:v>
                </c:pt>
                <c:pt idx="342">
                  <c:v>1377</c:v>
                </c:pt>
                <c:pt idx="343">
                  <c:v>1377</c:v>
                </c:pt>
                <c:pt idx="344">
                  <c:v>1377</c:v>
                </c:pt>
                <c:pt idx="345">
                  <c:v>1377</c:v>
                </c:pt>
                <c:pt idx="346">
                  <c:v>1377</c:v>
                </c:pt>
                <c:pt idx="347">
                  <c:v>1377</c:v>
                </c:pt>
                <c:pt idx="348">
                  <c:v>1377</c:v>
                </c:pt>
                <c:pt idx="349">
                  <c:v>1377</c:v>
                </c:pt>
                <c:pt idx="350">
                  <c:v>1377</c:v>
                </c:pt>
                <c:pt idx="351">
                  <c:v>1377</c:v>
                </c:pt>
                <c:pt idx="352">
                  <c:v>1377</c:v>
                </c:pt>
                <c:pt idx="353">
                  <c:v>1377</c:v>
                </c:pt>
                <c:pt idx="354">
                  <c:v>1377</c:v>
                </c:pt>
                <c:pt idx="355">
                  <c:v>1377</c:v>
                </c:pt>
                <c:pt idx="356">
                  <c:v>1377</c:v>
                </c:pt>
                <c:pt idx="357">
                  <c:v>1377</c:v>
                </c:pt>
                <c:pt idx="358">
                  <c:v>1377</c:v>
                </c:pt>
                <c:pt idx="359">
                  <c:v>1377</c:v>
                </c:pt>
                <c:pt idx="360">
                  <c:v>1377</c:v>
                </c:pt>
                <c:pt idx="361">
                  <c:v>1377</c:v>
                </c:pt>
                <c:pt idx="362">
                  <c:v>1377</c:v>
                </c:pt>
                <c:pt idx="363">
                  <c:v>1377</c:v>
                </c:pt>
                <c:pt idx="364">
                  <c:v>1377</c:v>
                </c:pt>
                <c:pt idx="365">
                  <c:v>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03-4708-BC96-D16F5235A874}"/>
            </c:ext>
          </c:extLst>
        </c:ser>
        <c:ser>
          <c:idx val="3"/>
          <c:order val="3"/>
          <c:tx>
            <c:strRef>
              <c:f>'Pages+'!$AV$1:$AW$1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'Pages+'!$AL$2:$AL$367</c:f>
              <c:strCache>
                <c:ptCount val="336"/>
                <c:pt idx="0">
                  <c:v>January</c:v>
                </c:pt>
                <c:pt idx="31">
                  <c:v>February</c:v>
                </c:pt>
                <c:pt idx="60">
                  <c:v>March</c:v>
                </c:pt>
                <c:pt idx="91">
                  <c:v>April</c:v>
                </c:pt>
                <c:pt idx="121">
                  <c:v>May</c:v>
                </c:pt>
                <c:pt idx="152">
                  <c:v>June</c:v>
                </c:pt>
                <c:pt idx="182">
                  <c:v>July</c:v>
                </c:pt>
                <c:pt idx="213">
                  <c:v>August</c:v>
                </c:pt>
                <c:pt idx="244">
                  <c:v>September</c:v>
                </c:pt>
                <c:pt idx="274">
                  <c:v>October</c:v>
                </c:pt>
                <c:pt idx="305">
                  <c:v>November</c:v>
                </c:pt>
                <c:pt idx="335">
                  <c:v>December</c:v>
                </c:pt>
              </c:strCache>
            </c:strRef>
          </c:cat>
          <c:val>
            <c:numRef>
              <c:f>'Pages+'!$AW$2:$AW$367</c:f>
              <c:numCache>
                <c:formatCode>General</c:formatCode>
                <c:ptCount val="366"/>
                <c:pt idx="3">
                  <c:v>0</c:v>
                </c:pt>
                <c:pt idx="4">
                  <c:v>47</c:v>
                </c:pt>
                <c:pt idx="5">
                  <c:v>141</c:v>
                </c:pt>
                <c:pt idx="6">
                  <c:v>156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174</c:v>
                </c:pt>
                <c:pt idx="12">
                  <c:v>186</c:v>
                </c:pt>
                <c:pt idx="13">
                  <c:v>341</c:v>
                </c:pt>
                <c:pt idx="14">
                  <c:v>341</c:v>
                </c:pt>
                <c:pt idx="15">
                  <c:v>341</c:v>
                </c:pt>
                <c:pt idx="16">
                  <c:v>341</c:v>
                </c:pt>
                <c:pt idx="17">
                  <c:v>341</c:v>
                </c:pt>
                <c:pt idx="18">
                  <c:v>341</c:v>
                </c:pt>
                <c:pt idx="19">
                  <c:v>341</c:v>
                </c:pt>
                <c:pt idx="20">
                  <c:v>341</c:v>
                </c:pt>
                <c:pt idx="21">
                  <c:v>341</c:v>
                </c:pt>
                <c:pt idx="22">
                  <c:v>341</c:v>
                </c:pt>
                <c:pt idx="23">
                  <c:v>341</c:v>
                </c:pt>
                <c:pt idx="24">
                  <c:v>341</c:v>
                </c:pt>
                <c:pt idx="25">
                  <c:v>341</c:v>
                </c:pt>
                <c:pt idx="26">
                  <c:v>341</c:v>
                </c:pt>
                <c:pt idx="27">
                  <c:v>341</c:v>
                </c:pt>
                <c:pt idx="28">
                  <c:v>341</c:v>
                </c:pt>
                <c:pt idx="29">
                  <c:v>341</c:v>
                </c:pt>
                <c:pt idx="30">
                  <c:v>341</c:v>
                </c:pt>
                <c:pt idx="31">
                  <c:v>341</c:v>
                </c:pt>
                <c:pt idx="32">
                  <c:v>341</c:v>
                </c:pt>
                <c:pt idx="33">
                  <c:v>341</c:v>
                </c:pt>
                <c:pt idx="34">
                  <c:v>341</c:v>
                </c:pt>
                <c:pt idx="35">
                  <c:v>341</c:v>
                </c:pt>
                <c:pt idx="36">
                  <c:v>341</c:v>
                </c:pt>
                <c:pt idx="37">
                  <c:v>341</c:v>
                </c:pt>
                <c:pt idx="38">
                  <c:v>341</c:v>
                </c:pt>
                <c:pt idx="39">
                  <c:v>341</c:v>
                </c:pt>
                <c:pt idx="40">
                  <c:v>341</c:v>
                </c:pt>
                <c:pt idx="41">
                  <c:v>341</c:v>
                </c:pt>
                <c:pt idx="42">
                  <c:v>341</c:v>
                </c:pt>
                <c:pt idx="43">
                  <c:v>341</c:v>
                </c:pt>
                <c:pt idx="44">
                  <c:v>341</c:v>
                </c:pt>
                <c:pt idx="45">
                  <c:v>341</c:v>
                </c:pt>
                <c:pt idx="46">
                  <c:v>341</c:v>
                </c:pt>
                <c:pt idx="47">
                  <c:v>341</c:v>
                </c:pt>
                <c:pt idx="48">
                  <c:v>341</c:v>
                </c:pt>
                <c:pt idx="49">
                  <c:v>341</c:v>
                </c:pt>
                <c:pt idx="50">
                  <c:v>341</c:v>
                </c:pt>
                <c:pt idx="51">
                  <c:v>341</c:v>
                </c:pt>
                <c:pt idx="52">
                  <c:v>341</c:v>
                </c:pt>
                <c:pt idx="53">
                  <c:v>341</c:v>
                </c:pt>
                <c:pt idx="54">
                  <c:v>341</c:v>
                </c:pt>
                <c:pt idx="55">
                  <c:v>341</c:v>
                </c:pt>
                <c:pt idx="56">
                  <c:v>341</c:v>
                </c:pt>
                <c:pt idx="57">
                  <c:v>341</c:v>
                </c:pt>
                <c:pt idx="58">
                  <c:v>341</c:v>
                </c:pt>
                <c:pt idx="59">
                  <c:v>341</c:v>
                </c:pt>
                <c:pt idx="60">
                  <c:v>341</c:v>
                </c:pt>
                <c:pt idx="61">
                  <c:v>341</c:v>
                </c:pt>
                <c:pt idx="62">
                  <c:v>341</c:v>
                </c:pt>
                <c:pt idx="63">
                  <c:v>341</c:v>
                </c:pt>
                <c:pt idx="64">
                  <c:v>341</c:v>
                </c:pt>
                <c:pt idx="65">
                  <c:v>341</c:v>
                </c:pt>
                <c:pt idx="66">
                  <c:v>341</c:v>
                </c:pt>
                <c:pt idx="67">
                  <c:v>341</c:v>
                </c:pt>
                <c:pt idx="68">
                  <c:v>341</c:v>
                </c:pt>
                <c:pt idx="69">
                  <c:v>341</c:v>
                </c:pt>
                <c:pt idx="70">
                  <c:v>341</c:v>
                </c:pt>
                <c:pt idx="71">
                  <c:v>341</c:v>
                </c:pt>
                <c:pt idx="72">
                  <c:v>341</c:v>
                </c:pt>
                <c:pt idx="73">
                  <c:v>341</c:v>
                </c:pt>
                <c:pt idx="74">
                  <c:v>341</c:v>
                </c:pt>
                <c:pt idx="75">
                  <c:v>341</c:v>
                </c:pt>
                <c:pt idx="76">
                  <c:v>341</c:v>
                </c:pt>
                <c:pt idx="77">
                  <c:v>341</c:v>
                </c:pt>
                <c:pt idx="78">
                  <c:v>341</c:v>
                </c:pt>
                <c:pt idx="79">
                  <c:v>341</c:v>
                </c:pt>
                <c:pt idx="80">
                  <c:v>341</c:v>
                </c:pt>
                <c:pt idx="81">
                  <c:v>495.5</c:v>
                </c:pt>
                <c:pt idx="82">
                  <c:v>600</c:v>
                </c:pt>
                <c:pt idx="83">
                  <c:v>720</c:v>
                </c:pt>
                <c:pt idx="84">
                  <c:v>815</c:v>
                </c:pt>
                <c:pt idx="85">
                  <c:v>824</c:v>
                </c:pt>
                <c:pt idx="86">
                  <c:v>824</c:v>
                </c:pt>
                <c:pt idx="87">
                  <c:v>849</c:v>
                </c:pt>
                <c:pt idx="88">
                  <c:v>938</c:v>
                </c:pt>
                <c:pt idx="89">
                  <c:v>977</c:v>
                </c:pt>
                <c:pt idx="90">
                  <c:v>1004</c:v>
                </c:pt>
                <c:pt idx="91">
                  <c:v>1096</c:v>
                </c:pt>
                <c:pt idx="92">
                  <c:v>1144</c:v>
                </c:pt>
                <c:pt idx="93">
                  <c:v>1255</c:v>
                </c:pt>
                <c:pt idx="94">
                  <c:v>1265</c:v>
                </c:pt>
                <c:pt idx="95">
                  <c:v>1265</c:v>
                </c:pt>
                <c:pt idx="96">
                  <c:v>1265</c:v>
                </c:pt>
                <c:pt idx="97">
                  <c:v>1265</c:v>
                </c:pt>
                <c:pt idx="98">
                  <c:v>1265</c:v>
                </c:pt>
                <c:pt idx="99">
                  <c:v>1265</c:v>
                </c:pt>
                <c:pt idx="100">
                  <c:v>1265</c:v>
                </c:pt>
                <c:pt idx="101">
                  <c:v>1265</c:v>
                </c:pt>
                <c:pt idx="102">
                  <c:v>1265</c:v>
                </c:pt>
                <c:pt idx="103">
                  <c:v>1265</c:v>
                </c:pt>
                <c:pt idx="104">
                  <c:v>1341</c:v>
                </c:pt>
                <c:pt idx="105">
                  <c:v>1388</c:v>
                </c:pt>
                <c:pt idx="106">
                  <c:v>1411</c:v>
                </c:pt>
                <c:pt idx="107">
                  <c:v>1411</c:v>
                </c:pt>
                <c:pt idx="108">
                  <c:v>1411</c:v>
                </c:pt>
                <c:pt idx="109">
                  <c:v>1411</c:v>
                </c:pt>
                <c:pt idx="110">
                  <c:v>1524</c:v>
                </c:pt>
                <c:pt idx="111">
                  <c:v>1579</c:v>
                </c:pt>
                <c:pt idx="112">
                  <c:v>1579</c:v>
                </c:pt>
                <c:pt idx="113">
                  <c:v>1589</c:v>
                </c:pt>
                <c:pt idx="114">
                  <c:v>1589</c:v>
                </c:pt>
                <c:pt idx="115">
                  <c:v>1589</c:v>
                </c:pt>
                <c:pt idx="116">
                  <c:v>1589</c:v>
                </c:pt>
                <c:pt idx="117">
                  <c:v>1589</c:v>
                </c:pt>
                <c:pt idx="118">
                  <c:v>1589</c:v>
                </c:pt>
                <c:pt idx="119">
                  <c:v>1589</c:v>
                </c:pt>
                <c:pt idx="120">
                  <c:v>1589</c:v>
                </c:pt>
                <c:pt idx="121">
                  <c:v>1589</c:v>
                </c:pt>
                <c:pt idx="122">
                  <c:v>1589</c:v>
                </c:pt>
                <c:pt idx="123">
                  <c:v>1589</c:v>
                </c:pt>
                <c:pt idx="124">
                  <c:v>1589</c:v>
                </c:pt>
                <c:pt idx="125">
                  <c:v>1589</c:v>
                </c:pt>
                <c:pt idx="126">
                  <c:v>1589</c:v>
                </c:pt>
                <c:pt idx="127">
                  <c:v>1589</c:v>
                </c:pt>
                <c:pt idx="128">
                  <c:v>1589</c:v>
                </c:pt>
                <c:pt idx="129">
                  <c:v>1589</c:v>
                </c:pt>
                <c:pt idx="130">
                  <c:v>1589</c:v>
                </c:pt>
                <c:pt idx="131">
                  <c:v>1589</c:v>
                </c:pt>
                <c:pt idx="132">
                  <c:v>1589</c:v>
                </c:pt>
                <c:pt idx="133">
                  <c:v>1589</c:v>
                </c:pt>
                <c:pt idx="134">
                  <c:v>1589</c:v>
                </c:pt>
                <c:pt idx="135">
                  <c:v>1589</c:v>
                </c:pt>
                <c:pt idx="136">
                  <c:v>1589</c:v>
                </c:pt>
                <c:pt idx="137">
                  <c:v>1589</c:v>
                </c:pt>
                <c:pt idx="138">
                  <c:v>1589</c:v>
                </c:pt>
                <c:pt idx="139">
                  <c:v>1589</c:v>
                </c:pt>
                <c:pt idx="140">
                  <c:v>1589</c:v>
                </c:pt>
                <c:pt idx="141">
                  <c:v>1589</c:v>
                </c:pt>
                <c:pt idx="142">
                  <c:v>1589</c:v>
                </c:pt>
                <c:pt idx="143">
                  <c:v>1589</c:v>
                </c:pt>
                <c:pt idx="144">
                  <c:v>1589</c:v>
                </c:pt>
                <c:pt idx="145">
                  <c:v>1589</c:v>
                </c:pt>
                <c:pt idx="146">
                  <c:v>1589</c:v>
                </c:pt>
                <c:pt idx="147">
                  <c:v>1589</c:v>
                </c:pt>
                <c:pt idx="148">
                  <c:v>1589</c:v>
                </c:pt>
                <c:pt idx="149">
                  <c:v>1589</c:v>
                </c:pt>
                <c:pt idx="150">
                  <c:v>1589</c:v>
                </c:pt>
                <c:pt idx="151">
                  <c:v>1589</c:v>
                </c:pt>
                <c:pt idx="152">
                  <c:v>1589</c:v>
                </c:pt>
                <c:pt idx="153">
                  <c:v>1589</c:v>
                </c:pt>
                <c:pt idx="154">
                  <c:v>1589</c:v>
                </c:pt>
                <c:pt idx="155">
                  <c:v>1589</c:v>
                </c:pt>
                <c:pt idx="156">
                  <c:v>1589</c:v>
                </c:pt>
                <c:pt idx="157">
                  <c:v>1589</c:v>
                </c:pt>
                <c:pt idx="158">
                  <c:v>1589</c:v>
                </c:pt>
                <c:pt idx="159">
                  <c:v>1589</c:v>
                </c:pt>
                <c:pt idx="160">
                  <c:v>1589</c:v>
                </c:pt>
                <c:pt idx="161">
                  <c:v>1589</c:v>
                </c:pt>
                <c:pt idx="162">
                  <c:v>1589</c:v>
                </c:pt>
                <c:pt idx="163">
                  <c:v>1589</c:v>
                </c:pt>
                <c:pt idx="164">
                  <c:v>1589</c:v>
                </c:pt>
                <c:pt idx="165">
                  <c:v>1589</c:v>
                </c:pt>
                <c:pt idx="166">
                  <c:v>1589</c:v>
                </c:pt>
                <c:pt idx="167">
                  <c:v>1589</c:v>
                </c:pt>
                <c:pt idx="168">
                  <c:v>1589</c:v>
                </c:pt>
                <c:pt idx="169">
                  <c:v>1589</c:v>
                </c:pt>
                <c:pt idx="170">
                  <c:v>1589</c:v>
                </c:pt>
                <c:pt idx="171">
                  <c:v>1589</c:v>
                </c:pt>
                <c:pt idx="172">
                  <c:v>1589</c:v>
                </c:pt>
                <c:pt idx="173">
                  <c:v>1589</c:v>
                </c:pt>
                <c:pt idx="174">
                  <c:v>1589</c:v>
                </c:pt>
                <c:pt idx="175">
                  <c:v>1589</c:v>
                </c:pt>
                <c:pt idx="176">
                  <c:v>1589</c:v>
                </c:pt>
                <c:pt idx="177">
                  <c:v>1589</c:v>
                </c:pt>
                <c:pt idx="178">
                  <c:v>1589</c:v>
                </c:pt>
                <c:pt idx="179">
                  <c:v>1589</c:v>
                </c:pt>
                <c:pt idx="180">
                  <c:v>1589</c:v>
                </c:pt>
                <c:pt idx="181">
                  <c:v>1589</c:v>
                </c:pt>
                <c:pt idx="182">
                  <c:v>1589</c:v>
                </c:pt>
                <c:pt idx="183">
                  <c:v>1589</c:v>
                </c:pt>
                <c:pt idx="184">
                  <c:v>1589</c:v>
                </c:pt>
                <c:pt idx="185">
                  <c:v>1589</c:v>
                </c:pt>
                <c:pt idx="186">
                  <c:v>1589</c:v>
                </c:pt>
                <c:pt idx="187">
                  <c:v>1589</c:v>
                </c:pt>
                <c:pt idx="188">
                  <c:v>1589</c:v>
                </c:pt>
                <c:pt idx="189">
                  <c:v>1589</c:v>
                </c:pt>
                <c:pt idx="190">
                  <c:v>1589</c:v>
                </c:pt>
                <c:pt idx="191">
                  <c:v>1589</c:v>
                </c:pt>
                <c:pt idx="192">
                  <c:v>1589</c:v>
                </c:pt>
                <c:pt idx="193">
                  <c:v>1589</c:v>
                </c:pt>
                <c:pt idx="194">
                  <c:v>1589</c:v>
                </c:pt>
                <c:pt idx="195">
                  <c:v>1589</c:v>
                </c:pt>
                <c:pt idx="196">
                  <c:v>1589</c:v>
                </c:pt>
                <c:pt idx="197">
                  <c:v>1589</c:v>
                </c:pt>
                <c:pt idx="198">
                  <c:v>1589</c:v>
                </c:pt>
                <c:pt idx="199">
                  <c:v>1589</c:v>
                </c:pt>
                <c:pt idx="200">
                  <c:v>1589</c:v>
                </c:pt>
                <c:pt idx="201">
                  <c:v>1589</c:v>
                </c:pt>
                <c:pt idx="202">
                  <c:v>1589</c:v>
                </c:pt>
                <c:pt idx="203">
                  <c:v>1589</c:v>
                </c:pt>
                <c:pt idx="204">
                  <c:v>1589</c:v>
                </c:pt>
                <c:pt idx="205">
                  <c:v>1589</c:v>
                </c:pt>
                <c:pt idx="206">
                  <c:v>1589</c:v>
                </c:pt>
                <c:pt idx="207">
                  <c:v>1589</c:v>
                </c:pt>
                <c:pt idx="208">
                  <c:v>1589</c:v>
                </c:pt>
                <c:pt idx="209">
                  <c:v>1589</c:v>
                </c:pt>
                <c:pt idx="210">
                  <c:v>1589</c:v>
                </c:pt>
                <c:pt idx="211">
                  <c:v>1589</c:v>
                </c:pt>
                <c:pt idx="212">
                  <c:v>1589</c:v>
                </c:pt>
                <c:pt idx="213">
                  <c:v>1589</c:v>
                </c:pt>
                <c:pt idx="214">
                  <c:v>1589</c:v>
                </c:pt>
                <c:pt idx="215">
                  <c:v>1589</c:v>
                </c:pt>
                <c:pt idx="216">
                  <c:v>1589</c:v>
                </c:pt>
                <c:pt idx="217">
                  <c:v>1589</c:v>
                </c:pt>
                <c:pt idx="218">
                  <c:v>1589</c:v>
                </c:pt>
                <c:pt idx="219">
                  <c:v>1589</c:v>
                </c:pt>
                <c:pt idx="220">
                  <c:v>1589</c:v>
                </c:pt>
                <c:pt idx="221">
                  <c:v>1589</c:v>
                </c:pt>
                <c:pt idx="222">
                  <c:v>1589</c:v>
                </c:pt>
                <c:pt idx="223">
                  <c:v>1589</c:v>
                </c:pt>
                <c:pt idx="224">
                  <c:v>1589</c:v>
                </c:pt>
                <c:pt idx="225">
                  <c:v>1589</c:v>
                </c:pt>
                <c:pt idx="226">
                  <c:v>1589</c:v>
                </c:pt>
                <c:pt idx="227">
                  <c:v>1589</c:v>
                </c:pt>
                <c:pt idx="228">
                  <c:v>1589</c:v>
                </c:pt>
                <c:pt idx="229">
                  <c:v>1589</c:v>
                </c:pt>
                <c:pt idx="230">
                  <c:v>1589</c:v>
                </c:pt>
                <c:pt idx="231">
                  <c:v>1589</c:v>
                </c:pt>
                <c:pt idx="232">
                  <c:v>1589</c:v>
                </c:pt>
                <c:pt idx="233">
                  <c:v>1589</c:v>
                </c:pt>
                <c:pt idx="234">
                  <c:v>1589</c:v>
                </c:pt>
                <c:pt idx="235">
                  <c:v>1589</c:v>
                </c:pt>
                <c:pt idx="236">
                  <c:v>1589</c:v>
                </c:pt>
                <c:pt idx="237">
                  <c:v>1589</c:v>
                </c:pt>
                <c:pt idx="238">
                  <c:v>1589</c:v>
                </c:pt>
                <c:pt idx="239">
                  <c:v>1589</c:v>
                </c:pt>
                <c:pt idx="240">
                  <c:v>1589</c:v>
                </c:pt>
                <c:pt idx="241">
                  <c:v>1621</c:v>
                </c:pt>
                <c:pt idx="242">
                  <c:v>1621</c:v>
                </c:pt>
                <c:pt idx="243">
                  <c:v>1633.5</c:v>
                </c:pt>
                <c:pt idx="244">
                  <c:v>1633.5</c:v>
                </c:pt>
                <c:pt idx="245">
                  <c:v>1633.5</c:v>
                </c:pt>
                <c:pt idx="246">
                  <c:v>1633.5</c:v>
                </c:pt>
                <c:pt idx="247">
                  <c:v>1633.5</c:v>
                </c:pt>
                <c:pt idx="248">
                  <c:v>1633.5</c:v>
                </c:pt>
                <c:pt idx="249">
                  <c:v>1633.5</c:v>
                </c:pt>
                <c:pt idx="250">
                  <c:v>1633.5</c:v>
                </c:pt>
                <c:pt idx="251">
                  <c:v>1683</c:v>
                </c:pt>
                <c:pt idx="252">
                  <c:v>1736</c:v>
                </c:pt>
                <c:pt idx="253">
                  <c:v>1784</c:v>
                </c:pt>
                <c:pt idx="254">
                  <c:v>1827</c:v>
                </c:pt>
                <c:pt idx="255">
                  <c:v>1827</c:v>
                </c:pt>
                <c:pt idx="256">
                  <c:v>1913</c:v>
                </c:pt>
                <c:pt idx="257">
                  <c:v>2042</c:v>
                </c:pt>
                <c:pt idx="258">
                  <c:v>2166</c:v>
                </c:pt>
                <c:pt idx="259">
                  <c:v>2340</c:v>
                </c:pt>
                <c:pt idx="260">
                  <c:v>2363</c:v>
                </c:pt>
                <c:pt idx="261">
                  <c:v>2363</c:v>
                </c:pt>
                <c:pt idx="262">
                  <c:v>2363</c:v>
                </c:pt>
                <c:pt idx="263">
                  <c:v>2394</c:v>
                </c:pt>
                <c:pt idx="264">
                  <c:v>2394</c:v>
                </c:pt>
                <c:pt idx="265">
                  <c:v>2497</c:v>
                </c:pt>
                <c:pt idx="266">
                  <c:v>2497</c:v>
                </c:pt>
                <c:pt idx="267">
                  <c:v>2497</c:v>
                </c:pt>
                <c:pt idx="268">
                  <c:v>2497</c:v>
                </c:pt>
                <c:pt idx="269">
                  <c:v>2497</c:v>
                </c:pt>
                <c:pt idx="270">
                  <c:v>2497</c:v>
                </c:pt>
                <c:pt idx="271">
                  <c:v>2497</c:v>
                </c:pt>
                <c:pt idx="272">
                  <c:v>2563</c:v>
                </c:pt>
                <c:pt idx="273">
                  <c:v>2602</c:v>
                </c:pt>
                <c:pt idx="274">
                  <c:v>2602</c:v>
                </c:pt>
                <c:pt idx="275">
                  <c:v>2602</c:v>
                </c:pt>
                <c:pt idx="276">
                  <c:v>2602</c:v>
                </c:pt>
                <c:pt idx="277">
                  <c:v>2709</c:v>
                </c:pt>
                <c:pt idx="278">
                  <c:v>2709</c:v>
                </c:pt>
                <c:pt idx="279">
                  <c:v>2709</c:v>
                </c:pt>
                <c:pt idx="280">
                  <c:v>2709</c:v>
                </c:pt>
                <c:pt idx="281">
                  <c:v>2709</c:v>
                </c:pt>
                <c:pt idx="282">
                  <c:v>2709</c:v>
                </c:pt>
                <c:pt idx="283">
                  <c:v>2709</c:v>
                </c:pt>
                <c:pt idx="284">
                  <c:v>2709</c:v>
                </c:pt>
                <c:pt idx="285">
                  <c:v>2709</c:v>
                </c:pt>
                <c:pt idx="286">
                  <c:v>2709</c:v>
                </c:pt>
                <c:pt idx="287">
                  <c:v>2709</c:v>
                </c:pt>
                <c:pt idx="288">
                  <c:v>2709</c:v>
                </c:pt>
                <c:pt idx="289">
                  <c:v>2709</c:v>
                </c:pt>
                <c:pt idx="290">
                  <c:v>2709</c:v>
                </c:pt>
                <c:pt idx="291">
                  <c:v>2709</c:v>
                </c:pt>
                <c:pt idx="292">
                  <c:v>2709</c:v>
                </c:pt>
                <c:pt idx="293">
                  <c:v>2709</c:v>
                </c:pt>
                <c:pt idx="294">
                  <c:v>2709</c:v>
                </c:pt>
                <c:pt idx="295">
                  <c:v>2709</c:v>
                </c:pt>
                <c:pt idx="296">
                  <c:v>2709</c:v>
                </c:pt>
                <c:pt idx="297">
                  <c:v>2709</c:v>
                </c:pt>
                <c:pt idx="298">
                  <c:v>2709</c:v>
                </c:pt>
                <c:pt idx="299">
                  <c:v>2709</c:v>
                </c:pt>
                <c:pt idx="300">
                  <c:v>2894</c:v>
                </c:pt>
                <c:pt idx="301">
                  <c:v>2997</c:v>
                </c:pt>
                <c:pt idx="302">
                  <c:v>3102</c:v>
                </c:pt>
                <c:pt idx="303">
                  <c:v>3102</c:v>
                </c:pt>
                <c:pt idx="304">
                  <c:v>3102</c:v>
                </c:pt>
                <c:pt idx="305">
                  <c:v>3102</c:v>
                </c:pt>
                <c:pt idx="306">
                  <c:v>3102</c:v>
                </c:pt>
                <c:pt idx="307">
                  <c:v>3102</c:v>
                </c:pt>
                <c:pt idx="308">
                  <c:v>3102</c:v>
                </c:pt>
                <c:pt idx="309">
                  <c:v>3102</c:v>
                </c:pt>
                <c:pt idx="310">
                  <c:v>3102</c:v>
                </c:pt>
                <c:pt idx="311">
                  <c:v>3102</c:v>
                </c:pt>
                <c:pt idx="312">
                  <c:v>3102</c:v>
                </c:pt>
                <c:pt idx="313">
                  <c:v>3102</c:v>
                </c:pt>
                <c:pt idx="314">
                  <c:v>3102</c:v>
                </c:pt>
                <c:pt idx="315">
                  <c:v>3102</c:v>
                </c:pt>
                <c:pt idx="316">
                  <c:v>3102</c:v>
                </c:pt>
                <c:pt idx="317">
                  <c:v>3102</c:v>
                </c:pt>
                <c:pt idx="318">
                  <c:v>3102</c:v>
                </c:pt>
                <c:pt idx="319">
                  <c:v>3102</c:v>
                </c:pt>
                <c:pt idx="320">
                  <c:v>3102</c:v>
                </c:pt>
                <c:pt idx="321">
                  <c:v>3102</c:v>
                </c:pt>
                <c:pt idx="322">
                  <c:v>3102</c:v>
                </c:pt>
                <c:pt idx="323">
                  <c:v>3102</c:v>
                </c:pt>
                <c:pt idx="324">
                  <c:v>3102</c:v>
                </c:pt>
                <c:pt idx="325">
                  <c:v>3102</c:v>
                </c:pt>
                <c:pt idx="326">
                  <c:v>3102</c:v>
                </c:pt>
                <c:pt idx="327">
                  <c:v>3102</c:v>
                </c:pt>
                <c:pt idx="328">
                  <c:v>3102</c:v>
                </c:pt>
                <c:pt idx="329">
                  <c:v>3102</c:v>
                </c:pt>
                <c:pt idx="330">
                  <c:v>3102</c:v>
                </c:pt>
                <c:pt idx="331">
                  <c:v>3102</c:v>
                </c:pt>
                <c:pt idx="332">
                  <c:v>3102</c:v>
                </c:pt>
                <c:pt idx="333">
                  <c:v>3102</c:v>
                </c:pt>
                <c:pt idx="334">
                  <c:v>3102</c:v>
                </c:pt>
                <c:pt idx="335">
                  <c:v>3102</c:v>
                </c:pt>
                <c:pt idx="336">
                  <c:v>3102</c:v>
                </c:pt>
                <c:pt idx="337">
                  <c:v>3102</c:v>
                </c:pt>
                <c:pt idx="338">
                  <c:v>3102</c:v>
                </c:pt>
                <c:pt idx="339">
                  <c:v>3102</c:v>
                </c:pt>
                <c:pt idx="340">
                  <c:v>3102</c:v>
                </c:pt>
                <c:pt idx="341">
                  <c:v>3102</c:v>
                </c:pt>
                <c:pt idx="342">
                  <c:v>3102</c:v>
                </c:pt>
                <c:pt idx="343">
                  <c:v>3102</c:v>
                </c:pt>
                <c:pt idx="344">
                  <c:v>3102</c:v>
                </c:pt>
                <c:pt idx="345">
                  <c:v>3102</c:v>
                </c:pt>
                <c:pt idx="346">
                  <c:v>3102</c:v>
                </c:pt>
                <c:pt idx="347">
                  <c:v>3102</c:v>
                </c:pt>
                <c:pt idx="348">
                  <c:v>3102</c:v>
                </c:pt>
                <c:pt idx="349">
                  <c:v>3102</c:v>
                </c:pt>
                <c:pt idx="350">
                  <c:v>3102</c:v>
                </c:pt>
                <c:pt idx="351">
                  <c:v>3102</c:v>
                </c:pt>
                <c:pt idx="352">
                  <c:v>3102</c:v>
                </c:pt>
                <c:pt idx="353">
                  <c:v>3102</c:v>
                </c:pt>
                <c:pt idx="354">
                  <c:v>3102</c:v>
                </c:pt>
                <c:pt idx="355">
                  <c:v>3102</c:v>
                </c:pt>
                <c:pt idx="356">
                  <c:v>3102</c:v>
                </c:pt>
                <c:pt idx="357">
                  <c:v>3102</c:v>
                </c:pt>
                <c:pt idx="358">
                  <c:v>3102</c:v>
                </c:pt>
                <c:pt idx="359">
                  <c:v>3102</c:v>
                </c:pt>
                <c:pt idx="360">
                  <c:v>3102</c:v>
                </c:pt>
                <c:pt idx="361">
                  <c:v>3102</c:v>
                </c:pt>
                <c:pt idx="362">
                  <c:v>3102</c:v>
                </c:pt>
                <c:pt idx="363">
                  <c:v>3102</c:v>
                </c:pt>
                <c:pt idx="364">
                  <c:v>3102</c:v>
                </c:pt>
                <c:pt idx="365">
                  <c:v>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03-4708-BC96-D16F5235A874}"/>
            </c:ext>
          </c:extLst>
        </c:ser>
        <c:ser>
          <c:idx val="4"/>
          <c:order val="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'Pages+'!$AL$2:$AL$367</c:f>
              <c:strCache>
                <c:ptCount val="336"/>
                <c:pt idx="0">
                  <c:v>January</c:v>
                </c:pt>
                <c:pt idx="31">
                  <c:v>February</c:v>
                </c:pt>
                <c:pt idx="60">
                  <c:v>March</c:v>
                </c:pt>
                <c:pt idx="91">
                  <c:v>April</c:v>
                </c:pt>
                <c:pt idx="121">
                  <c:v>May</c:v>
                </c:pt>
                <c:pt idx="152">
                  <c:v>June</c:v>
                </c:pt>
                <c:pt idx="182">
                  <c:v>July</c:v>
                </c:pt>
                <c:pt idx="213">
                  <c:v>August</c:v>
                </c:pt>
                <c:pt idx="244">
                  <c:v>September</c:v>
                </c:pt>
                <c:pt idx="274">
                  <c:v>October</c:v>
                </c:pt>
                <c:pt idx="305">
                  <c:v>November</c:v>
                </c:pt>
                <c:pt idx="335">
                  <c:v>December</c:v>
                </c:pt>
              </c:strCache>
            </c:strRef>
          </c:cat>
          <c:val>
            <c:numRef>
              <c:f>('Pages+'!$AX$2:$AX$349,'Pages+'!$AS$350:$AS$367)</c:f>
              <c:numCache>
                <c:formatCode>General</c:formatCode>
                <c:ptCount val="366"/>
                <c:pt idx="348">
                  <c:v>5800</c:v>
                </c:pt>
                <c:pt idx="349">
                  <c:v>5800</c:v>
                </c:pt>
                <c:pt idx="350">
                  <c:v>5800</c:v>
                </c:pt>
                <c:pt idx="351">
                  <c:v>5800</c:v>
                </c:pt>
                <c:pt idx="352">
                  <c:v>5800</c:v>
                </c:pt>
                <c:pt idx="353">
                  <c:v>5800</c:v>
                </c:pt>
                <c:pt idx="354">
                  <c:v>5800</c:v>
                </c:pt>
                <c:pt idx="355">
                  <c:v>5800</c:v>
                </c:pt>
                <c:pt idx="356">
                  <c:v>5800</c:v>
                </c:pt>
                <c:pt idx="357">
                  <c:v>5800</c:v>
                </c:pt>
                <c:pt idx="358">
                  <c:v>5800</c:v>
                </c:pt>
                <c:pt idx="359">
                  <c:v>5831</c:v>
                </c:pt>
                <c:pt idx="360">
                  <c:v>5831</c:v>
                </c:pt>
                <c:pt idx="361">
                  <c:v>5831</c:v>
                </c:pt>
                <c:pt idx="362">
                  <c:v>5831</c:v>
                </c:pt>
                <c:pt idx="363">
                  <c:v>5831</c:v>
                </c:pt>
                <c:pt idx="364">
                  <c:v>5831</c:v>
                </c:pt>
                <c:pt idx="365">
                  <c:v>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03-4708-BC96-D16F5235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455792"/>
        <c:axId val="1962431792"/>
      </c:radarChart>
      <c:catAx>
        <c:axId val="19624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31792"/>
        <c:crosses val="autoZero"/>
        <c:auto val="1"/>
        <c:lblAlgn val="ctr"/>
        <c:lblOffset val="100"/>
        <c:noMultiLvlLbl val="0"/>
      </c:catAx>
      <c:valAx>
        <c:axId val="19624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6798206278026901"/>
          <c:y val="0.37602351924116384"/>
          <c:w val="0.13201797306200921"/>
          <c:h val="0.264707653324794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[0]!PagesDayTotalAll</c:f>
              <c:numCache>
                <c:formatCode>General</c:formatCode>
                <c:ptCount val="1114"/>
                <c:pt idx="0">
                  <c:v>129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</c:v>
                </c:pt>
                <c:pt idx="12">
                  <c:v>102</c:v>
                </c:pt>
                <c:pt idx="13">
                  <c:v>95</c:v>
                </c:pt>
                <c:pt idx="14">
                  <c:v>128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76</c:v>
                </c:pt>
                <c:pt idx="20">
                  <c:v>166</c:v>
                </c:pt>
                <c:pt idx="21">
                  <c:v>139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129</c:v>
                </c:pt>
                <c:pt idx="27">
                  <c:v>42</c:v>
                </c:pt>
                <c:pt idx="28">
                  <c:v>88</c:v>
                </c:pt>
                <c:pt idx="29">
                  <c:v>63</c:v>
                </c:pt>
                <c:pt idx="30">
                  <c:v>0</c:v>
                </c:pt>
                <c:pt idx="31">
                  <c:v>54</c:v>
                </c:pt>
                <c:pt idx="32">
                  <c:v>121</c:v>
                </c:pt>
                <c:pt idx="33">
                  <c:v>62</c:v>
                </c:pt>
                <c:pt idx="34">
                  <c:v>47</c:v>
                </c:pt>
                <c:pt idx="35">
                  <c:v>101</c:v>
                </c:pt>
                <c:pt idx="36">
                  <c:v>200</c:v>
                </c:pt>
                <c:pt idx="37">
                  <c:v>144</c:v>
                </c:pt>
                <c:pt idx="38">
                  <c:v>71</c:v>
                </c:pt>
                <c:pt idx="39">
                  <c:v>100</c:v>
                </c:pt>
                <c:pt idx="40">
                  <c:v>15</c:v>
                </c:pt>
                <c:pt idx="41">
                  <c:v>72</c:v>
                </c:pt>
                <c:pt idx="42">
                  <c:v>0</c:v>
                </c:pt>
                <c:pt idx="43">
                  <c:v>44</c:v>
                </c:pt>
                <c:pt idx="44">
                  <c:v>22</c:v>
                </c:pt>
                <c:pt idx="45">
                  <c:v>76</c:v>
                </c:pt>
                <c:pt idx="46">
                  <c:v>89</c:v>
                </c:pt>
                <c:pt idx="47">
                  <c:v>0</c:v>
                </c:pt>
                <c:pt idx="48">
                  <c:v>63</c:v>
                </c:pt>
                <c:pt idx="49">
                  <c:v>179</c:v>
                </c:pt>
                <c:pt idx="50">
                  <c:v>44</c:v>
                </c:pt>
                <c:pt idx="51">
                  <c:v>0</c:v>
                </c:pt>
                <c:pt idx="52">
                  <c:v>114</c:v>
                </c:pt>
                <c:pt idx="53">
                  <c:v>0</c:v>
                </c:pt>
                <c:pt idx="54">
                  <c:v>263</c:v>
                </c:pt>
                <c:pt idx="55">
                  <c:v>42</c:v>
                </c:pt>
                <c:pt idx="56">
                  <c:v>103</c:v>
                </c:pt>
                <c:pt idx="57">
                  <c:v>62</c:v>
                </c:pt>
                <c:pt idx="58">
                  <c:v>0</c:v>
                </c:pt>
                <c:pt idx="59">
                  <c:v>0</c:v>
                </c:pt>
                <c:pt idx="60">
                  <c:v>127</c:v>
                </c:pt>
                <c:pt idx="61">
                  <c:v>34</c:v>
                </c:pt>
                <c:pt idx="62">
                  <c:v>0</c:v>
                </c:pt>
                <c:pt idx="63">
                  <c:v>26</c:v>
                </c:pt>
                <c:pt idx="64">
                  <c:v>48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21</c:v>
                </c:pt>
                <c:pt idx="73">
                  <c:v>39</c:v>
                </c:pt>
                <c:pt idx="74">
                  <c:v>89</c:v>
                </c:pt>
                <c:pt idx="75">
                  <c:v>30</c:v>
                </c:pt>
                <c:pt idx="76">
                  <c:v>20</c:v>
                </c:pt>
                <c:pt idx="77">
                  <c:v>50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153</c:v>
                </c:pt>
                <c:pt idx="83">
                  <c:v>139</c:v>
                </c:pt>
                <c:pt idx="84">
                  <c:v>36</c:v>
                </c:pt>
                <c:pt idx="85">
                  <c:v>20</c:v>
                </c:pt>
                <c:pt idx="86">
                  <c:v>0</c:v>
                </c:pt>
                <c:pt idx="87">
                  <c:v>0</c:v>
                </c:pt>
                <c:pt idx="88">
                  <c:v>27</c:v>
                </c:pt>
                <c:pt idx="89">
                  <c:v>19</c:v>
                </c:pt>
                <c:pt idx="90">
                  <c:v>0</c:v>
                </c:pt>
                <c:pt idx="91">
                  <c:v>0</c:v>
                </c:pt>
                <c:pt idx="92">
                  <c:v>36</c:v>
                </c:pt>
                <c:pt idx="93">
                  <c:v>0</c:v>
                </c:pt>
                <c:pt idx="94">
                  <c:v>51</c:v>
                </c:pt>
                <c:pt idx="95">
                  <c:v>37</c:v>
                </c:pt>
                <c:pt idx="96">
                  <c:v>41</c:v>
                </c:pt>
                <c:pt idx="97">
                  <c:v>88</c:v>
                </c:pt>
                <c:pt idx="98">
                  <c:v>54</c:v>
                </c:pt>
                <c:pt idx="99">
                  <c:v>0</c:v>
                </c:pt>
                <c:pt idx="100">
                  <c:v>0</c:v>
                </c:pt>
                <c:pt idx="101">
                  <c:v>114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>
                  <c:v>0</c:v>
                </c:pt>
                <c:pt idx="108">
                  <c:v>16</c:v>
                </c:pt>
                <c:pt idx="109">
                  <c:v>72</c:v>
                </c:pt>
                <c:pt idx="110">
                  <c:v>78</c:v>
                </c:pt>
                <c:pt idx="111">
                  <c:v>218</c:v>
                </c:pt>
                <c:pt idx="112">
                  <c:v>0</c:v>
                </c:pt>
                <c:pt idx="113">
                  <c:v>0</c:v>
                </c:pt>
                <c:pt idx="114">
                  <c:v>37</c:v>
                </c:pt>
                <c:pt idx="115">
                  <c:v>0</c:v>
                </c:pt>
                <c:pt idx="116">
                  <c:v>207</c:v>
                </c:pt>
                <c:pt idx="117">
                  <c:v>0</c:v>
                </c:pt>
                <c:pt idx="118">
                  <c:v>42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33</c:v>
                </c:pt>
                <c:pt idx="124">
                  <c:v>43</c:v>
                </c:pt>
                <c:pt idx="125">
                  <c:v>65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77</c:v>
                </c:pt>
                <c:pt idx="143">
                  <c:v>0</c:v>
                </c:pt>
                <c:pt idx="144">
                  <c:v>21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56</c:v>
                </c:pt>
                <c:pt idx="165">
                  <c:v>0</c:v>
                </c:pt>
                <c:pt idx="166">
                  <c:v>0</c:v>
                </c:pt>
                <c:pt idx="167">
                  <c:v>49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75</c:v>
                </c:pt>
                <c:pt idx="172">
                  <c:v>43</c:v>
                </c:pt>
                <c:pt idx="173">
                  <c:v>0</c:v>
                </c:pt>
                <c:pt idx="174">
                  <c:v>83</c:v>
                </c:pt>
                <c:pt idx="175">
                  <c:v>0</c:v>
                </c:pt>
                <c:pt idx="176">
                  <c:v>31</c:v>
                </c:pt>
                <c:pt idx="177">
                  <c:v>25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112</c:v>
                </c:pt>
                <c:pt idx="194">
                  <c:v>44</c:v>
                </c:pt>
                <c:pt idx="195">
                  <c:v>37</c:v>
                </c:pt>
                <c:pt idx="196">
                  <c:v>104</c:v>
                </c:pt>
                <c:pt idx="197">
                  <c:v>79</c:v>
                </c:pt>
                <c:pt idx="198">
                  <c:v>64</c:v>
                </c:pt>
                <c:pt idx="199">
                  <c:v>64</c:v>
                </c:pt>
                <c:pt idx="200">
                  <c:v>81</c:v>
                </c:pt>
                <c:pt idx="201">
                  <c:v>54</c:v>
                </c:pt>
                <c:pt idx="202">
                  <c:v>39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44</c:v>
                </c:pt>
                <c:pt idx="208">
                  <c:v>24</c:v>
                </c:pt>
                <c:pt idx="209">
                  <c:v>1</c:v>
                </c:pt>
                <c:pt idx="210">
                  <c:v>22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51</c:v>
                </c:pt>
                <c:pt idx="215">
                  <c:v>120</c:v>
                </c:pt>
                <c:pt idx="216">
                  <c:v>85</c:v>
                </c:pt>
                <c:pt idx="217">
                  <c:v>210</c:v>
                </c:pt>
                <c:pt idx="218">
                  <c:v>46</c:v>
                </c:pt>
                <c:pt idx="219">
                  <c:v>83</c:v>
                </c:pt>
                <c:pt idx="220">
                  <c:v>84</c:v>
                </c:pt>
                <c:pt idx="221">
                  <c:v>140</c:v>
                </c:pt>
                <c:pt idx="222">
                  <c:v>98</c:v>
                </c:pt>
                <c:pt idx="223">
                  <c:v>27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3</c:v>
                </c:pt>
                <c:pt idx="230">
                  <c:v>75</c:v>
                </c:pt>
                <c:pt idx="231">
                  <c:v>0</c:v>
                </c:pt>
                <c:pt idx="232">
                  <c:v>111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5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37</c:v>
                </c:pt>
                <c:pt idx="299">
                  <c:v>0</c:v>
                </c:pt>
                <c:pt idx="300">
                  <c:v>32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46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35</c:v>
                </c:pt>
                <c:pt idx="320">
                  <c:v>20</c:v>
                </c:pt>
                <c:pt idx="321">
                  <c:v>59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127</c:v>
                </c:pt>
                <c:pt idx="326">
                  <c:v>22</c:v>
                </c:pt>
                <c:pt idx="327">
                  <c:v>70</c:v>
                </c:pt>
                <c:pt idx="328">
                  <c:v>62</c:v>
                </c:pt>
                <c:pt idx="329">
                  <c:v>7</c:v>
                </c:pt>
                <c:pt idx="330">
                  <c:v>7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61</c:v>
                </c:pt>
                <c:pt idx="339">
                  <c:v>8</c:v>
                </c:pt>
                <c:pt idx="340">
                  <c:v>19</c:v>
                </c:pt>
                <c:pt idx="341">
                  <c:v>52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60</c:v>
                </c:pt>
                <c:pt idx="348">
                  <c:v>10</c:v>
                </c:pt>
                <c:pt idx="349">
                  <c:v>48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74</c:v>
                </c:pt>
                <c:pt idx="357">
                  <c:v>148</c:v>
                </c:pt>
                <c:pt idx="358">
                  <c:v>4</c:v>
                </c:pt>
                <c:pt idx="359">
                  <c:v>24</c:v>
                </c:pt>
                <c:pt idx="360">
                  <c:v>69</c:v>
                </c:pt>
                <c:pt idx="361">
                  <c:v>17</c:v>
                </c:pt>
                <c:pt idx="362">
                  <c:v>27</c:v>
                </c:pt>
                <c:pt idx="363">
                  <c:v>51</c:v>
                </c:pt>
                <c:pt idx="364">
                  <c:v>0</c:v>
                </c:pt>
                <c:pt idx="365">
                  <c:v>37</c:v>
                </c:pt>
                <c:pt idx="366">
                  <c:v>0</c:v>
                </c:pt>
                <c:pt idx="367">
                  <c:v>78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21</c:v>
                </c:pt>
                <c:pt idx="390">
                  <c:v>10</c:v>
                </c:pt>
                <c:pt idx="391">
                  <c:v>42</c:v>
                </c:pt>
                <c:pt idx="392">
                  <c:v>0</c:v>
                </c:pt>
                <c:pt idx="393">
                  <c:v>96</c:v>
                </c:pt>
                <c:pt idx="394">
                  <c:v>93</c:v>
                </c:pt>
                <c:pt idx="395">
                  <c:v>12</c:v>
                </c:pt>
                <c:pt idx="396">
                  <c:v>0</c:v>
                </c:pt>
                <c:pt idx="397">
                  <c:v>0</c:v>
                </c:pt>
                <c:pt idx="398">
                  <c:v>7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23</c:v>
                </c:pt>
                <c:pt idx="458">
                  <c:v>32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22</c:v>
                </c:pt>
                <c:pt idx="470">
                  <c:v>15</c:v>
                </c:pt>
                <c:pt idx="471">
                  <c:v>0</c:v>
                </c:pt>
                <c:pt idx="472">
                  <c:v>34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33</c:v>
                </c:pt>
                <c:pt idx="485">
                  <c:v>88</c:v>
                </c:pt>
                <c:pt idx="486">
                  <c:v>0</c:v>
                </c:pt>
                <c:pt idx="487">
                  <c:v>38</c:v>
                </c:pt>
                <c:pt idx="488">
                  <c:v>0</c:v>
                </c:pt>
                <c:pt idx="489">
                  <c:v>34</c:v>
                </c:pt>
                <c:pt idx="490">
                  <c:v>0</c:v>
                </c:pt>
                <c:pt idx="491">
                  <c:v>0</c:v>
                </c:pt>
                <c:pt idx="492">
                  <c:v>129</c:v>
                </c:pt>
                <c:pt idx="493">
                  <c:v>0</c:v>
                </c:pt>
                <c:pt idx="494">
                  <c:v>0</c:v>
                </c:pt>
                <c:pt idx="495">
                  <c:v>19</c:v>
                </c:pt>
                <c:pt idx="496">
                  <c:v>25</c:v>
                </c:pt>
                <c:pt idx="497">
                  <c:v>23</c:v>
                </c:pt>
                <c:pt idx="498">
                  <c:v>0</c:v>
                </c:pt>
                <c:pt idx="499">
                  <c:v>72</c:v>
                </c:pt>
                <c:pt idx="500">
                  <c:v>46</c:v>
                </c:pt>
                <c:pt idx="501">
                  <c:v>12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45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37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43</c:v>
                </c:pt>
                <c:pt idx="680">
                  <c:v>0</c:v>
                </c:pt>
                <c:pt idx="681">
                  <c:v>25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43</c:v>
                </c:pt>
                <c:pt idx="687">
                  <c:v>0</c:v>
                </c:pt>
                <c:pt idx="688">
                  <c:v>30</c:v>
                </c:pt>
                <c:pt idx="689">
                  <c:v>125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65</c:v>
                </c:pt>
                <c:pt idx="713">
                  <c:v>86</c:v>
                </c:pt>
                <c:pt idx="714">
                  <c:v>37</c:v>
                </c:pt>
                <c:pt idx="715">
                  <c:v>21</c:v>
                </c:pt>
                <c:pt idx="716">
                  <c:v>0</c:v>
                </c:pt>
                <c:pt idx="717">
                  <c:v>0</c:v>
                </c:pt>
                <c:pt idx="718">
                  <c:v>34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94</c:v>
                </c:pt>
                <c:pt idx="818">
                  <c:v>15</c:v>
                </c:pt>
                <c:pt idx="819">
                  <c:v>14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4</c:v>
                </c:pt>
                <c:pt idx="824">
                  <c:v>12</c:v>
                </c:pt>
                <c:pt idx="825">
                  <c:v>155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154.5</c:v>
                </c:pt>
                <c:pt idx="893">
                  <c:v>104.5</c:v>
                </c:pt>
                <c:pt idx="894">
                  <c:v>120</c:v>
                </c:pt>
                <c:pt idx="895">
                  <c:v>95</c:v>
                </c:pt>
                <c:pt idx="896">
                  <c:v>9</c:v>
                </c:pt>
                <c:pt idx="897">
                  <c:v>0</c:v>
                </c:pt>
                <c:pt idx="898">
                  <c:v>25</c:v>
                </c:pt>
                <c:pt idx="899">
                  <c:v>89</c:v>
                </c:pt>
                <c:pt idx="900">
                  <c:v>39</c:v>
                </c:pt>
                <c:pt idx="901">
                  <c:v>27</c:v>
                </c:pt>
                <c:pt idx="902">
                  <c:v>92</c:v>
                </c:pt>
                <c:pt idx="903">
                  <c:v>48</c:v>
                </c:pt>
                <c:pt idx="904">
                  <c:v>111</c:v>
                </c:pt>
                <c:pt idx="905">
                  <c:v>10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76</c:v>
                </c:pt>
                <c:pt idx="916">
                  <c:v>47</c:v>
                </c:pt>
                <c:pt idx="917">
                  <c:v>23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113</c:v>
                </c:pt>
                <c:pt idx="922">
                  <c:v>55</c:v>
                </c:pt>
                <c:pt idx="923">
                  <c:v>0</c:v>
                </c:pt>
                <c:pt idx="924">
                  <c:v>10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32</c:v>
                </c:pt>
                <c:pt idx="1053">
                  <c:v>0</c:v>
                </c:pt>
                <c:pt idx="1054">
                  <c:v>12.5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49.5</c:v>
                </c:pt>
                <c:pt idx="1063">
                  <c:v>53</c:v>
                </c:pt>
                <c:pt idx="1064">
                  <c:v>48</c:v>
                </c:pt>
                <c:pt idx="1065">
                  <c:v>43</c:v>
                </c:pt>
                <c:pt idx="1066">
                  <c:v>0</c:v>
                </c:pt>
                <c:pt idx="1067">
                  <c:v>86</c:v>
                </c:pt>
                <c:pt idx="1068">
                  <c:v>129</c:v>
                </c:pt>
                <c:pt idx="1069">
                  <c:v>124</c:v>
                </c:pt>
                <c:pt idx="1070">
                  <c:v>174</c:v>
                </c:pt>
                <c:pt idx="1071">
                  <c:v>23</c:v>
                </c:pt>
                <c:pt idx="1072">
                  <c:v>0</c:v>
                </c:pt>
                <c:pt idx="1073">
                  <c:v>0</c:v>
                </c:pt>
                <c:pt idx="1074">
                  <c:v>31</c:v>
                </c:pt>
                <c:pt idx="1075">
                  <c:v>0</c:v>
                </c:pt>
                <c:pt idx="1076">
                  <c:v>103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66</c:v>
                </c:pt>
                <c:pt idx="1084">
                  <c:v>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107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185</c:v>
                </c:pt>
                <c:pt idx="1112">
                  <c:v>103</c:v>
                </c:pt>
                <c:pt idx="111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1-4397-87F8-4618E103A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ndard"/>
        <c:varyColors val="0"/>
        <c:ser>
          <c:idx val="9"/>
          <c:order val="1"/>
          <c:tx>
            <c:strRef>
              <c:f>Pages!$C$1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[0]!PagesCumAll</c:f>
              <c:numCache>
                <c:formatCode>General</c:formatCode>
                <c:ptCount val="1114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163</c:v>
                </c:pt>
                <c:pt idx="6">
                  <c:v>204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436</c:v>
                </c:pt>
                <c:pt idx="12">
                  <c:v>538</c:v>
                </c:pt>
                <c:pt idx="13">
                  <c:v>633</c:v>
                </c:pt>
                <c:pt idx="14">
                  <c:v>761</c:v>
                </c:pt>
                <c:pt idx="15">
                  <c:v>843</c:v>
                </c:pt>
                <c:pt idx="16">
                  <c:v>843</c:v>
                </c:pt>
                <c:pt idx="17">
                  <c:v>843</c:v>
                </c:pt>
                <c:pt idx="18">
                  <c:v>843</c:v>
                </c:pt>
                <c:pt idx="19">
                  <c:v>919</c:v>
                </c:pt>
                <c:pt idx="20">
                  <c:v>1085</c:v>
                </c:pt>
                <c:pt idx="21">
                  <c:v>1224</c:v>
                </c:pt>
                <c:pt idx="22">
                  <c:v>1224</c:v>
                </c:pt>
                <c:pt idx="23">
                  <c:v>1224</c:v>
                </c:pt>
                <c:pt idx="24">
                  <c:v>1224</c:v>
                </c:pt>
                <c:pt idx="25">
                  <c:v>1301</c:v>
                </c:pt>
                <c:pt idx="26">
                  <c:v>1430</c:v>
                </c:pt>
                <c:pt idx="27">
                  <c:v>1472</c:v>
                </c:pt>
                <c:pt idx="28">
                  <c:v>1560</c:v>
                </c:pt>
                <c:pt idx="29">
                  <c:v>1623</c:v>
                </c:pt>
                <c:pt idx="30">
                  <c:v>1623</c:v>
                </c:pt>
                <c:pt idx="31">
                  <c:v>1677</c:v>
                </c:pt>
                <c:pt idx="32">
                  <c:v>1798</c:v>
                </c:pt>
                <c:pt idx="33">
                  <c:v>1860</c:v>
                </c:pt>
                <c:pt idx="34">
                  <c:v>1907</c:v>
                </c:pt>
                <c:pt idx="35">
                  <c:v>2008</c:v>
                </c:pt>
                <c:pt idx="36">
                  <c:v>2208</c:v>
                </c:pt>
                <c:pt idx="37">
                  <c:v>2352</c:v>
                </c:pt>
                <c:pt idx="38">
                  <c:v>2423</c:v>
                </c:pt>
                <c:pt idx="39">
                  <c:v>2523</c:v>
                </c:pt>
                <c:pt idx="40">
                  <c:v>2538</c:v>
                </c:pt>
                <c:pt idx="41">
                  <c:v>2610</c:v>
                </c:pt>
                <c:pt idx="42">
                  <c:v>2610</c:v>
                </c:pt>
                <c:pt idx="43">
                  <c:v>2654</c:v>
                </c:pt>
                <c:pt idx="44">
                  <c:v>2676</c:v>
                </c:pt>
                <c:pt idx="45">
                  <c:v>2752</c:v>
                </c:pt>
                <c:pt idx="46">
                  <c:v>2841</c:v>
                </c:pt>
                <c:pt idx="47">
                  <c:v>2841</c:v>
                </c:pt>
                <c:pt idx="48">
                  <c:v>2904</c:v>
                </c:pt>
                <c:pt idx="49">
                  <c:v>3083</c:v>
                </c:pt>
                <c:pt idx="50">
                  <c:v>3127</c:v>
                </c:pt>
                <c:pt idx="51">
                  <c:v>3127</c:v>
                </c:pt>
                <c:pt idx="52">
                  <c:v>3241</c:v>
                </c:pt>
                <c:pt idx="53">
                  <c:v>3241</c:v>
                </c:pt>
                <c:pt idx="54">
                  <c:v>3504</c:v>
                </c:pt>
                <c:pt idx="55">
                  <c:v>3546</c:v>
                </c:pt>
                <c:pt idx="56">
                  <c:v>3649</c:v>
                </c:pt>
                <c:pt idx="57">
                  <c:v>3711</c:v>
                </c:pt>
                <c:pt idx="58">
                  <c:v>3711</c:v>
                </c:pt>
                <c:pt idx="59">
                  <c:v>3711</c:v>
                </c:pt>
                <c:pt idx="60">
                  <c:v>3838</c:v>
                </c:pt>
                <c:pt idx="61">
                  <c:v>3872</c:v>
                </c:pt>
                <c:pt idx="62">
                  <c:v>3872</c:v>
                </c:pt>
                <c:pt idx="63">
                  <c:v>3898</c:v>
                </c:pt>
                <c:pt idx="64">
                  <c:v>3946</c:v>
                </c:pt>
                <c:pt idx="65">
                  <c:v>3946</c:v>
                </c:pt>
                <c:pt idx="66">
                  <c:v>3946</c:v>
                </c:pt>
                <c:pt idx="67">
                  <c:v>3946</c:v>
                </c:pt>
                <c:pt idx="68">
                  <c:v>3946</c:v>
                </c:pt>
                <c:pt idx="69">
                  <c:v>3946</c:v>
                </c:pt>
                <c:pt idx="70">
                  <c:v>3946</c:v>
                </c:pt>
                <c:pt idx="71">
                  <c:v>3946</c:v>
                </c:pt>
                <c:pt idx="72">
                  <c:v>3967</c:v>
                </c:pt>
                <c:pt idx="73">
                  <c:v>4006</c:v>
                </c:pt>
                <c:pt idx="74">
                  <c:v>4095</c:v>
                </c:pt>
                <c:pt idx="75">
                  <c:v>4125</c:v>
                </c:pt>
                <c:pt idx="76">
                  <c:v>4145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  <c:pt idx="81">
                  <c:v>4297</c:v>
                </c:pt>
                <c:pt idx="82">
                  <c:v>4450</c:v>
                </c:pt>
                <c:pt idx="83">
                  <c:v>4589</c:v>
                </c:pt>
                <c:pt idx="84">
                  <c:v>4625</c:v>
                </c:pt>
                <c:pt idx="85">
                  <c:v>4645</c:v>
                </c:pt>
                <c:pt idx="86">
                  <c:v>4645</c:v>
                </c:pt>
                <c:pt idx="87">
                  <c:v>4645</c:v>
                </c:pt>
                <c:pt idx="88">
                  <c:v>4672</c:v>
                </c:pt>
                <c:pt idx="89">
                  <c:v>4691</c:v>
                </c:pt>
                <c:pt idx="90">
                  <c:v>4691</c:v>
                </c:pt>
                <c:pt idx="91">
                  <c:v>4691</c:v>
                </c:pt>
                <c:pt idx="92">
                  <c:v>4727</c:v>
                </c:pt>
                <c:pt idx="93">
                  <c:v>4727</c:v>
                </c:pt>
                <c:pt idx="94">
                  <c:v>4778</c:v>
                </c:pt>
                <c:pt idx="95">
                  <c:v>4815</c:v>
                </c:pt>
                <c:pt idx="96">
                  <c:v>4856</c:v>
                </c:pt>
                <c:pt idx="97">
                  <c:v>4944</c:v>
                </c:pt>
                <c:pt idx="98">
                  <c:v>4998</c:v>
                </c:pt>
                <c:pt idx="99">
                  <c:v>4998</c:v>
                </c:pt>
                <c:pt idx="100">
                  <c:v>4998</c:v>
                </c:pt>
                <c:pt idx="101">
                  <c:v>5112</c:v>
                </c:pt>
                <c:pt idx="102">
                  <c:v>5112</c:v>
                </c:pt>
                <c:pt idx="103">
                  <c:v>5112</c:v>
                </c:pt>
                <c:pt idx="104">
                  <c:v>5112</c:v>
                </c:pt>
                <c:pt idx="105">
                  <c:v>5112</c:v>
                </c:pt>
                <c:pt idx="106">
                  <c:v>5130</c:v>
                </c:pt>
                <c:pt idx="107">
                  <c:v>5130</c:v>
                </c:pt>
                <c:pt idx="108">
                  <c:v>5146</c:v>
                </c:pt>
                <c:pt idx="109">
                  <c:v>5218</c:v>
                </c:pt>
                <c:pt idx="110">
                  <c:v>5296</c:v>
                </c:pt>
                <c:pt idx="111">
                  <c:v>5514</c:v>
                </c:pt>
                <c:pt idx="112">
                  <c:v>5514</c:v>
                </c:pt>
                <c:pt idx="113">
                  <c:v>5514</c:v>
                </c:pt>
                <c:pt idx="114">
                  <c:v>5551</c:v>
                </c:pt>
                <c:pt idx="115">
                  <c:v>5551</c:v>
                </c:pt>
                <c:pt idx="116">
                  <c:v>5758</c:v>
                </c:pt>
                <c:pt idx="117">
                  <c:v>5758</c:v>
                </c:pt>
                <c:pt idx="118">
                  <c:v>5800</c:v>
                </c:pt>
                <c:pt idx="119">
                  <c:v>5800</c:v>
                </c:pt>
                <c:pt idx="120">
                  <c:v>5800</c:v>
                </c:pt>
                <c:pt idx="121">
                  <c:v>5800</c:v>
                </c:pt>
                <c:pt idx="122">
                  <c:v>5800</c:v>
                </c:pt>
                <c:pt idx="123">
                  <c:v>5833</c:v>
                </c:pt>
                <c:pt idx="124">
                  <c:v>5876</c:v>
                </c:pt>
                <c:pt idx="125">
                  <c:v>5941</c:v>
                </c:pt>
                <c:pt idx="126">
                  <c:v>5941</c:v>
                </c:pt>
                <c:pt idx="127">
                  <c:v>5941</c:v>
                </c:pt>
                <c:pt idx="128">
                  <c:v>5941</c:v>
                </c:pt>
                <c:pt idx="129">
                  <c:v>5941</c:v>
                </c:pt>
                <c:pt idx="130">
                  <c:v>5941</c:v>
                </c:pt>
                <c:pt idx="131">
                  <c:v>5941</c:v>
                </c:pt>
                <c:pt idx="132">
                  <c:v>5941</c:v>
                </c:pt>
                <c:pt idx="133">
                  <c:v>5941</c:v>
                </c:pt>
                <c:pt idx="134">
                  <c:v>5941</c:v>
                </c:pt>
                <c:pt idx="135">
                  <c:v>5941</c:v>
                </c:pt>
                <c:pt idx="136">
                  <c:v>5941</c:v>
                </c:pt>
                <c:pt idx="137">
                  <c:v>5941</c:v>
                </c:pt>
                <c:pt idx="138">
                  <c:v>5941</c:v>
                </c:pt>
                <c:pt idx="139">
                  <c:v>5941</c:v>
                </c:pt>
                <c:pt idx="140">
                  <c:v>5941</c:v>
                </c:pt>
                <c:pt idx="141">
                  <c:v>5941</c:v>
                </c:pt>
                <c:pt idx="142">
                  <c:v>6018</c:v>
                </c:pt>
                <c:pt idx="143">
                  <c:v>6018</c:v>
                </c:pt>
                <c:pt idx="144">
                  <c:v>6039</c:v>
                </c:pt>
                <c:pt idx="145">
                  <c:v>6039</c:v>
                </c:pt>
                <c:pt idx="146">
                  <c:v>6039</c:v>
                </c:pt>
                <c:pt idx="147">
                  <c:v>6039</c:v>
                </c:pt>
                <c:pt idx="148">
                  <c:v>6039</c:v>
                </c:pt>
                <c:pt idx="149">
                  <c:v>6039</c:v>
                </c:pt>
                <c:pt idx="150">
                  <c:v>6039</c:v>
                </c:pt>
                <c:pt idx="151">
                  <c:v>6039</c:v>
                </c:pt>
                <c:pt idx="152">
                  <c:v>6039</c:v>
                </c:pt>
                <c:pt idx="153">
                  <c:v>6039</c:v>
                </c:pt>
                <c:pt idx="154">
                  <c:v>6039</c:v>
                </c:pt>
                <c:pt idx="155">
                  <c:v>6039</c:v>
                </c:pt>
                <c:pt idx="156">
                  <c:v>6039</c:v>
                </c:pt>
                <c:pt idx="157">
                  <c:v>6039</c:v>
                </c:pt>
                <c:pt idx="158">
                  <c:v>6039</c:v>
                </c:pt>
                <c:pt idx="159">
                  <c:v>6039</c:v>
                </c:pt>
                <c:pt idx="160">
                  <c:v>6039</c:v>
                </c:pt>
                <c:pt idx="161">
                  <c:v>6039</c:v>
                </c:pt>
                <c:pt idx="162">
                  <c:v>6039</c:v>
                </c:pt>
                <c:pt idx="163">
                  <c:v>6039</c:v>
                </c:pt>
                <c:pt idx="164">
                  <c:v>6095</c:v>
                </c:pt>
                <c:pt idx="165">
                  <c:v>6095</c:v>
                </c:pt>
                <c:pt idx="166">
                  <c:v>6095</c:v>
                </c:pt>
                <c:pt idx="167">
                  <c:v>6144</c:v>
                </c:pt>
                <c:pt idx="168">
                  <c:v>6144</c:v>
                </c:pt>
                <c:pt idx="169">
                  <c:v>6144</c:v>
                </c:pt>
                <c:pt idx="170">
                  <c:v>6144</c:v>
                </c:pt>
                <c:pt idx="171">
                  <c:v>6219</c:v>
                </c:pt>
                <c:pt idx="172">
                  <c:v>6262</c:v>
                </c:pt>
                <c:pt idx="173">
                  <c:v>6262</c:v>
                </c:pt>
                <c:pt idx="174">
                  <c:v>6345</c:v>
                </c:pt>
                <c:pt idx="175">
                  <c:v>6345</c:v>
                </c:pt>
                <c:pt idx="176">
                  <c:v>6376</c:v>
                </c:pt>
                <c:pt idx="177">
                  <c:v>6401</c:v>
                </c:pt>
                <c:pt idx="178">
                  <c:v>6401</c:v>
                </c:pt>
                <c:pt idx="179">
                  <c:v>6401</c:v>
                </c:pt>
                <c:pt idx="180">
                  <c:v>6401</c:v>
                </c:pt>
                <c:pt idx="181">
                  <c:v>6433</c:v>
                </c:pt>
                <c:pt idx="182">
                  <c:v>6433</c:v>
                </c:pt>
                <c:pt idx="183">
                  <c:v>6433</c:v>
                </c:pt>
                <c:pt idx="184">
                  <c:v>6433</c:v>
                </c:pt>
                <c:pt idx="185">
                  <c:v>6433</c:v>
                </c:pt>
                <c:pt idx="186">
                  <c:v>6433</c:v>
                </c:pt>
                <c:pt idx="187">
                  <c:v>6433</c:v>
                </c:pt>
                <c:pt idx="188">
                  <c:v>6433</c:v>
                </c:pt>
                <c:pt idx="189">
                  <c:v>6469</c:v>
                </c:pt>
                <c:pt idx="190">
                  <c:v>6469</c:v>
                </c:pt>
                <c:pt idx="191">
                  <c:v>6469</c:v>
                </c:pt>
                <c:pt idx="192">
                  <c:v>6469</c:v>
                </c:pt>
                <c:pt idx="193">
                  <c:v>6581</c:v>
                </c:pt>
                <c:pt idx="194">
                  <c:v>6625</c:v>
                </c:pt>
                <c:pt idx="195">
                  <c:v>6662</c:v>
                </c:pt>
                <c:pt idx="196">
                  <c:v>6766</c:v>
                </c:pt>
                <c:pt idx="197">
                  <c:v>6845</c:v>
                </c:pt>
                <c:pt idx="198">
                  <c:v>6909</c:v>
                </c:pt>
                <c:pt idx="199">
                  <c:v>6973</c:v>
                </c:pt>
                <c:pt idx="200">
                  <c:v>7054</c:v>
                </c:pt>
                <c:pt idx="201">
                  <c:v>7108</c:v>
                </c:pt>
                <c:pt idx="202">
                  <c:v>7147</c:v>
                </c:pt>
                <c:pt idx="203">
                  <c:v>7147</c:v>
                </c:pt>
                <c:pt idx="204">
                  <c:v>7147</c:v>
                </c:pt>
                <c:pt idx="205">
                  <c:v>7147</c:v>
                </c:pt>
                <c:pt idx="206">
                  <c:v>7147</c:v>
                </c:pt>
                <c:pt idx="207">
                  <c:v>7191</c:v>
                </c:pt>
                <c:pt idx="208">
                  <c:v>7215</c:v>
                </c:pt>
                <c:pt idx="209">
                  <c:v>7216</c:v>
                </c:pt>
                <c:pt idx="210">
                  <c:v>7238</c:v>
                </c:pt>
                <c:pt idx="211">
                  <c:v>7238</c:v>
                </c:pt>
                <c:pt idx="212">
                  <c:v>7248</c:v>
                </c:pt>
                <c:pt idx="213">
                  <c:v>7248</c:v>
                </c:pt>
                <c:pt idx="214">
                  <c:v>7299</c:v>
                </c:pt>
                <c:pt idx="215">
                  <c:v>7419</c:v>
                </c:pt>
                <c:pt idx="216">
                  <c:v>7504</c:v>
                </c:pt>
                <c:pt idx="217">
                  <c:v>7714</c:v>
                </c:pt>
                <c:pt idx="218">
                  <c:v>7760</c:v>
                </c:pt>
                <c:pt idx="219">
                  <c:v>7843</c:v>
                </c:pt>
                <c:pt idx="220">
                  <c:v>7927</c:v>
                </c:pt>
                <c:pt idx="221">
                  <c:v>8067</c:v>
                </c:pt>
                <c:pt idx="222">
                  <c:v>8165</c:v>
                </c:pt>
                <c:pt idx="223">
                  <c:v>8192</c:v>
                </c:pt>
                <c:pt idx="224">
                  <c:v>8192</c:v>
                </c:pt>
                <c:pt idx="225">
                  <c:v>8193</c:v>
                </c:pt>
                <c:pt idx="226">
                  <c:v>8193</c:v>
                </c:pt>
                <c:pt idx="227">
                  <c:v>8193</c:v>
                </c:pt>
                <c:pt idx="228">
                  <c:v>8193</c:v>
                </c:pt>
                <c:pt idx="229">
                  <c:v>8196</c:v>
                </c:pt>
                <c:pt idx="230">
                  <c:v>8271</c:v>
                </c:pt>
                <c:pt idx="231">
                  <c:v>8271</c:v>
                </c:pt>
                <c:pt idx="232">
                  <c:v>8382</c:v>
                </c:pt>
                <c:pt idx="233">
                  <c:v>8382</c:v>
                </c:pt>
                <c:pt idx="234">
                  <c:v>8382</c:v>
                </c:pt>
                <c:pt idx="235">
                  <c:v>8382</c:v>
                </c:pt>
                <c:pt idx="236">
                  <c:v>8382</c:v>
                </c:pt>
                <c:pt idx="237">
                  <c:v>8383</c:v>
                </c:pt>
                <c:pt idx="238">
                  <c:v>8383</c:v>
                </c:pt>
                <c:pt idx="239">
                  <c:v>8383</c:v>
                </c:pt>
                <c:pt idx="240">
                  <c:v>8383</c:v>
                </c:pt>
                <c:pt idx="241">
                  <c:v>8383</c:v>
                </c:pt>
                <c:pt idx="242">
                  <c:v>8383</c:v>
                </c:pt>
                <c:pt idx="243">
                  <c:v>8383</c:v>
                </c:pt>
                <c:pt idx="244">
                  <c:v>8383</c:v>
                </c:pt>
                <c:pt idx="245">
                  <c:v>8383</c:v>
                </c:pt>
                <c:pt idx="246">
                  <c:v>8383</c:v>
                </c:pt>
                <c:pt idx="247">
                  <c:v>8383</c:v>
                </c:pt>
                <c:pt idx="248">
                  <c:v>8383</c:v>
                </c:pt>
                <c:pt idx="249">
                  <c:v>8384</c:v>
                </c:pt>
                <c:pt idx="250">
                  <c:v>8385</c:v>
                </c:pt>
                <c:pt idx="251">
                  <c:v>8385</c:v>
                </c:pt>
                <c:pt idx="252">
                  <c:v>8385</c:v>
                </c:pt>
                <c:pt idx="253">
                  <c:v>8385</c:v>
                </c:pt>
                <c:pt idx="254">
                  <c:v>8385</c:v>
                </c:pt>
                <c:pt idx="255">
                  <c:v>8385</c:v>
                </c:pt>
                <c:pt idx="256">
                  <c:v>8386</c:v>
                </c:pt>
                <c:pt idx="257">
                  <c:v>8387</c:v>
                </c:pt>
                <c:pt idx="258">
                  <c:v>8387</c:v>
                </c:pt>
                <c:pt idx="259">
                  <c:v>8387</c:v>
                </c:pt>
                <c:pt idx="260">
                  <c:v>8387</c:v>
                </c:pt>
                <c:pt idx="261">
                  <c:v>8387</c:v>
                </c:pt>
                <c:pt idx="262">
                  <c:v>8387</c:v>
                </c:pt>
                <c:pt idx="263">
                  <c:v>8387</c:v>
                </c:pt>
                <c:pt idx="264">
                  <c:v>8387</c:v>
                </c:pt>
                <c:pt idx="265">
                  <c:v>8387</c:v>
                </c:pt>
                <c:pt idx="266">
                  <c:v>8387</c:v>
                </c:pt>
                <c:pt idx="267">
                  <c:v>8387</c:v>
                </c:pt>
                <c:pt idx="268">
                  <c:v>8387</c:v>
                </c:pt>
                <c:pt idx="269">
                  <c:v>8387</c:v>
                </c:pt>
                <c:pt idx="270">
                  <c:v>8387</c:v>
                </c:pt>
                <c:pt idx="271">
                  <c:v>8391</c:v>
                </c:pt>
                <c:pt idx="272">
                  <c:v>8391</c:v>
                </c:pt>
                <c:pt idx="273">
                  <c:v>8391</c:v>
                </c:pt>
                <c:pt idx="274">
                  <c:v>8391</c:v>
                </c:pt>
                <c:pt idx="275">
                  <c:v>8391</c:v>
                </c:pt>
                <c:pt idx="276">
                  <c:v>8391</c:v>
                </c:pt>
                <c:pt idx="277">
                  <c:v>8391</c:v>
                </c:pt>
                <c:pt idx="278">
                  <c:v>8391</c:v>
                </c:pt>
                <c:pt idx="279">
                  <c:v>8391</c:v>
                </c:pt>
                <c:pt idx="280">
                  <c:v>8391</c:v>
                </c:pt>
                <c:pt idx="281">
                  <c:v>8391</c:v>
                </c:pt>
                <c:pt idx="282">
                  <c:v>8391</c:v>
                </c:pt>
                <c:pt idx="283">
                  <c:v>8391</c:v>
                </c:pt>
                <c:pt idx="284">
                  <c:v>8391</c:v>
                </c:pt>
                <c:pt idx="285">
                  <c:v>8395</c:v>
                </c:pt>
                <c:pt idx="286">
                  <c:v>8395</c:v>
                </c:pt>
                <c:pt idx="287">
                  <c:v>8395</c:v>
                </c:pt>
                <c:pt idx="288">
                  <c:v>8395</c:v>
                </c:pt>
                <c:pt idx="289">
                  <c:v>8395</c:v>
                </c:pt>
                <c:pt idx="290">
                  <c:v>8395</c:v>
                </c:pt>
                <c:pt idx="291">
                  <c:v>8400</c:v>
                </c:pt>
                <c:pt idx="292">
                  <c:v>8401</c:v>
                </c:pt>
                <c:pt idx="293">
                  <c:v>8401</c:v>
                </c:pt>
                <c:pt idx="294">
                  <c:v>8401</c:v>
                </c:pt>
                <c:pt idx="295">
                  <c:v>8401</c:v>
                </c:pt>
                <c:pt idx="296">
                  <c:v>8401</c:v>
                </c:pt>
                <c:pt idx="297">
                  <c:v>8401</c:v>
                </c:pt>
                <c:pt idx="298">
                  <c:v>8438</c:v>
                </c:pt>
                <c:pt idx="299">
                  <c:v>8438</c:v>
                </c:pt>
                <c:pt idx="300">
                  <c:v>8470</c:v>
                </c:pt>
                <c:pt idx="301">
                  <c:v>8470</c:v>
                </c:pt>
                <c:pt idx="302">
                  <c:v>8470</c:v>
                </c:pt>
                <c:pt idx="303">
                  <c:v>8470</c:v>
                </c:pt>
                <c:pt idx="304">
                  <c:v>8470</c:v>
                </c:pt>
                <c:pt idx="305">
                  <c:v>8516</c:v>
                </c:pt>
                <c:pt idx="306">
                  <c:v>8516</c:v>
                </c:pt>
                <c:pt idx="307">
                  <c:v>8516</c:v>
                </c:pt>
                <c:pt idx="308">
                  <c:v>8516</c:v>
                </c:pt>
                <c:pt idx="309">
                  <c:v>8516</c:v>
                </c:pt>
                <c:pt idx="310">
                  <c:v>8516</c:v>
                </c:pt>
                <c:pt idx="311">
                  <c:v>8516</c:v>
                </c:pt>
                <c:pt idx="312">
                  <c:v>8516</c:v>
                </c:pt>
                <c:pt idx="313">
                  <c:v>8516</c:v>
                </c:pt>
                <c:pt idx="314">
                  <c:v>8516</c:v>
                </c:pt>
                <c:pt idx="315">
                  <c:v>8516</c:v>
                </c:pt>
                <c:pt idx="316">
                  <c:v>8516</c:v>
                </c:pt>
                <c:pt idx="317">
                  <c:v>8516</c:v>
                </c:pt>
                <c:pt idx="318">
                  <c:v>8516</c:v>
                </c:pt>
                <c:pt idx="319">
                  <c:v>8551</c:v>
                </c:pt>
                <c:pt idx="320">
                  <c:v>8571</c:v>
                </c:pt>
                <c:pt idx="321">
                  <c:v>8630</c:v>
                </c:pt>
                <c:pt idx="322">
                  <c:v>8630</c:v>
                </c:pt>
                <c:pt idx="323">
                  <c:v>8630</c:v>
                </c:pt>
                <c:pt idx="324">
                  <c:v>8630</c:v>
                </c:pt>
                <c:pt idx="325">
                  <c:v>8757</c:v>
                </c:pt>
                <c:pt idx="326">
                  <c:v>8779</c:v>
                </c:pt>
                <c:pt idx="327">
                  <c:v>8849</c:v>
                </c:pt>
                <c:pt idx="328">
                  <c:v>8911</c:v>
                </c:pt>
                <c:pt idx="329">
                  <c:v>8918</c:v>
                </c:pt>
                <c:pt idx="330">
                  <c:v>8925</c:v>
                </c:pt>
                <c:pt idx="331">
                  <c:v>8926</c:v>
                </c:pt>
                <c:pt idx="332">
                  <c:v>8926</c:v>
                </c:pt>
                <c:pt idx="333">
                  <c:v>8926</c:v>
                </c:pt>
                <c:pt idx="334">
                  <c:v>8926</c:v>
                </c:pt>
                <c:pt idx="335">
                  <c:v>8926</c:v>
                </c:pt>
                <c:pt idx="336">
                  <c:v>8926</c:v>
                </c:pt>
                <c:pt idx="337">
                  <c:v>8926</c:v>
                </c:pt>
                <c:pt idx="338">
                  <c:v>8987</c:v>
                </c:pt>
                <c:pt idx="339">
                  <c:v>8995</c:v>
                </c:pt>
                <c:pt idx="340">
                  <c:v>9014</c:v>
                </c:pt>
                <c:pt idx="341">
                  <c:v>9066</c:v>
                </c:pt>
                <c:pt idx="342">
                  <c:v>9066</c:v>
                </c:pt>
                <c:pt idx="343">
                  <c:v>9066</c:v>
                </c:pt>
                <c:pt idx="344">
                  <c:v>9066</c:v>
                </c:pt>
                <c:pt idx="345">
                  <c:v>9066</c:v>
                </c:pt>
                <c:pt idx="346">
                  <c:v>9066</c:v>
                </c:pt>
                <c:pt idx="347">
                  <c:v>9126</c:v>
                </c:pt>
                <c:pt idx="348">
                  <c:v>9136</c:v>
                </c:pt>
                <c:pt idx="349">
                  <c:v>9184</c:v>
                </c:pt>
                <c:pt idx="350">
                  <c:v>9184</c:v>
                </c:pt>
                <c:pt idx="351">
                  <c:v>9184</c:v>
                </c:pt>
                <c:pt idx="352">
                  <c:v>9184</c:v>
                </c:pt>
                <c:pt idx="353">
                  <c:v>9184</c:v>
                </c:pt>
                <c:pt idx="354">
                  <c:v>9184</c:v>
                </c:pt>
                <c:pt idx="355">
                  <c:v>9184</c:v>
                </c:pt>
                <c:pt idx="356">
                  <c:v>9258</c:v>
                </c:pt>
                <c:pt idx="357">
                  <c:v>9406</c:v>
                </c:pt>
                <c:pt idx="358">
                  <c:v>9410</c:v>
                </c:pt>
                <c:pt idx="359">
                  <c:v>9434</c:v>
                </c:pt>
                <c:pt idx="360">
                  <c:v>9503</c:v>
                </c:pt>
                <c:pt idx="361">
                  <c:v>9520</c:v>
                </c:pt>
                <c:pt idx="362">
                  <c:v>9547</c:v>
                </c:pt>
                <c:pt idx="363">
                  <c:v>9598</c:v>
                </c:pt>
                <c:pt idx="364">
                  <c:v>9598</c:v>
                </c:pt>
                <c:pt idx="365">
                  <c:v>9635</c:v>
                </c:pt>
                <c:pt idx="366">
                  <c:v>9635</c:v>
                </c:pt>
                <c:pt idx="367">
                  <c:v>9713</c:v>
                </c:pt>
                <c:pt idx="368">
                  <c:v>9714</c:v>
                </c:pt>
                <c:pt idx="369">
                  <c:v>9714</c:v>
                </c:pt>
                <c:pt idx="370">
                  <c:v>9714</c:v>
                </c:pt>
                <c:pt idx="371">
                  <c:v>9714</c:v>
                </c:pt>
                <c:pt idx="372">
                  <c:v>9714</c:v>
                </c:pt>
                <c:pt idx="373">
                  <c:v>9714</c:v>
                </c:pt>
                <c:pt idx="374">
                  <c:v>9714</c:v>
                </c:pt>
                <c:pt idx="375">
                  <c:v>9714</c:v>
                </c:pt>
                <c:pt idx="376">
                  <c:v>9714</c:v>
                </c:pt>
                <c:pt idx="377">
                  <c:v>9714</c:v>
                </c:pt>
                <c:pt idx="378">
                  <c:v>9714</c:v>
                </c:pt>
                <c:pt idx="379">
                  <c:v>9714</c:v>
                </c:pt>
                <c:pt idx="380">
                  <c:v>9714</c:v>
                </c:pt>
                <c:pt idx="381">
                  <c:v>9714</c:v>
                </c:pt>
                <c:pt idx="382">
                  <c:v>9714</c:v>
                </c:pt>
                <c:pt idx="383">
                  <c:v>9714</c:v>
                </c:pt>
                <c:pt idx="384">
                  <c:v>9714</c:v>
                </c:pt>
                <c:pt idx="385">
                  <c:v>9714</c:v>
                </c:pt>
                <c:pt idx="386">
                  <c:v>9714</c:v>
                </c:pt>
                <c:pt idx="387">
                  <c:v>9714</c:v>
                </c:pt>
                <c:pt idx="388">
                  <c:v>9714</c:v>
                </c:pt>
                <c:pt idx="389">
                  <c:v>9735</c:v>
                </c:pt>
                <c:pt idx="390">
                  <c:v>9745</c:v>
                </c:pt>
                <c:pt idx="391">
                  <c:v>9787</c:v>
                </c:pt>
                <c:pt idx="392">
                  <c:v>9787</c:v>
                </c:pt>
                <c:pt idx="393">
                  <c:v>9883</c:v>
                </c:pt>
                <c:pt idx="394">
                  <c:v>9976</c:v>
                </c:pt>
                <c:pt idx="395">
                  <c:v>9988</c:v>
                </c:pt>
                <c:pt idx="396">
                  <c:v>9988</c:v>
                </c:pt>
                <c:pt idx="397">
                  <c:v>9988</c:v>
                </c:pt>
                <c:pt idx="398">
                  <c:v>9995</c:v>
                </c:pt>
                <c:pt idx="399">
                  <c:v>9995</c:v>
                </c:pt>
                <c:pt idx="400">
                  <c:v>9995</c:v>
                </c:pt>
                <c:pt idx="401">
                  <c:v>9995</c:v>
                </c:pt>
                <c:pt idx="402">
                  <c:v>9995</c:v>
                </c:pt>
                <c:pt idx="403">
                  <c:v>9995</c:v>
                </c:pt>
                <c:pt idx="404">
                  <c:v>9995</c:v>
                </c:pt>
                <c:pt idx="405">
                  <c:v>9995</c:v>
                </c:pt>
                <c:pt idx="406">
                  <c:v>9995</c:v>
                </c:pt>
                <c:pt idx="407">
                  <c:v>9995</c:v>
                </c:pt>
                <c:pt idx="408">
                  <c:v>9995</c:v>
                </c:pt>
                <c:pt idx="409">
                  <c:v>9995</c:v>
                </c:pt>
                <c:pt idx="410">
                  <c:v>9995</c:v>
                </c:pt>
                <c:pt idx="411">
                  <c:v>9995</c:v>
                </c:pt>
                <c:pt idx="412">
                  <c:v>9995</c:v>
                </c:pt>
                <c:pt idx="413">
                  <c:v>9995</c:v>
                </c:pt>
                <c:pt idx="414">
                  <c:v>9995</c:v>
                </c:pt>
                <c:pt idx="415">
                  <c:v>9995</c:v>
                </c:pt>
                <c:pt idx="416">
                  <c:v>9995</c:v>
                </c:pt>
                <c:pt idx="417">
                  <c:v>9995</c:v>
                </c:pt>
                <c:pt idx="418">
                  <c:v>9995</c:v>
                </c:pt>
                <c:pt idx="419">
                  <c:v>9995</c:v>
                </c:pt>
                <c:pt idx="420">
                  <c:v>9995</c:v>
                </c:pt>
                <c:pt idx="421">
                  <c:v>9995</c:v>
                </c:pt>
                <c:pt idx="422">
                  <c:v>9995</c:v>
                </c:pt>
                <c:pt idx="423">
                  <c:v>9995</c:v>
                </c:pt>
                <c:pt idx="424">
                  <c:v>9995</c:v>
                </c:pt>
                <c:pt idx="425">
                  <c:v>9995</c:v>
                </c:pt>
                <c:pt idx="426">
                  <c:v>9995</c:v>
                </c:pt>
                <c:pt idx="427">
                  <c:v>9995</c:v>
                </c:pt>
                <c:pt idx="428">
                  <c:v>9995</c:v>
                </c:pt>
                <c:pt idx="429">
                  <c:v>9995</c:v>
                </c:pt>
                <c:pt idx="430">
                  <c:v>9995</c:v>
                </c:pt>
                <c:pt idx="431">
                  <c:v>9995</c:v>
                </c:pt>
                <c:pt idx="432">
                  <c:v>9995</c:v>
                </c:pt>
                <c:pt idx="433">
                  <c:v>9995</c:v>
                </c:pt>
                <c:pt idx="434">
                  <c:v>9995</c:v>
                </c:pt>
                <c:pt idx="435">
                  <c:v>9995</c:v>
                </c:pt>
                <c:pt idx="436">
                  <c:v>9995</c:v>
                </c:pt>
                <c:pt idx="437">
                  <c:v>9995</c:v>
                </c:pt>
                <c:pt idx="438">
                  <c:v>9995</c:v>
                </c:pt>
                <c:pt idx="439">
                  <c:v>9995</c:v>
                </c:pt>
                <c:pt idx="440">
                  <c:v>10026</c:v>
                </c:pt>
                <c:pt idx="441">
                  <c:v>10026</c:v>
                </c:pt>
                <c:pt idx="442">
                  <c:v>10026</c:v>
                </c:pt>
                <c:pt idx="443">
                  <c:v>10026</c:v>
                </c:pt>
                <c:pt idx="444">
                  <c:v>10026</c:v>
                </c:pt>
                <c:pt idx="445">
                  <c:v>10026</c:v>
                </c:pt>
                <c:pt idx="446">
                  <c:v>10026</c:v>
                </c:pt>
                <c:pt idx="447">
                  <c:v>10026</c:v>
                </c:pt>
                <c:pt idx="448">
                  <c:v>10026</c:v>
                </c:pt>
                <c:pt idx="449">
                  <c:v>10026</c:v>
                </c:pt>
                <c:pt idx="450">
                  <c:v>10026</c:v>
                </c:pt>
                <c:pt idx="451">
                  <c:v>10026</c:v>
                </c:pt>
                <c:pt idx="452">
                  <c:v>10026</c:v>
                </c:pt>
                <c:pt idx="453">
                  <c:v>10026</c:v>
                </c:pt>
                <c:pt idx="454">
                  <c:v>10026</c:v>
                </c:pt>
                <c:pt idx="455">
                  <c:v>10026</c:v>
                </c:pt>
                <c:pt idx="456">
                  <c:v>10056</c:v>
                </c:pt>
                <c:pt idx="457">
                  <c:v>10079</c:v>
                </c:pt>
                <c:pt idx="458">
                  <c:v>10111</c:v>
                </c:pt>
                <c:pt idx="459">
                  <c:v>10111</c:v>
                </c:pt>
                <c:pt idx="460">
                  <c:v>10111</c:v>
                </c:pt>
                <c:pt idx="461">
                  <c:v>10111</c:v>
                </c:pt>
                <c:pt idx="462">
                  <c:v>10111</c:v>
                </c:pt>
                <c:pt idx="463">
                  <c:v>10111</c:v>
                </c:pt>
                <c:pt idx="464">
                  <c:v>10111</c:v>
                </c:pt>
                <c:pt idx="465">
                  <c:v>10111</c:v>
                </c:pt>
                <c:pt idx="466">
                  <c:v>10111</c:v>
                </c:pt>
                <c:pt idx="467">
                  <c:v>10111</c:v>
                </c:pt>
                <c:pt idx="468">
                  <c:v>10111</c:v>
                </c:pt>
                <c:pt idx="469">
                  <c:v>10133</c:v>
                </c:pt>
                <c:pt idx="470">
                  <c:v>10148</c:v>
                </c:pt>
                <c:pt idx="471">
                  <c:v>10148</c:v>
                </c:pt>
                <c:pt idx="472">
                  <c:v>10182</c:v>
                </c:pt>
                <c:pt idx="473">
                  <c:v>10182</c:v>
                </c:pt>
                <c:pt idx="474">
                  <c:v>10182</c:v>
                </c:pt>
                <c:pt idx="475">
                  <c:v>10182</c:v>
                </c:pt>
                <c:pt idx="476">
                  <c:v>10182</c:v>
                </c:pt>
                <c:pt idx="477">
                  <c:v>10182</c:v>
                </c:pt>
                <c:pt idx="478">
                  <c:v>10182</c:v>
                </c:pt>
                <c:pt idx="479">
                  <c:v>10182</c:v>
                </c:pt>
                <c:pt idx="480">
                  <c:v>10182</c:v>
                </c:pt>
                <c:pt idx="481">
                  <c:v>10182</c:v>
                </c:pt>
                <c:pt idx="482">
                  <c:v>10182</c:v>
                </c:pt>
                <c:pt idx="483">
                  <c:v>10182</c:v>
                </c:pt>
                <c:pt idx="484">
                  <c:v>10215</c:v>
                </c:pt>
                <c:pt idx="485">
                  <c:v>10303</c:v>
                </c:pt>
                <c:pt idx="486">
                  <c:v>10303</c:v>
                </c:pt>
                <c:pt idx="487">
                  <c:v>10341</c:v>
                </c:pt>
                <c:pt idx="488">
                  <c:v>10341</c:v>
                </c:pt>
                <c:pt idx="489">
                  <c:v>10375</c:v>
                </c:pt>
                <c:pt idx="490">
                  <c:v>10375</c:v>
                </c:pt>
                <c:pt idx="491">
                  <c:v>10375</c:v>
                </c:pt>
                <c:pt idx="492">
                  <c:v>10504</c:v>
                </c:pt>
                <c:pt idx="493">
                  <c:v>10504</c:v>
                </c:pt>
                <c:pt idx="494">
                  <c:v>10504</c:v>
                </c:pt>
                <c:pt idx="495">
                  <c:v>10523</c:v>
                </c:pt>
                <c:pt idx="496">
                  <c:v>10548</c:v>
                </c:pt>
                <c:pt idx="497">
                  <c:v>10571</c:v>
                </c:pt>
                <c:pt idx="498">
                  <c:v>10571</c:v>
                </c:pt>
                <c:pt idx="499">
                  <c:v>10643</c:v>
                </c:pt>
                <c:pt idx="500">
                  <c:v>10689</c:v>
                </c:pt>
                <c:pt idx="501">
                  <c:v>10701</c:v>
                </c:pt>
                <c:pt idx="502">
                  <c:v>10701</c:v>
                </c:pt>
                <c:pt idx="503">
                  <c:v>10701</c:v>
                </c:pt>
                <c:pt idx="504">
                  <c:v>10701</c:v>
                </c:pt>
                <c:pt idx="505">
                  <c:v>10701</c:v>
                </c:pt>
                <c:pt idx="506">
                  <c:v>10701</c:v>
                </c:pt>
                <c:pt idx="507">
                  <c:v>10808</c:v>
                </c:pt>
                <c:pt idx="508">
                  <c:v>10808</c:v>
                </c:pt>
                <c:pt idx="509">
                  <c:v>10808</c:v>
                </c:pt>
                <c:pt idx="510">
                  <c:v>10808</c:v>
                </c:pt>
                <c:pt idx="511">
                  <c:v>10808</c:v>
                </c:pt>
                <c:pt idx="512">
                  <c:v>10808</c:v>
                </c:pt>
                <c:pt idx="513">
                  <c:v>10808</c:v>
                </c:pt>
                <c:pt idx="514">
                  <c:v>10808</c:v>
                </c:pt>
                <c:pt idx="515">
                  <c:v>10808</c:v>
                </c:pt>
                <c:pt idx="516">
                  <c:v>10808</c:v>
                </c:pt>
                <c:pt idx="517">
                  <c:v>10808</c:v>
                </c:pt>
                <c:pt idx="518">
                  <c:v>10808</c:v>
                </c:pt>
                <c:pt idx="519">
                  <c:v>10808</c:v>
                </c:pt>
                <c:pt idx="520">
                  <c:v>10808</c:v>
                </c:pt>
                <c:pt idx="521">
                  <c:v>10808</c:v>
                </c:pt>
                <c:pt idx="522">
                  <c:v>10808</c:v>
                </c:pt>
                <c:pt idx="523">
                  <c:v>10808</c:v>
                </c:pt>
                <c:pt idx="524">
                  <c:v>10808</c:v>
                </c:pt>
                <c:pt idx="525">
                  <c:v>10808</c:v>
                </c:pt>
                <c:pt idx="526">
                  <c:v>10808</c:v>
                </c:pt>
                <c:pt idx="527">
                  <c:v>10808</c:v>
                </c:pt>
                <c:pt idx="528">
                  <c:v>10808</c:v>
                </c:pt>
                <c:pt idx="529">
                  <c:v>10808</c:v>
                </c:pt>
                <c:pt idx="530">
                  <c:v>10808</c:v>
                </c:pt>
                <c:pt idx="531">
                  <c:v>10808</c:v>
                </c:pt>
                <c:pt idx="532">
                  <c:v>10808</c:v>
                </c:pt>
                <c:pt idx="533">
                  <c:v>10808</c:v>
                </c:pt>
                <c:pt idx="534">
                  <c:v>10808</c:v>
                </c:pt>
                <c:pt idx="535">
                  <c:v>10808</c:v>
                </c:pt>
                <c:pt idx="536">
                  <c:v>10808</c:v>
                </c:pt>
                <c:pt idx="537">
                  <c:v>10808</c:v>
                </c:pt>
                <c:pt idx="538">
                  <c:v>10808</c:v>
                </c:pt>
                <c:pt idx="539">
                  <c:v>10808</c:v>
                </c:pt>
                <c:pt idx="540">
                  <c:v>10808</c:v>
                </c:pt>
                <c:pt idx="541">
                  <c:v>10808</c:v>
                </c:pt>
                <c:pt idx="542">
                  <c:v>10808</c:v>
                </c:pt>
                <c:pt idx="543">
                  <c:v>10808</c:v>
                </c:pt>
                <c:pt idx="544">
                  <c:v>10808</c:v>
                </c:pt>
                <c:pt idx="545">
                  <c:v>10808</c:v>
                </c:pt>
                <c:pt idx="546">
                  <c:v>10808</c:v>
                </c:pt>
                <c:pt idx="547">
                  <c:v>10808</c:v>
                </c:pt>
                <c:pt idx="548">
                  <c:v>10808</c:v>
                </c:pt>
                <c:pt idx="549">
                  <c:v>10808</c:v>
                </c:pt>
                <c:pt idx="550">
                  <c:v>10808</c:v>
                </c:pt>
                <c:pt idx="551">
                  <c:v>10808</c:v>
                </c:pt>
                <c:pt idx="552">
                  <c:v>10808</c:v>
                </c:pt>
                <c:pt idx="553">
                  <c:v>10808</c:v>
                </c:pt>
                <c:pt idx="554">
                  <c:v>10808</c:v>
                </c:pt>
                <c:pt idx="555">
                  <c:v>10808</c:v>
                </c:pt>
                <c:pt idx="556">
                  <c:v>10808</c:v>
                </c:pt>
                <c:pt idx="557">
                  <c:v>10808</c:v>
                </c:pt>
                <c:pt idx="558">
                  <c:v>10808</c:v>
                </c:pt>
                <c:pt idx="559">
                  <c:v>10808</c:v>
                </c:pt>
                <c:pt idx="560">
                  <c:v>10808</c:v>
                </c:pt>
                <c:pt idx="561">
                  <c:v>10808</c:v>
                </c:pt>
                <c:pt idx="562">
                  <c:v>10808</c:v>
                </c:pt>
                <c:pt idx="563">
                  <c:v>10808</c:v>
                </c:pt>
                <c:pt idx="564">
                  <c:v>10808</c:v>
                </c:pt>
                <c:pt idx="565">
                  <c:v>10808</c:v>
                </c:pt>
                <c:pt idx="566">
                  <c:v>10808</c:v>
                </c:pt>
                <c:pt idx="567">
                  <c:v>10808</c:v>
                </c:pt>
                <c:pt idx="568">
                  <c:v>10808</c:v>
                </c:pt>
                <c:pt idx="569">
                  <c:v>10808</c:v>
                </c:pt>
                <c:pt idx="570">
                  <c:v>10808</c:v>
                </c:pt>
                <c:pt idx="571">
                  <c:v>10808</c:v>
                </c:pt>
                <c:pt idx="572">
                  <c:v>10808</c:v>
                </c:pt>
                <c:pt idx="573">
                  <c:v>10808</c:v>
                </c:pt>
                <c:pt idx="574">
                  <c:v>10808</c:v>
                </c:pt>
                <c:pt idx="575">
                  <c:v>10808</c:v>
                </c:pt>
                <c:pt idx="576">
                  <c:v>10808</c:v>
                </c:pt>
                <c:pt idx="577">
                  <c:v>10808</c:v>
                </c:pt>
                <c:pt idx="578">
                  <c:v>10808</c:v>
                </c:pt>
                <c:pt idx="579">
                  <c:v>10808</c:v>
                </c:pt>
                <c:pt idx="580">
                  <c:v>10853</c:v>
                </c:pt>
                <c:pt idx="581">
                  <c:v>10853</c:v>
                </c:pt>
                <c:pt idx="582">
                  <c:v>10853</c:v>
                </c:pt>
                <c:pt idx="583">
                  <c:v>10853</c:v>
                </c:pt>
                <c:pt idx="584">
                  <c:v>10853</c:v>
                </c:pt>
                <c:pt idx="585">
                  <c:v>10853</c:v>
                </c:pt>
                <c:pt idx="586">
                  <c:v>10853</c:v>
                </c:pt>
                <c:pt idx="587">
                  <c:v>10853</c:v>
                </c:pt>
                <c:pt idx="588">
                  <c:v>10853</c:v>
                </c:pt>
                <c:pt idx="589">
                  <c:v>10853</c:v>
                </c:pt>
                <c:pt idx="590">
                  <c:v>10853</c:v>
                </c:pt>
                <c:pt idx="591">
                  <c:v>10853</c:v>
                </c:pt>
                <c:pt idx="592">
                  <c:v>10853</c:v>
                </c:pt>
                <c:pt idx="593">
                  <c:v>10853</c:v>
                </c:pt>
                <c:pt idx="594">
                  <c:v>10853</c:v>
                </c:pt>
                <c:pt idx="595">
                  <c:v>10853</c:v>
                </c:pt>
                <c:pt idx="596">
                  <c:v>10853</c:v>
                </c:pt>
                <c:pt idx="597">
                  <c:v>10853</c:v>
                </c:pt>
                <c:pt idx="598">
                  <c:v>10853</c:v>
                </c:pt>
                <c:pt idx="599">
                  <c:v>10853</c:v>
                </c:pt>
                <c:pt idx="600">
                  <c:v>10853</c:v>
                </c:pt>
                <c:pt idx="601">
                  <c:v>10853</c:v>
                </c:pt>
                <c:pt idx="602">
                  <c:v>10853</c:v>
                </c:pt>
                <c:pt idx="603">
                  <c:v>10853</c:v>
                </c:pt>
                <c:pt idx="604">
                  <c:v>10853</c:v>
                </c:pt>
                <c:pt idx="605">
                  <c:v>10853</c:v>
                </c:pt>
                <c:pt idx="606">
                  <c:v>10853</c:v>
                </c:pt>
                <c:pt idx="607">
                  <c:v>10853</c:v>
                </c:pt>
                <c:pt idx="608">
                  <c:v>10857</c:v>
                </c:pt>
                <c:pt idx="609">
                  <c:v>10857</c:v>
                </c:pt>
                <c:pt idx="610">
                  <c:v>10857</c:v>
                </c:pt>
                <c:pt idx="611">
                  <c:v>10857</c:v>
                </c:pt>
                <c:pt idx="612">
                  <c:v>10857</c:v>
                </c:pt>
                <c:pt idx="613">
                  <c:v>10857</c:v>
                </c:pt>
                <c:pt idx="614">
                  <c:v>10857</c:v>
                </c:pt>
                <c:pt idx="615">
                  <c:v>10857</c:v>
                </c:pt>
                <c:pt idx="616">
                  <c:v>10857</c:v>
                </c:pt>
                <c:pt idx="617">
                  <c:v>10857</c:v>
                </c:pt>
                <c:pt idx="618">
                  <c:v>10857</c:v>
                </c:pt>
                <c:pt idx="619">
                  <c:v>10857</c:v>
                </c:pt>
                <c:pt idx="620">
                  <c:v>10857</c:v>
                </c:pt>
                <c:pt idx="621">
                  <c:v>10857</c:v>
                </c:pt>
                <c:pt idx="622">
                  <c:v>10857</c:v>
                </c:pt>
                <c:pt idx="623">
                  <c:v>10857</c:v>
                </c:pt>
                <c:pt idx="624">
                  <c:v>10857</c:v>
                </c:pt>
                <c:pt idx="625">
                  <c:v>10857</c:v>
                </c:pt>
                <c:pt idx="626">
                  <c:v>10857</c:v>
                </c:pt>
                <c:pt idx="627">
                  <c:v>10857</c:v>
                </c:pt>
                <c:pt idx="628">
                  <c:v>10857</c:v>
                </c:pt>
                <c:pt idx="629">
                  <c:v>10857</c:v>
                </c:pt>
                <c:pt idx="630">
                  <c:v>10857</c:v>
                </c:pt>
                <c:pt idx="631">
                  <c:v>10857</c:v>
                </c:pt>
                <c:pt idx="632">
                  <c:v>10857</c:v>
                </c:pt>
                <c:pt idx="633">
                  <c:v>10857</c:v>
                </c:pt>
                <c:pt idx="634">
                  <c:v>10857</c:v>
                </c:pt>
                <c:pt idx="635">
                  <c:v>10857</c:v>
                </c:pt>
                <c:pt idx="636">
                  <c:v>10857</c:v>
                </c:pt>
                <c:pt idx="637">
                  <c:v>10857</c:v>
                </c:pt>
                <c:pt idx="638">
                  <c:v>10857</c:v>
                </c:pt>
                <c:pt idx="639">
                  <c:v>10857</c:v>
                </c:pt>
                <c:pt idx="640">
                  <c:v>10857</c:v>
                </c:pt>
                <c:pt idx="641">
                  <c:v>10857</c:v>
                </c:pt>
                <c:pt idx="642">
                  <c:v>10857</c:v>
                </c:pt>
                <c:pt idx="643">
                  <c:v>10857</c:v>
                </c:pt>
                <c:pt idx="644">
                  <c:v>10857</c:v>
                </c:pt>
                <c:pt idx="645">
                  <c:v>10857</c:v>
                </c:pt>
                <c:pt idx="646">
                  <c:v>10857</c:v>
                </c:pt>
                <c:pt idx="647">
                  <c:v>10857</c:v>
                </c:pt>
                <c:pt idx="648">
                  <c:v>10857</c:v>
                </c:pt>
                <c:pt idx="649">
                  <c:v>10857</c:v>
                </c:pt>
                <c:pt idx="650">
                  <c:v>10857</c:v>
                </c:pt>
                <c:pt idx="651">
                  <c:v>10857</c:v>
                </c:pt>
                <c:pt idx="652">
                  <c:v>10857</c:v>
                </c:pt>
                <c:pt idx="653">
                  <c:v>10857</c:v>
                </c:pt>
                <c:pt idx="654">
                  <c:v>10857</c:v>
                </c:pt>
                <c:pt idx="655">
                  <c:v>10857</c:v>
                </c:pt>
                <c:pt idx="656">
                  <c:v>10857</c:v>
                </c:pt>
                <c:pt idx="657">
                  <c:v>10857</c:v>
                </c:pt>
                <c:pt idx="658">
                  <c:v>10857</c:v>
                </c:pt>
                <c:pt idx="659">
                  <c:v>10857</c:v>
                </c:pt>
                <c:pt idx="660">
                  <c:v>10857</c:v>
                </c:pt>
                <c:pt idx="661">
                  <c:v>10857</c:v>
                </c:pt>
                <c:pt idx="662">
                  <c:v>10857</c:v>
                </c:pt>
                <c:pt idx="663">
                  <c:v>10857</c:v>
                </c:pt>
                <c:pt idx="664">
                  <c:v>10857</c:v>
                </c:pt>
                <c:pt idx="665">
                  <c:v>10857</c:v>
                </c:pt>
                <c:pt idx="666">
                  <c:v>10857</c:v>
                </c:pt>
                <c:pt idx="667">
                  <c:v>10857</c:v>
                </c:pt>
                <c:pt idx="668">
                  <c:v>10857</c:v>
                </c:pt>
                <c:pt idx="669">
                  <c:v>10857</c:v>
                </c:pt>
                <c:pt idx="670">
                  <c:v>10857</c:v>
                </c:pt>
                <c:pt idx="671">
                  <c:v>10857</c:v>
                </c:pt>
                <c:pt idx="672">
                  <c:v>10857</c:v>
                </c:pt>
                <c:pt idx="673">
                  <c:v>10857</c:v>
                </c:pt>
                <c:pt idx="674">
                  <c:v>10894</c:v>
                </c:pt>
                <c:pt idx="675">
                  <c:v>10894</c:v>
                </c:pt>
                <c:pt idx="676">
                  <c:v>10894</c:v>
                </c:pt>
                <c:pt idx="677">
                  <c:v>10894</c:v>
                </c:pt>
                <c:pt idx="678">
                  <c:v>10894</c:v>
                </c:pt>
                <c:pt idx="679">
                  <c:v>10937</c:v>
                </c:pt>
                <c:pt idx="680">
                  <c:v>10937</c:v>
                </c:pt>
                <c:pt idx="681">
                  <c:v>10962</c:v>
                </c:pt>
                <c:pt idx="682">
                  <c:v>10962</c:v>
                </c:pt>
                <c:pt idx="683">
                  <c:v>10962</c:v>
                </c:pt>
                <c:pt idx="684">
                  <c:v>10962</c:v>
                </c:pt>
                <c:pt idx="685">
                  <c:v>10962</c:v>
                </c:pt>
                <c:pt idx="686">
                  <c:v>11005</c:v>
                </c:pt>
                <c:pt idx="687">
                  <c:v>11005</c:v>
                </c:pt>
                <c:pt idx="688">
                  <c:v>11035</c:v>
                </c:pt>
                <c:pt idx="689">
                  <c:v>11160</c:v>
                </c:pt>
                <c:pt idx="690">
                  <c:v>11160</c:v>
                </c:pt>
                <c:pt idx="691">
                  <c:v>11160</c:v>
                </c:pt>
                <c:pt idx="692">
                  <c:v>11160</c:v>
                </c:pt>
                <c:pt idx="693">
                  <c:v>11160</c:v>
                </c:pt>
                <c:pt idx="694">
                  <c:v>11160</c:v>
                </c:pt>
                <c:pt idx="695">
                  <c:v>11160</c:v>
                </c:pt>
                <c:pt idx="696">
                  <c:v>11160</c:v>
                </c:pt>
                <c:pt idx="697">
                  <c:v>11160</c:v>
                </c:pt>
                <c:pt idx="698">
                  <c:v>11160</c:v>
                </c:pt>
                <c:pt idx="699">
                  <c:v>11160</c:v>
                </c:pt>
                <c:pt idx="700">
                  <c:v>11160</c:v>
                </c:pt>
                <c:pt idx="701">
                  <c:v>11160</c:v>
                </c:pt>
                <c:pt idx="702">
                  <c:v>11160</c:v>
                </c:pt>
                <c:pt idx="703">
                  <c:v>11160</c:v>
                </c:pt>
                <c:pt idx="704">
                  <c:v>11160</c:v>
                </c:pt>
                <c:pt idx="705">
                  <c:v>11160</c:v>
                </c:pt>
                <c:pt idx="706">
                  <c:v>11160</c:v>
                </c:pt>
                <c:pt idx="707">
                  <c:v>11160</c:v>
                </c:pt>
                <c:pt idx="708">
                  <c:v>11160</c:v>
                </c:pt>
                <c:pt idx="709">
                  <c:v>11160</c:v>
                </c:pt>
                <c:pt idx="710">
                  <c:v>11160</c:v>
                </c:pt>
                <c:pt idx="711">
                  <c:v>11160</c:v>
                </c:pt>
                <c:pt idx="712">
                  <c:v>11225</c:v>
                </c:pt>
                <c:pt idx="713">
                  <c:v>11311</c:v>
                </c:pt>
                <c:pt idx="714">
                  <c:v>11348</c:v>
                </c:pt>
                <c:pt idx="715">
                  <c:v>11369</c:v>
                </c:pt>
                <c:pt idx="716">
                  <c:v>11369</c:v>
                </c:pt>
                <c:pt idx="717">
                  <c:v>11369</c:v>
                </c:pt>
                <c:pt idx="718">
                  <c:v>11403</c:v>
                </c:pt>
                <c:pt idx="719">
                  <c:v>11403</c:v>
                </c:pt>
                <c:pt idx="720">
                  <c:v>11403</c:v>
                </c:pt>
                <c:pt idx="721">
                  <c:v>11403</c:v>
                </c:pt>
                <c:pt idx="722">
                  <c:v>11403</c:v>
                </c:pt>
                <c:pt idx="723">
                  <c:v>11403</c:v>
                </c:pt>
                <c:pt idx="724">
                  <c:v>11403</c:v>
                </c:pt>
                <c:pt idx="725">
                  <c:v>11403</c:v>
                </c:pt>
                <c:pt idx="726">
                  <c:v>11403</c:v>
                </c:pt>
                <c:pt idx="727">
                  <c:v>11403</c:v>
                </c:pt>
                <c:pt idx="728">
                  <c:v>11403</c:v>
                </c:pt>
                <c:pt idx="729">
                  <c:v>11403</c:v>
                </c:pt>
                <c:pt idx="730">
                  <c:v>11403</c:v>
                </c:pt>
                <c:pt idx="731">
                  <c:v>11403</c:v>
                </c:pt>
                <c:pt idx="732">
                  <c:v>11403</c:v>
                </c:pt>
                <c:pt idx="733">
                  <c:v>11403</c:v>
                </c:pt>
                <c:pt idx="734">
                  <c:v>11403</c:v>
                </c:pt>
                <c:pt idx="735">
                  <c:v>11403</c:v>
                </c:pt>
                <c:pt idx="736">
                  <c:v>11403</c:v>
                </c:pt>
                <c:pt idx="737">
                  <c:v>11403</c:v>
                </c:pt>
                <c:pt idx="738">
                  <c:v>11403</c:v>
                </c:pt>
                <c:pt idx="739">
                  <c:v>11403</c:v>
                </c:pt>
                <c:pt idx="740">
                  <c:v>11403</c:v>
                </c:pt>
                <c:pt idx="741">
                  <c:v>11403</c:v>
                </c:pt>
                <c:pt idx="742">
                  <c:v>11403</c:v>
                </c:pt>
                <c:pt idx="743">
                  <c:v>11403</c:v>
                </c:pt>
                <c:pt idx="744">
                  <c:v>11403</c:v>
                </c:pt>
                <c:pt idx="745">
                  <c:v>11403</c:v>
                </c:pt>
                <c:pt idx="746">
                  <c:v>11403</c:v>
                </c:pt>
                <c:pt idx="747">
                  <c:v>11403</c:v>
                </c:pt>
                <c:pt idx="748">
                  <c:v>11403</c:v>
                </c:pt>
                <c:pt idx="749">
                  <c:v>11403</c:v>
                </c:pt>
                <c:pt idx="750">
                  <c:v>11403</c:v>
                </c:pt>
                <c:pt idx="751">
                  <c:v>11403</c:v>
                </c:pt>
                <c:pt idx="752">
                  <c:v>11403</c:v>
                </c:pt>
                <c:pt idx="753">
                  <c:v>11403</c:v>
                </c:pt>
                <c:pt idx="754">
                  <c:v>11403</c:v>
                </c:pt>
                <c:pt idx="755">
                  <c:v>11403</c:v>
                </c:pt>
                <c:pt idx="756">
                  <c:v>11403</c:v>
                </c:pt>
                <c:pt idx="757">
                  <c:v>11403</c:v>
                </c:pt>
                <c:pt idx="758">
                  <c:v>11403</c:v>
                </c:pt>
                <c:pt idx="759">
                  <c:v>11403</c:v>
                </c:pt>
                <c:pt idx="760">
                  <c:v>11403</c:v>
                </c:pt>
                <c:pt idx="761">
                  <c:v>11403</c:v>
                </c:pt>
                <c:pt idx="762">
                  <c:v>11403</c:v>
                </c:pt>
                <c:pt idx="763">
                  <c:v>11403</c:v>
                </c:pt>
                <c:pt idx="764">
                  <c:v>11403</c:v>
                </c:pt>
                <c:pt idx="765">
                  <c:v>11403</c:v>
                </c:pt>
                <c:pt idx="766">
                  <c:v>11403</c:v>
                </c:pt>
                <c:pt idx="767">
                  <c:v>11403</c:v>
                </c:pt>
                <c:pt idx="768">
                  <c:v>11403</c:v>
                </c:pt>
                <c:pt idx="769">
                  <c:v>11403</c:v>
                </c:pt>
                <c:pt idx="770">
                  <c:v>11403</c:v>
                </c:pt>
                <c:pt idx="771">
                  <c:v>11403</c:v>
                </c:pt>
                <c:pt idx="772">
                  <c:v>11403</c:v>
                </c:pt>
                <c:pt idx="773">
                  <c:v>11403</c:v>
                </c:pt>
                <c:pt idx="774">
                  <c:v>11403</c:v>
                </c:pt>
                <c:pt idx="775">
                  <c:v>11403</c:v>
                </c:pt>
                <c:pt idx="776">
                  <c:v>11403</c:v>
                </c:pt>
                <c:pt idx="777">
                  <c:v>11403</c:v>
                </c:pt>
                <c:pt idx="778">
                  <c:v>11403</c:v>
                </c:pt>
                <c:pt idx="779">
                  <c:v>11403</c:v>
                </c:pt>
                <c:pt idx="780">
                  <c:v>11403</c:v>
                </c:pt>
                <c:pt idx="781">
                  <c:v>11403</c:v>
                </c:pt>
                <c:pt idx="782">
                  <c:v>11403</c:v>
                </c:pt>
                <c:pt idx="783">
                  <c:v>11403</c:v>
                </c:pt>
                <c:pt idx="784">
                  <c:v>11403</c:v>
                </c:pt>
                <c:pt idx="785">
                  <c:v>11403</c:v>
                </c:pt>
                <c:pt idx="786">
                  <c:v>11403</c:v>
                </c:pt>
                <c:pt idx="787">
                  <c:v>11403</c:v>
                </c:pt>
                <c:pt idx="788">
                  <c:v>11403</c:v>
                </c:pt>
                <c:pt idx="789">
                  <c:v>11403</c:v>
                </c:pt>
                <c:pt idx="790">
                  <c:v>11403</c:v>
                </c:pt>
                <c:pt idx="791">
                  <c:v>11403</c:v>
                </c:pt>
                <c:pt idx="792">
                  <c:v>11403</c:v>
                </c:pt>
                <c:pt idx="793">
                  <c:v>11403</c:v>
                </c:pt>
                <c:pt idx="794">
                  <c:v>11403</c:v>
                </c:pt>
                <c:pt idx="795">
                  <c:v>11403</c:v>
                </c:pt>
                <c:pt idx="796">
                  <c:v>11403</c:v>
                </c:pt>
                <c:pt idx="797">
                  <c:v>11403</c:v>
                </c:pt>
                <c:pt idx="798">
                  <c:v>11403</c:v>
                </c:pt>
                <c:pt idx="799">
                  <c:v>11403</c:v>
                </c:pt>
                <c:pt idx="800">
                  <c:v>11403</c:v>
                </c:pt>
                <c:pt idx="801">
                  <c:v>11403</c:v>
                </c:pt>
                <c:pt idx="802">
                  <c:v>11403</c:v>
                </c:pt>
                <c:pt idx="803">
                  <c:v>11403</c:v>
                </c:pt>
                <c:pt idx="804">
                  <c:v>11403</c:v>
                </c:pt>
                <c:pt idx="805">
                  <c:v>11403</c:v>
                </c:pt>
                <c:pt idx="806">
                  <c:v>11403</c:v>
                </c:pt>
                <c:pt idx="807">
                  <c:v>11403</c:v>
                </c:pt>
                <c:pt idx="808">
                  <c:v>11403</c:v>
                </c:pt>
                <c:pt idx="809">
                  <c:v>11403</c:v>
                </c:pt>
                <c:pt idx="810">
                  <c:v>11403</c:v>
                </c:pt>
                <c:pt idx="811">
                  <c:v>11403</c:v>
                </c:pt>
                <c:pt idx="812">
                  <c:v>11403</c:v>
                </c:pt>
                <c:pt idx="813">
                  <c:v>11403</c:v>
                </c:pt>
                <c:pt idx="814">
                  <c:v>11403</c:v>
                </c:pt>
                <c:pt idx="815">
                  <c:v>11403</c:v>
                </c:pt>
                <c:pt idx="816">
                  <c:v>11450</c:v>
                </c:pt>
                <c:pt idx="817">
                  <c:v>11544</c:v>
                </c:pt>
                <c:pt idx="818">
                  <c:v>11559</c:v>
                </c:pt>
                <c:pt idx="819">
                  <c:v>11573</c:v>
                </c:pt>
                <c:pt idx="820">
                  <c:v>11573</c:v>
                </c:pt>
                <c:pt idx="821">
                  <c:v>11573</c:v>
                </c:pt>
                <c:pt idx="822">
                  <c:v>11573</c:v>
                </c:pt>
                <c:pt idx="823">
                  <c:v>11577</c:v>
                </c:pt>
                <c:pt idx="824">
                  <c:v>11589</c:v>
                </c:pt>
                <c:pt idx="825">
                  <c:v>11744</c:v>
                </c:pt>
                <c:pt idx="826">
                  <c:v>11744</c:v>
                </c:pt>
                <c:pt idx="827">
                  <c:v>11744</c:v>
                </c:pt>
                <c:pt idx="828">
                  <c:v>11744</c:v>
                </c:pt>
                <c:pt idx="829">
                  <c:v>11744</c:v>
                </c:pt>
                <c:pt idx="830">
                  <c:v>11744</c:v>
                </c:pt>
                <c:pt idx="831">
                  <c:v>11744</c:v>
                </c:pt>
                <c:pt idx="832">
                  <c:v>11744</c:v>
                </c:pt>
                <c:pt idx="833">
                  <c:v>11744</c:v>
                </c:pt>
                <c:pt idx="834">
                  <c:v>11744</c:v>
                </c:pt>
                <c:pt idx="835">
                  <c:v>11744</c:v>
                </c:pt>
                <c:pt idx="836">
                  <c:v>11744</c:v>
                </c:pt>
                <c:pt idx="837">
                  <c:v>11744</c:v>
                </c:pt>
                <c:pt idx="838">
                  <c:v>11744</c:v>
                </c:pt>
                <c:pt idx="839">
                  <c:v>11744</c:v>
                </c:pt>
                <c:pt idx="840">
                  <c:v>11744</c:v>
                </c:pt>
                <c:pt idx="841">
                  <c:v>11744</c:v>
                </c:pt>
                <c:pt idx="842">
                  <c:v>11744</c:v>
                </c:pt>
                <c:pt idx="843">
                  <c:v>11744</c:v>
                </c:pt>
                <c:pt idx="844">
                  <c:v>11744</c:v>
                </c:pt>
                <c:pt idx="845">
                  <c:v>11744</c:v>
                </c:pt>
                <c:pt idx="846">
                  <c:v>11744</c:v>
                </c:pt>
                <c:pt idx="847">
                  <c:v>11744</c:v>
                </c:pt>
                <c:pt idx="848">
                  <c:v>11744</c:v>
                </c:pt>
                <c:pt idx="849">
                  <c:v>11744</c:v>
                </c:pt>
                <c:pt idx="850">
                  <c:v>11744</c:v>
                </c:pt>
                <c:pt idx="851">
                  <c:v>11744</c:v>
                </c:pt>
                <c:pt idx="852">
                  <c:v>11744</c:v>
                </c:pt>
                <c:pt idx="853">
                  <c:v>11744</c:v>
                </c:pt>
                <c:pt idx="854">
                  <c:v>11744</c:v>
                </c:pt>
                <c:pt idx="855">
                  <c:v>11744</c:v>
                </c:pt>
                <c:pt idx="856">
                  <c:v>11744</c:v>
                </c:pt>
                <c:pt idx="857">
                  <c:v>11744</c:v>
                </c:pt>
                <c:pt idx="858">
                  <c:v>11744</c:v>
                </c:pt>
                <c:pt idx="859">
                  <c:v>11744</c:v>
                </c:pt>
                <c:pt idx="860">
                  <c:v>11744</c:v>
                </c:pt>
                <c:pt idx="861">
                  <c:v>11744</c:v>
                </c:pt>
                <c:pt idx="862">
                  <c:v>11744</c:v>
                </c:pt>
                <c:pt idx="863">
                  <c:v>11744</c:v>
                </c:pt>
                <c:pt idx="864">
                  <c:v>11744</c:v>
                </c:pt>
                <c:pt idx="865">
                  <c:v>11744</c:v>
                </c:pt>
                <c:pt idx="866">
                  <c:v>11744</c:v>
                </c:pt>
                <c:pt idx="867">
                  <c:v>11744</c:v>
                </c:pt>
                <c:pt idx="868">
                  <c:v>11744</c:v>
                </c:pt>
                <c:pt idx="869">
                  <c:v>11744</c:v>
                </c:pt>
                <c:pt idx="870">
                  <c:v>11744</c:v>
                </c:pt>
                <c:pt idx="871">
                  <c:v>11744</c:v>
                </c:pt>
                <c:pt idx="872">
                  <c:v>11744</c:v>
                </c:pt>
                <c:pt idx="873">
                  <c:v>11744</c:v>
                </c:pt>
                <c:pt idx="874">
                  <c:v>11744</c:v>
                </c:pt>
                <c:pt idx="875">
                  <c:v>11744</c:v>
                </c:pt>
                <c:pt idx="876">
                  <c:v>11744</c:v>
                </c:pt>
                <c:pt idx="877">
                  <c:v>11744</c:v>
                </c:pt>
                <c:pt idx="878">
                  <c:v>11744</c:v>
                </c:pt>
                <c:pt idx="879">
                  <c:v>11744</c:v>
                </c:pt>
                <c:pt idx="880">
                  <c:v>11744</c:v>
                </c:pt>
                <c:pt idx="881">
                  <c:v>11744</c:v>
                </c:pt>
                <c:pt idx="882">
                  <c:v>11744</c:v>
                </c:pt>
                <c:pt idx="883">
                  <c:v>11744</c:v>
                </c:pt>
                <c:pt idx="884">
                  <c:v>11744</c:v>
                </c:pt>
                <c:pt idx="885">
                  <c:v>11744</c:v>
                </c:pt>
                <c:pt idx="886">
                  <c:v>11744</c:v>
                </c:pt>
                <c:pt idx="887">
                  <c:v>11744</c:v>
                </c:pt>
                <c:pt idx="888">
                  <c:v>11744</c:v>
                </c:pt>
                <c:pt idx="889">
                  <c:v>11744</c:v>
                </c:pt>
                <c:pt idx="890">
                  <c:v>11744</c:v>
                </c:pt>
                <c:pt idx="891">
                  <c:v>11744</c:v>
                </c:pt>
                <c:pt idx="892">
                  <c:v>11898.5</c:v>
                </c:pt>
                <c:pt idx="893">
                  <c:v>12003</c:v>
                </c:pt>
                <c:pt idx="894">
                  <c:v>12123</c:v>
                </c:pt>
                <c:pt idx="895">
                  <c:v>12218</c:v>
                </c:pt>
                <c:pt idx="896">
                  <c:v>12227</c:v>
                </c:pt>
                <c:pt idx="897">
                  <c:v>12227</c:v>
                </c:pt>
                <c:pt idx="898">
                  <c:v>12252</c:v>
                </c:pt>
                <c:pt idx="899">
                  <c:v>12341</c:v>
                </c:pt>
                <c:pt idx="900">
                  <c:v>12380</c:v>
                </c:pt>
                <c:pt idx="901">
                  <c:v>12407</c:v>
                </c:pt>
                <c:pt idx="902">
                  <c:v>12499</c:v>
                </c:pt>
                <c:pt idx="903">
                  <c:v>12547</c:v>
                </c:pt>
                <c:pt idx="904">
                  <c:v>12658</c:v>
                </c:pt>
                <c:pt idx="905">
                  <c:v>12668</c:v>
                </c:pt>
                <c:pt idx="906">
                  <c:v>12668</c:v>
                </c:pt>
                <c:pt idx="907">
                  <c:v>12668</c:v>
                </c:pt>
                <c:pt idx="908">
                  <c:v>12668</c:v>
                </c:pt>
                <c:pt idx="909">
                  <c:v>12668</c:v>
                </c:pt>
                <c:pt idx="910">
                  <c:v>12668</c:v>
                </c:pt>
                <c:pt idx="911">
                  <c:v>12668</c:v>
                </c:pt>
                <c:pt idx="912">
                  <c:v>12668</c:v>
                </c:pt>
                <c:pt idx="913">
                  <c:v>12668</c:v>
                </c:pt>
                <c:pt idx="914">
                  <c:v>12668</c:v>
                </c:pt>
                <c:pt idx="915">
                  <c:v>12744</c:v>
                </c:pt>
                <c:pt idx="916">
                  <c:v>12791</c:v>
                </c:pt>
                <c:pt idx="917">
                  <c:v>12814</c:v>
                </c:pt>
                <c:pt idx="918">
                  <c:v>12814</c:v>
                </c:pt>
                <c:pt idx="919">
                  <c:v>12814</c:v>
                </c:pt>
                <c:pt idx="920">
                  <c:v>12814</c:v>
                </c:pt>
                <c:pt idx="921">
                  <c:v>12927</c:v>
                </c:pt>
                <c:pt idx="922">
                  <c:v>12982</c:v>
                </c:pt>
                <c:pt idx="923">
                  <c:v>12982</c:v>
                </c:pt>
                <c:pt idx="924">
                  <c:v>12992</c:v>
                </c:pt>
                <c:pt idx="925">
                  <c:v>12992</c:v>
                </c:pt>
                <c:pt idx="926">
                  <c:v>12992</c:v>
                </c:pt>
                <c:pt idx="927">
                  <c:v>12992</c:v>
                </c:pt>
                <c:pt idx="928">
                  <c:v>12992</c:v>
                </c:pt>
                <c:pt idx="929">
                  <c:v>12992</c:v>
                </c:pt>
                <c:pt idx="930">
                  <c:v>12992</c:v>
                </c:pt>
                <c:pt idx="931">
                  <c:v>12992</c:v>
                </c:pt>
                <c:pt idx="932">
                  <c:v>12992</c:v>
                </c:pt>
                <c:pt idx="933">
                  <c:v>12992</c:v>
                </c:pt>
                <c:pt idx="934">
                  <c:v>12992</c:v>
                </c:pt>
                <c:pt idx="935">
                  <c:v>12992</c:v>
                </c:pt>
                <c:pt idx="936">
                  <c:v>12992</c:v>
                </c:pt>
                <c:pt idx="937">
                  <c:v>12992</c:v>
                </c:pt>
                <c:pt idx="938">
                  <c:v>12992</c:v>
                </c:pt>
                <c:pt idx="939">
                  <c:v>12992</c:v>
                </c:pt>
                <c:pt idx="940">
                  <c:v>12992</c:v>
                </c:pt>
                <c:pt idx="941">
                  <c:v>12992</c:v>
                </c:pt>
                <c:pt idx="942">
                  <c:v>12992</c:v>
                </c:pt>
                <c:pt idx="943">
                  <c:v>12992</c:v>
                </c:pt>
                <c:pt idx="944">
                  <c:v>12992</c:v>
                </c:pt>
                <c:pt idx="945">
                  <c:v>12992</c:v>
                </c:pt>
                <c:pt idx="946">
                  <c:v>12992</c:v>
                </c:pt>
                <c:pt idx="947">
                  <c:v>12992</c:v>
                </c:pt>
                <c:pt idx="948">
                  <c:v>12992</c:v>
                </c:pt>
                <c:pt idx="949">
                  <c:v>12992</c:v>
                </c:pt>
                <c:pt idx="950">
                  <c:v>12992</c:v>
                </c:pt>
                <c:pt idx="951">
                  <c:v>12992</c:v>
                </c:pt>
                <c:pt idx="952">
                  <c:v>12992</c:v>
                </c:pt>
                <c:pt idx="953">
                  <c:v>12992</c:v>
                </c:pt>
                <c:pt idx="954">
                  <c:v>12992</c:v>
                </c:pt>
                <c:pt idx="955">
                  <c:v>12992</c:v>
                </c:pt>
                <c:pt idx="956">
                  <c:v>12992</c:v>
                </c:pt>
                <c:pt idx="957">
                  <c:v>12992</c:v>
                </c:pt>
                <c:pt idx="958">
                  <c:v>12992</c:v>
                </c:pt>
                <c:pt idx="959">
                  <c:v>12992</c:v>
                </c:pt>
                <c:pt idx="960">
                  <c:v>12992</c:v>
                </c:pt>
                <c:pt idx="961">
                  <c:v>12992</c:v>
                </c:pt>
                <c:pt idx="962">
                  <c:v>12992</c:v>
                </c:pt>
                <c:pt idx="963">
                  <c:v>12992</c:v>
                </c:pt>
                <c:pt idx="964">
                  <c:v>12992</c:v>
                </c:pt>
                <c:pt idx="965">
                  <c:v>12992</c:v>
                </c:pt>
                <c:pt idx="966">
                  <c:v>12992</c:v>
                </c:pt>
                <c:pt idx="967">
                  <c:v>12992</c:v>
                </c:pt>
                <c:pt idx="968">
                  <c:v>12992</c:v>
                </c:pt>
                <c:pt idx="969">
                  <c:v>12992</c:v>
                </c:pt>
                <c:pt idx="970">
                  <c:v>12992</c:v>
                </c:pt>
                <c:pt idx="971">
                  <c:v>12992</c:v>
                </c:pt>
                <c:pt idx="972">
                  <c:v>12992</c:v>
                </c:pt>
                <c:pt idx="973">
                  <c:v>12992</c:v>
                </c:pt>
                <c:pt idx="974">
                  <c:v>12992</c:v>
                </c:pt>
                <c:pt idx="975">
                  <c:v>12992</c:v>
                </c:pt>
                <c:pt idx="976">
                  <c:v>12992</c:v>
                </c:pt>
                <c:pt idx="977">
                  <c:v>12992</c:v>
                </c:pt>
                <c:pt idx="978">
                  <c:v>12992</c:v>
                </c:pt>
                <c:pt idx="979">
                  <c:v>12992</c:v>
                </c:pt>
                <c:pt idx="980">
                  <c:v>12992</c:v>
                </c:pt>
                <c:pt idx="981">
                  <c:v>12992</c:v>
                </c:pt>
                <c:pt idx="982">
                  <c:v>12992</c:v>
                </c:pt>
                <c:pt idx="983">
                  <c:v>12992</c:v>
                </c:pt>
                <c:pt idx="984">
                  <c:v>12992</c:v>
                </c:pt>
                <c:pt idx="985">
                  <c:v>12992</c:v>
                </c:pt>
                <c:pt idx="986">
                  <c:v>12992</c:v>
                </c:pt>
                <c:pt idx="987">
                  <c:v>12992</c:v>
                </c:pt>
                <c:pt idx="988">
                  <c:v>12992</c:v>
                </c:pt>
                <c:pt idx="989">
                  <c:v>12992</c:v>
                </c:pt>
                <c:pt idx="990">
                  <c:v>12992</c:v>
                </c:pt>
                <c:pt idx="991">
                  <c:v>12992</c:v>
                </c:pt>
                <c:pt idx="992">
                  <c:v>12992</c:v>
                </c:pt>
                <c:pt idx="993">
                  <c:v>12992</c:v>
                </c:pt>
                <c:pt idx="994">
                  <c:v>12992</c:v>
                </c:pt>
                <c:pt idx="995">
                  <c:v>12992</c:v>
                </c:pt>
                <c:pt idx="996">
                  <c:v>12992</c:v>
                </c:pt>
                <c:pt idx="997">
                  <c:v>12992</c:v>
                </c:pt>
                <c:pt idx="998">
                  <c:v>12992</c:v>
                </c:pt>
                <c:pt idx="999">
                  <c:v>12992</c:v>
                </c:pt>
                <c:pt idx="1000">
                  <c:v>12992</c:v>
                </c:pt>
                <c:pt idx="1001">
                  <c:v>12992</c:v>
                </c:pt>
                <c:pt idx="1002">
                  <c:v>12992</c:v>
                </c:pt>
                <c:pt idx="1003">
                  <c:v>12992</c:v>
                </c:pt>
                <c:pt idx="1004">
                  <c:v>12992</c:v>
                </c:pt>
                <c:pt idx="1005">
                  <c:v>12992</c:v>
                </c:pt>
                <c:pt idx="1006">
                  <c:v>12992</c:v>
                </c:pt>
                <c:pt idx="1007">
                  <c:v>12992</c:v>
                </c:pt>
                <c:pt idx="1008">
                  <c:v>12992</c:v>
                </c:pt>
                <c:pt idx="1009">
                  <c:v>12992</c:v>
                </c:pt>
                <c:pt idx="1010">
                  <c:v>12992</c:v>
                </c:pt>
                <c:pt idx="1011">
                  <c:v>12992</c:v>
                </c:pt>
                <c:pt idx="1012">
                  <c:v>12992</c:v>
                </c:pt>
                <c:pt idx="1013">
                  <c:v>12992</c:v>
                </c:pt>
                <c:pt idx="1014">
                  <c:v>12992</c:v>
                </c:pt>
                <c:pt idx="1015">
                  <c:v>12992</c:v>
                </c:pt>
                <c:pt idx="1016">
                  <c:v>12992</c:v>
                </c:pt>
                <c:pt idx="1017">
                  <c:v>12992</c:v>
                </c:pt>
                <c:pt idx="1018">
                  <c:v>12992</c:v>
                </c:pt>
                <c:pt idx="1019">
                  <c:v>12992</c:v>
                </c:pt>
                <c:pt idx="1020">
                  <c:v>12992</c:v>
                </c:pt>
                <c:pt idx="1021">
                  <c:v>12992</c:v>
                </c:pt>
                <c:pt idx="1022">
                  <c:v>12992</c:v>
                </c:pt>
                <c:pt idx="1023">
                  <c:v>12992</c:v>
                </c:pt>
                <c:pt idx="1024">
                  <c:v>12992</c:v>
                </c:pt>
                <c:pt idx="1025">
                  <c:v>12992</c:v>
                </c:pt>
                <c:pt idx="1026">
                  <c:v>12992</c:v>
                </c:pt>
                <c:pt idx="1027">
                  <c:v>12992</c:v>
                </c:pt>
                <c:pt idx="1028">
                  <c:v>12992</c:v>
                </c:pt>
                <c:pt idx="1029">
                  <c:v>12992</c:v>
                </c:pt>
                <c:pt idx="1030">
                  <c:v>12992</c:v>
                </c:pt>
                <c:pt idx="1031">
                  <c:v>12992</c:v>
                </c:pt>
                <c:pt idx="1032">
                  <c:v>12992</c:v>
                </c:pt>
                <c:pt idx="1033">
                  <c:v>12992</c:v>
                </c:pt>
                <c:pt idx="1034">
                  <c:v>12992</c:v>
                </c:pt>
                <c:pt idx="1035">
                  <c:v>12992</c:v>
                </c:pt>
                <c:pt idx="1036">
                  <c:v>12992</c:v>
                </c:pt>
                <c:pt idx="1037">
                  <c:v>12992</c:v>
                </c:pt>
                <c:pt idx="1038">
                  <c:v>12992</c:v>
                </c:pt>
                <c:pt idx="1039">
                  <c:v>12992</c:v>
                </c:pt>
                <c:pt idx="1040">
                  <c:v>12992</c:v>
                </c:pt>
                <c:pt idx="1041">
                  <c:v>12992</c:v>
                </c:pt>
                <c:pt idx="1042">
                  <c:v>12992</c:v>
                </c:pt>
                <c:pt idx="1043">
                  <c:v>12992</c:v>
                </c:pt>
                <c:pt idx="1044">
                  <c:v>12992</c:v>
                </c:pt>
                <c:pt idx="1045">
                  <c:v>12992</c:v>
                </c:pt>
                <c:pt idx="1046">
                  <c:v>12992</c:v>
                </c:pt>
                <c:pt idx="1047">
                  <c:v>12992</c:v>
                </c:pt>
                <c:pt idx="1048">
                  <c:v>12992</c:v>
                </c:pt>
                <c:pt idx="1049">
                  <c:v>12992</c:v>
                </c:pt>
                <c:pt idx="1050">
                  <c:v>12992</c:v>
                </c:pt>
                <c:pt idx="1051">
                  <c:v>12992</c:v>
                </c:pt>
                <c:pt idx="1052">
                  <c:v>13024</c:v>
                </c:pt>
                <c:pt idx="1053">
                  <c:v>13024</c:v>
                </c:pt>
                <c:pt idx="1054">
                  <c:v>13036.5</c:v>
                </c:pt>
                <c:pt idx="1055">
                  <c:v>13036.5</c:v>
                </c:pt>
                <c:pt idx="1056">
                  <c:v>13036.5</c:v>
                </c:pt>
                <c:pt idx="1057">
                  <c:v>13036.5</c:v>
                </c:pt>
                <c:pt idx="1058">
                  <c:v>13036.5</c:v>
                </c:pt>
                <c:pt idx="1059">
                  <c:v>13036.5</c:v>
                </c:pt>
                <c:pt idx="1060">
                  <c:v>13036.5</c:v>
                </c:pt>
                <c:pt idx="1061">
                  <c:v>13036.5</c:v>
                </c:pt>
                <c:pt idx="1062">
                  <c:v>13086</c:v>
                </c:pt>
                <c:pt idx="1063">
                  <c:v>13139</c:v>
                </c:pt>
                <c:pt idx="1064">
                  <c:v>13187</c:v>
                </c:pt>
                <c:pt idx="1065">
                  <c:v>13230</c:v>
                </c:pt>
                <c:pt idx="1066">
                  <c:v>13230</c:v>
                </c:pt>
                <c:pt idx="1067">
                  <c:v>13316</c:v>
                </c:pt>
                <c:pt idx="1068">
                  <c:v>13445</c:v>
                </c:pt>
                <c:pt idx="1069">
                  <c:v>13569</c:v>
                </c:pt>
                <c:pt idx="1070">
                  <c:v>13743</c:v>
                </c:pt>
                <c:pt idx="1071">
                  <c:v>13766</c:v>
                </c:pt>
                <c:pt idx="1072">
                  <c:v>13766</c:v>
                </c:pt>
                <c:pt idx="1073">
                  <c:v>13766</c:v>
                </c:pt>
                <c:pt idx="1074">
                  <c:v>13797</c:v>
                </c:pt>
                <c:pt idx="1075">
                  <c:v>13797</c:v>
                </c:pt>
                <c:pt idx="1076">
                  <c:v>13900</c:v>
                </c:pt>
                <c:pt idx="1077">
                  <c:v>13900</c:v>
                </c:pt>
                <c:pt idx="1078">
                  <c:v>13900</c:v>
                </c:pt>
                <c:pt idx="1079">
                  <c:v>13900</c:v>
                </c:pt>
                <c:pt idx="1080">
                  <c:v>13900</c:v>
                </c:pt>
                <c:pt idx="1081">
                  <c:v>13900</c:v>
                </c:pt>
                <c:pt idx="1082">
                  <c:v>13900</c:v>
                </c:pt>
                <c:pt idx="1083">
                  <c:v>13966</c:v>
                </c:pt>
                <c:pt idx="1084">
                  <c:v>14005</c:v>
                </c:pt>
                <c:pt idx="1085">
                  <c:v>14005</c:v>
                </c:pt>
                <c:pt idx="1086">
                  <c:v>14005</c:v>
                </c:pt>
                <c:pt idx="1087">
                  <c:v>14005</c:v>
                </c:pt>
                <c:pt idx="1088">
                  <c:v>14112</c:v>
                </c:pt>
                <c:pt idx="1089">
                  <c:v>14112</c:v>
                </c:pt>
                <c:pt idx="1090">
                  <c:v>14112</c:v>
                </c:pt>
                <c:pt idx="1091">
                  <c:v>14112</c:v>
                </c:pt>
                <c:pt idx="1092">
                  <c:v>14112</c:v>
                </c:pt>
                <c:pt idx="1093">
                  <c:v>14112</c:v>
                </c:pt>
                <c:pt idx="1094">
                  <c:v>14112</c:v>
                </c:pt>
                <c:pt idx="1095">
                  <c:v>14112</c:v>
                </c:pt>
                <c:pt idx="1096">
                  <c:v>14112</c:v>
                </c:pt>
                <c:pt idx="1097">
                  <c:v>14112</c:v>
                </c:pt>
                <c:pt idx="1098">
                  <c:v>14112</c:v>
                </c:pt>
                <c:pt idx="1099">
                  <c:v>14112</c:v>
                </c:pt>
                <c:pt idx="1100">
                  <c:v>14112</c:v>
                </c:pt>
                <c:pt idx="1101">
                  <c:v>14112</c:v>
                </c:pt>
                <c:pt idx="1102">
                  <c:v>14112</c:v>
                </c:pt>
                <c:pt idx="1103">
                  <c:v>14112</c:v>
                </c:pt>
                <c:pt idx="1104">
                  <c:v>14112</c:v>
                </c:pt>
                <c:pt idx="1105">
                  <c:v>14112</c:v>
                </c:pt>
                <c:pt idx="1106">
                  <c:v>14112</c:v>
                </c:pt>
                <c:pt idx="1107">
                  <c:v>14112</c:v>
                </c:pt>
                <c:pt idx="1108">
                  <c:v>14112</c:v>
                </c:pt>
                <c:pt idx="1109">
                  <c:v>14112</c:v>
                </c:pt>
                <c:pt idx="1110">
                  <c:v>14112</c:v>
                </c:pt>
                <c:pt idx="1111">
                  <c:v>14297</c:v>
                </c:pt>
                <c:pt idx="1112">
                  <c:v>14400</c:v>
                </c:pt>
                <c:pt idx="1113">
                  <c:v>14505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361-4397-87F8-4618E103A398}"/>
            </c:ext>
          </c:extLst>
        </c:ser>
        <c:ser>
          <c:idx val="0"/>
          <c:order val="2"/>
          <c:tx>
            <c:strRef>
              <c:f>Pages!$D$1</c:f>
              <c:strCache>
                <c:ptCount val="1"/>
                <c:pt idx="0">
                  <c:v>Cumulative 2023 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[0]!PagesCum2023</c:f>
              <c:numCache>
                <c:formatCode>General</c:formatCode>
                <c:ptCount val="81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163</c:v>
                </c:pt>
                <c:pt idx="6">
                  <c:v>204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436</c:v>
                </c:pt>
                <c:pt idx="12">
                  <c:v>538</c:v>
                </c:pt>
                <c:pt idx="13">
                  <c:v>633</c:v>
                </c:pt>
                <c:pt idx="14">
                  <c:v>761</c:v>
                </c:pt>
                <c:pt idx="15">
                  <c:v>843</c:v>
                </c:pt>
                <c:pt idx="16">
                  <c:v>843</c:v>
                </c:pt>
                <c:pt idx="17">
                  <c:v>843</c:v>
                </c:pt>
                <c:pt idx="18">
                  <c:v>843</c:v>
                </c:pt>
                <c:pt idx="19">
                  <c:v>919</c:v>
                </c:pt>
                <c:pt idx="20">
                  <c:v>1085</c:v>
                </c:pt>
                <c:pt idx="21">
                  <c:v>1224</c:v>
                </c:pt>
                <c:pt idx="22">
                  <c:v>1224</c:v>
                </c:pt>
                <c:pt idx="23">
                  <c:v>1224</c:v>
                </c:pt>
                <c:pt idx="24">
                  <c:v>1224</c:v>
                </c:pt>
                <c:pt idx="25">
                  <c:v>1301</c:v>
                </c:pt>
                <c:pt idx="26">
                  <c:v>1430</c:v>
                </c:pt>
                <c:pt idx="27">
                  <c:v>1472</c:v>
                </c:pt>
                <c:pt idx="28">
                  <c:v>1560</c:v>
                </c:pt>
                <c:pt idx="29">
                  <c:v>1623</c:v>
                </c:pt>
                <c:pt idx="30">
                  <c:v>1623</c:v>
                </c:pt>
                <c:pt idx="31">
                  <c:v>1677</c:v>
                </c:pt>
                <c:pt idx="32">
                  <c:v>1798</c:v>
                </c:pt>
                <c:pt idx="33">
                  <c:v>1860</c:v>
                </c:pt>
                <c:pt idx="34">
                  <c:v>1907</c:v>
                </c:pt>
                <c:pt idx="35">
                  <c:v>2008</c:v>
                </c:pt>
                <c:pt idx="36">
                  <c:v>2208</c:v>
                </c:pt>
                <c:pt idx="37">
                  <c:v>2352</c:v>
                </c:pt>
                <c:pt idx="38">
                  <c:v>2423</c:v>
                </c:pt>
                <c:pt idx="39">
                  <c:v>2523</c:v>
                </c:pt>
                <c:pt idx="40">
                  <c:v>2538</c:v>
                </c:pt>
                <c:pt idx="41">
                  <c:v>2610</c:v>
                </c:pt>
                <c:pt idx="42">
                  <c:v>2610</c:v>
                </c:pt>
                <c:pt idx="43">
                  <c:v>2654</c:v>
                </c:pt>
                <c:pt idx="44">
                  <c:v>2676</c:v>
                </c:pt>
                <c:pt idx="45">
                  <c:v>2752</c:v>
                </c:pt>
                <c:pt idx="46">
                  <c:v>2841</c:v>
                </c:pt>
                <c:pt idx="47">
                  <c:v>2841</c:v>
                </c:pt>
                <c:pt idx="48">
                  <c:v>2904</c:v>
                </c:pt>
                <c:pt idx="49">
                  <c:v>3083</c:v>
                </c:pt>
                <c:pt idx="50">
                  <c:v>3127</c:v>
                </c:pt>
                <c:pt idx="51">
                  <c:v>3127</c:v>
                </c:pt>
                <c:pt idx="52">
                  <c:v>3241</c:v>
                </c:pt>
                <c:pt idx="53">
                  <c:v>3241</c:v>
                </c:pt>
                <c:pt idx="54">
                  <c:v>3504</c:v>
                </c:pt>
                <c:pt idx="55">
                  <c:v>3546</c:v>
                </c:pt>
                <c:pt idx="56">
                  <c:v>3649</c:v>
                </c:pt>
                <c:pt idx="57">
                  <c:v>3711</c:v>
                </c:pt>
                <c:pt idx="58">
                  <c:v>3711</c:v>
                </c:pt>
                <c:pt idx="59">
                  <c:v>3711</c:v>
                </c:pt>
                <c:pt idx="60">
                  <c:v>3838</c:v>
                </c:pt>
                <c:pt idx="61">
                  <c:v>3872</c:v>
                </c:pt>
                <c:pt idx="62">
                  <c:v>3872</c:v>
                </c:pt>
                <c:pt idx="63">
                  <c:v>3898</c:v>
                </c:pt>
                <c:pt idx="64">
                  <c:v>3946</c:v>
                </c:pt>
                <c:pt idx="65">
                  <c:v>3946</c:v>
                </c:pt>
                <c:pt idx="66">
                  <c:v>3946</c:v>
                </c:pt>
                <c:pt idx="67">
                  <c:v>3946</c:v>
                </c:pt>
                <c:pt idx="68">
                  <c:v>3946</c:v>
                </c:pt>
                <c:pt idx="69">
                  <c:v>3946</c:v>
                </c:pt>
                <c:pt idx="70">
                  <c:v>3946</c:v>
                </c:pt>
                <c:pt idx="71">
                  <c:v>3946</c:v>
                </c:pt>
                <c:pt idx="72">
                  <c:v>3967</c:v>
                </c:pt>
                <c:pt idx="73">
                  <c:v>4006</c:v>
                </c:pt>
                <c:pt idx="74">
                  <c:v>4095</c:v>
                </c:pt>
                <c:pt idx="75">
                  <c:v>4125</c:v>
                </c:pt>
                <c:pt idx="76">
                  <c:v>4145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1-4397-87F8-4618E103A398}"/>
            </c:ext>
          </c:extLst>
        </c:ser>
        <c:ser>
          <c:idx val="5"/>
          <c:order val="3"/>
          <c:tx>
            <c:strRef>
              <c:f>Pages!$E$1</c:f>
              <c:strCache>
                <c:ptCount val="1"/>
                <c:pt idx="0">
                  <c:v>Max 2023 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[0]!PagesMax2023</c:f>
              <c:numCache>
                <c:formatCode>General</c:formatCode>
                <c:ptCount val="1114"/>
                <c:pt idx="0">
                  <c:v>4195</c:v>
                </c:pt>
                <c:pt idx="1">
                  <c:v>4195</c:v>
                </c:pt>
                <c:pt idx="2">
                  <c:v>4195</c:v>
                </c:pt>
                <c:pt idx="3">
                  <c:v>4195</c:v>
                </c:pt>
                <c:pt idx="4">
                  <c:v>4195</c:v>
                </c:pt>
                <c:pt idx="5">
                  <c:v>4195</c:v>
                </c:pt>
                <c:pt idx="6">
                  <c:v>4195</c:v>
                </c:pt>
                <c:pt idx="7">
                  <c:v>4195</c:v>
                </c:pt>
                <c:pt idx="8">
                  <c:v>4195</c:v>
                </c:pt>
                <c:pt idx="9">
                  <c:v>4195</c:v>
                </c:pt>
                <c:pt idx="10">
                  <c:v>4195</c:v>
                </c:pt>
                <c:pt idx="11">
                  <c:v>4195</c:v>
                </c:pt>
                <c:pt idx="12">
                  <c:v>4195</c:v>
                </c:pt>
                <c:pt idx="13">
                  <c:v>4195</c:v>
                </c:pt>
                <c:pt idx="14">
                  <c:v>4195</c:v>
                </c:pt>
                <c:pt idx="15">
                  <c:v>4195</c:v>
                </c:pt>
                <c:pt idx="16">
                  <c:v>4195</c:v>
                </c:pt>
                <c:pt idx="17">
                  <c:v>4195</c:v>
                </c:pt>
                <c:pt idx="18">
                  <c:v>4195</c:v>
                </c:pt>
                <c:pt idx="19">
                  <c:v>4195</c:v>
                </c:pt>
                <c:pt idx="20">
                  <c:v>4195</c:v>
                </c:pt>
                <c:pt idx="21">
                  <c:v>4195</c:v>
                </c:pt>
                <c:pt idx="22">
                  <c:v>4195</c:v>
                </c:pt>
                <c:pt idx="23">
                  <c:v>4195</c:v>
                </c:pt>
                <c:pt idx="24">
                  <c:v>4195</c:v>
                </c:pt>
                <c:pt idx="25">
                  <c:v>4195</c:v>
                </c:pt>
                <c:pt idx="26">
                  <c:v>4195</c:v>
                </c:pt>
                <c:pt idx="27">
                  <c:v>4195</c:v>
                </c:pt>
                <c:pt idx="28">
                  <c:v>4195</c:v>
                </c:pt>
                <c:pt idx="29">
                  <c:v>4195</c:v>
                </c:pt>
                <c:pt idx="30">
                  <c:v>4195</c:v>
                </c:pt>
                <c:pt idx="31">
                  <c:v>4195</c:v>
                </c:pt>
                <c:pt idx="32">
                  <c:v>4195</c:v>
                </c:pt>
                <c:pt idx="33">
                  <c:v>4195</c:v>
                </c:pt>
                <c:pt idx="34">
                  <c:v>4195</c:v>
                </c:pt>
                <c:pt idx="35">
                  <c:v>4195</c:v>
                </c:pt>
                <c:pt idx="36">
                  <c:v>4195</c:v>
                </c:pt>
                <c:pt idx="37">
                  <c:v>4195</c:v>
                </c:pt>
                <c:pt idx="38">
                  <c:v>4195</c:v>
                </c:pt>
                <c:pt idx="39">
                  <c:v>4195</c:v>
                </c:pt>
                <c:pt idx="40">
                  <c:v>4195</c:v>
                </c:pt>
                <c:pt idx="41">
                  <c:v>4195</c:v>
                </c:pt>
                <c:pt idx="42">
                  <c:v>4195</c:v>
                </c:pt>
                <c:pt idx="43">
                  <c:v>4195</c:v>
                </c:pt>
                <c:pt idx="44">
                  <c:v>4195</c:v>
                </c:pt>
                <c:pt idx="45">
                  <c:v>4195</c:v>
                </c:pt>
                <c:pt idx="46">
                  <c:v>4195</c:v>
                </c:pt>
                <c:pt idx="47">
                  <c:v>4195</c:v>
                </c:pt>
                <c:pt idx="48">
                  <c:v>4195</c:v>
                </c:pt>
                <c:pt idx="49">
                  <c:v>4195</c:v>
                </c:pt>
                <c:pt idx="50">
                  <c:v>4195</c:v>
                </c:pt>
                <c:pt idx="51">
                  <c:v>4195</c:v>
                </c:pt>
                <c:pt idx="52">
                  <c:v>4195</c:v>
                </c:pt>
                <c:pt idx="53">
                  <c:v>4195</c:v>
                </c:pt>
                <c:pt idx="54">
                  <c:v>4195</c:v>
                </c:pt>
                <c:pt idx="55">
                  <c:v>4195</c:v>
                </c:pt>
                <c:pt idx="56">
                  <c:v>4195</c:v>
                </c:pt>
                <c:pt idx="57">
                  <c:v>4195</c:v>
                </c:pt>
                <c:pt idx="58">
                  <c:v>4195</c:v>
                </c:pt>
                <c:pt idx="59">
                  <c:v>4195</c:v>
                </c:pt>
                <c:pt idx="60">
                  <c:v>4195</c:v>
                </c:pt>
                <c:pt idx="61">
                  <c:v>4195</c:v>
                </c:pt>
                <c:pt idx="62">
                  <c:v>4195</c:v>
                </c:pt>
                <c:pt idx="63">
                  <c:v>4195</c:v>
                </c:pt>
                <c:pt idx="64">
                  <c:v>4195</c:v>
                </c:pt>
                <c:pt idx="65">
                  <c:v>4195</c:v>
                </c:pt>
                <c:pt idx="66">
                  <c:v>4195</c:v>
                </c:pt>
                <c:pt idx="67">
                  <c:v>4195</c:v>
                </c:pt>
                <c:pt idx="68">
                  <c:v>4195</c:v>
                </c:pt>
                <c:pt idx="69">
                  <c:v>4195</c:v>
                </c:pt>
                <c:pt idx="70">
                  <c:v>4195</c:v>
                </c:pt>
                <c:pt idx="71">
                  <c:v>4195</c:v>
                </c:pt>
                <c:pt idx="72">
                  <c:v>4195</c:v>
                </c:pt>
                <c:pt idx="73">
                  <c:v>4195</c:v>
                </c:pt>
                <c:pt idx="74">
                  <c:v>4195</c:v>
                </c:pt>
                <c:pt idx="75">
                  <c:v>4195</c:v>
                </c:pt>
                <c:pt idx="76">
                  <c:v>4195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  <c:pt idx="81">
                  <c:v>4195</c:v>
                </c:pt>
                <c:pt idx="82">
                  <c:v>4195</c:v>
                </c:pt>
                <c:pt idx="83">
                  <c:v>4195</c:v>
                </c:pt>
                <c:pt idx="84">
                  <c:v>4195</c:v>
                </c:pt>
                <c:pt idx="85">
                  <c:v>4195</c:v>
                </c:pt>
                <c:pt idx="86">
                  <c:v>4195</c:v>
                </c:pt>
                <c:pt idx="87">
                  <c:v>4195</c:v>
                </c:pt>
                <c:pt idx="88">
                  <c:v>4195</c:v>
                </c:pt>
                <c:pt idx="89">
                  <c:v>4195</c:v>
                </c:pt>
                <c:pt idx="90">
                  <c:v>4195</c:v>
                </c:pt>
                <c:pt idx="91">
                  <c:v>4195</c:v>
                </c:pt>
                <c:pt idx="92">
                  <c:v>4195</c:v>
                </c:pt>
                <c:pt idx="93">
                  <c:v>4195</c:v>
                </c:pt>
                <c:pt idx="94">
                  <c:v>4195</c:v>
                </c:pt>
                <c:pt idx="95">
                  <c:v>4195</c:v>
                </c:pt>
                <c:pt idx="96">
                  <c:v>4195</c:v>
                </c:pt>
                <c:pt idx="97">
                  <c:v>4195</c:v>
                </c:pt>
                <c:pt idx="98">
                  <c:v>4195</c:v>
                </c:pt>
                <c:pt idx="99">
                  <c:v>4195</c:v>
                </c:pt>
                <c:pt idx="100">
                  <c:v>4195</c:v>
                </c:pt>
                <c:pt idx="101">
                  <c:v>4195</c:v>
                </c:pt>
                <c:pt idx="102">
                  <c:v>4195</c:v>
                </c:pt>
                <c:pt idx="103">
                  <c:v>4195</c:v>
                </c:pt>
                <c:pt idx="104">
                  <c:v>4195</c:v>
                </c:pt>
                <c:pt idx="105">
                  <c:v>4195</c:v>
                </c:pt>
                <c:pt idx="106">
                  <c:v>4195</c:v>
                </c:pt>
                <c:pt idx="107">
                  <c:v>4195</c:v>
                </c:pt>
                <c:pt idx="108">
                  <c:v>4195</c:v>
                </c:pt>
                <c:pt idx="109">
                  <c:v>4195</c:v>
                </c:pt>
                <c:pt idx="110">
                  <c:v>4195</c:v>
                </c:pt>
                <c:pt idx="111">
                  <c:v>4195</c:v>
                </c:pt>
                <c:pt idx="112">
                  <c:v>4195</c:v>
                </c:pt>
                <c:pt idx="113">
                  <c:v>4195</c:v>
                </c:pt>
                <c:pt idx="114">
                  <c:v>4195</c:v>
                </c:pt>
                <c:pt idx="115">
                  <c:v>4195</c:v>
                </c:pt>
                <c:pt idx="116">
                  <c:v>4195</c:v>
                </c:pt>
                <c:pt idx="117">
                  <c:v>4195</c:v>
                </c:pt>
                <c:pt idx="118">
                  <c:v>4195</c:v>
                </c:pt>
                <c:pt idx="119">
                  <c:v>4195</c:v>
                </c:pt>
                <c:pt idx="120">
                  <c:v>4195</c:v>
                </c:pt>
                <c:pt idx="121">
                  <c:v>4195</c:v>
                </c:pt>
                <c:pt idx="122">
                  <c:v>4195</c:v>
                </c:pt>
                <c:pt idx="123">
                  <c:v>4195</c:v>
                </c:pt>
                <c:pt idx="124">
                  <c:v>4195</c:v>
                </c:pt>
                <c:pt idx="125">
                  <c:v>4195</c:v>
                </c:pt>
                <c:pt idx="126">
                  <c:v>4195</c:v>
                </c:pt>
                <c:pt idx="127">
                  <c:v>4195</c:v>
                </c:pt>
                <c:pt idx="128">
                  <c:v>4195</c:v>
                </c:pt>
                <c:pt idx="129">
                  <c:v>4195</c:v>
                </c:pt>
                <c:pt idx="130">
                  <c:v>4195</c:v>
                </c:pt>
                <c:pt idx="131">
                  <c:v>4195</c:v>
                </c:pt>
                <c:pt idx="132">
                  <c:v>4195</c:v>
                </c:pt>
                <c:pt idx="133">
                  <c:v>4195</c:v>
                </c:pt>
                <c:pt idx="134">
                  <c:v>4195</c:v>
                </c:pt>
                <c:pt idx="135">
                  <c:v>4195</c:v>
                </c:pt>
                <c:pt idx="136">
                  <c:v>4195</c:v>
                </c:pt>
                <c:pt idx="137">
                  <c:v>4195</c:v>
                </c:pt>
                <c:pt idx="138">
                  <c:v>4195</c:v>
                </c:pt>
                <c:pt idx="139">
                  <c:v>4195</c:v>
                </c:pt>
                <c:pt idx="140">
                  <c:v>4195</c:v>
                </c:pt>
                <c:pt idx="141">
                  <c:v>4195</c:v>
                </c:pt>
                <c:pt idx="142">
                  <c:v>4195</c:v>
                </c:pt>
                <c:pt idx="143">
                  <c:v>4195</c:v>
                </c:pt>
                <c:pt idx="144">
                  <c:v>4195</c:v>
                </c:pt>
                <c:pt idx="145">
                  <c:v>4195</c:v>
                </c:pt>
                <c:pt idx="146">
                  <c:v>4195</c:v>
                </c:pt>
                <c:pt idx="147">
                  <c:v>4195</c:v>
                </c:pt>
                <c:pt idx="148">
                  <c:v>4195</c:v>
                </c:pt>
                <c:pt idx="149">
                  <c:v>4195</c:v>
                </c:pt>
                <c:pt idx="150">
                  <c:v>4195</c:v>
                </c:pt>
                <c:pt idx="151">
                  <c:v>4195</c:v>
                </c:pt>
                <c:pt idx="152">
                  <c:v>4195</c:v>
                </c:pt>
                <c:pt idx="153">
                  <c:v>4195</c:v>
                </c:pt>
                <c:pt idx="154">
                  <c:v>4195</c:v>
                </c:pt>
                <c:pt idx="155">
                  <c:v>4195</c:v>
                </c:pt>
                <c:pt idx="156">
                  <c:v>4195</c:v>
                </c:pt>
                <c:pt idx="157">
                  <c:v>4195</c:v>
                </c:pt>
                <c:pt idx="158">
                  <c:v>4195</c:v>
                </c:pt>
                <c:pt idx="159">
                  <c:v>4195</c:v>
                </c:pt>
                <c:pt idx="160">
                  <c:v>4195</c:v>
                </c:pt>
                <c:pt idx="161">
                  <c:v>4195</c:v>
                </c:pt>
                <c:pt idx="162">
                  <c:v>4195</c:v>
                </c:pt>
                <c:pt idx="163">
                  <c:v>4195</c:v>
                </c:pt>
                <c:pt idx="164">
                  <c:v>4195</c:v>
                </c:pt>
                <c:pt idx="165">
                  <c:v>4195</c:v>
                </c:pt>
                <c:pt idx="166">
                  <c:v>4195</c:v>
                </c:pt>
                <c:pt idx="167">
                  <c:v>4195</c:v>
                </c:pt>
                <c:pt idx="168">
                  <c:v>4195</c:v>
                </c:pt>
                <c:pt idx="169">
                  <c:v>4195</c:v>
                </c:pt>
                <c:pt idx="170">
                  <c:v>4195</c:v>
                </c:pt>
                <c:pt idx="171">
                  <c:v>4195</c:v>
                </c:pt>
                <c:pt idx="172">
                  <c:v>4195</c:v>
                </c:pt>
                <c:pt idx="173">
                  <c:v>4195</c:v>
                </c:pt>
                <c:pt idx="174">
                  <c:v>4195</c:v>
                </c:pt>
                <c:pt idx="175">
                  <c:v>4195</c:v>
                </c:pt>
                <c:pt idx="176">
                  <c:v>4195</c:v>
                </c:pt>
                <c:pt idx="177">
                  <c:v>4195</c:v>
                </c:pt>
                <c:pt idx="178">
                  <c:v>4195</c:v>
                </c:pt>
                <c:pt idx="179">
                  <c:v>4195</c:v>
                </c:pt>
                <c:pt idx="180">
                  <c:v>4195</c:v>
                </c:pt>
                <c:pt idx="181">
                  <c:v>4195</c:v>
                </c:pt>
                <c:pt idx="182">
                  <c:v>4195</c:v>
                </c:pt>
                <c:pt idx="183">
                  <c:v>4195</c:v>
                </c:pt>
                <c:pt idx="184">
                  <c:v>4195</c:v>
                </c:pt>
                <c:pt idx="185">
                  <c:v>4195</c:v>
                </c:pt>
                <c:pt idx="186">
                  <c:v>4195</c:v>
                </c:pt>
                <c:pt idx="187">
                  <c:v>4195</c:v>
                </c:pt>
                <c:pt idx="188">
                  <c:v>4195</c:v>
                </c:pt>
                <c:pt idx="189">
                  <c:v>4195</c:v>
                </c:pt>
                <c:pt idx="190">
                  <c:v>4195</c:v>
                </c:pt>
                <c:pt idx="191">
                  <c:v>4195</c:v>
                </c:pt>
                <c:pt idx="192">
                  <c:v>4195</c:v>
                </c:pt>
                <c:pt idx="193">
                  <c:v>4195</c:v>
                </c:pt>
                <c:pt idx="194">
                  <c:v>4195</c:v>
                </c:pt>
                <c:pt idx="195">
                  <c:v>4195</c:v>
                </c:pt>
                <c:pt idx="196">
                  <c:v>4195</c:v>
                </c:pt>
                <c:pt idx="197">
                  <c:v>4195</c:v>
                </c:pt>
                <c:pt idx="198">
                  <c:v>4195</c:v>
                </c:pt>
                <c:pt idx="199">
                  <c:v>4195</c:v>
                </c:pt>
                <c:pt idx="200">
                  <c:v>4195</c:v>
                </c:pt>
                <c:pt idx="201">
                  <c:v>4195</c:v>
                </c:pt>
                <c:pt idx="202">
                  <c:v>4195</c:v>
                </c:pt>
                <c:pt idx="203">
                  <c:v>4195</c:v>
                </c:pt>
                <c:pt idx="204">
                  <c:v>4195</c:v>
                </c:pt>
                <c:pt idx="205">
                  <c:v>4195</c:v>
                </c:pt>
                <c:pt idx="206">
                  <c:v>4195</c:v>
                </c:pt>
                <c:pt idx="207">
                  <c:v>4195</c:v>
                </c:pt>
                <c:pt idx="208">
                  <c:v>4195</c:v>
                </c:pt>
                <c:pt idx="209">
                  <c:v>4195</c:v>
                </c:pt>
                <c:pt idx="210">
                  <c:v>4195</c:v>
                </c:pt>
                <c:pt idx="211">
                  <c:v>4195</c:v>
                </c:pt>
                <c:pt idx="212">
                  <c:v>4195</c:v>
                </c:pt>
                <c:pt idx="213">
                  <c:v>4195</c:v>
                </c:pt>
                <c:pt idx="214">
                  <c:v>4195</c:v>
                </c:pt>
                <c:pt idx="215">
                  <c:v>4195</c:v>
                </c:pt>
                <c:pt idx="216">
                  <c:v>4195</c:v>
                </c:pt>
                <c:pt idx="217">
                  <c:v>4195</c:v>
                </c:pt>
                <c:pt idx="218">
                  <c:v>4195</c:v>
                </c:pt>
                <c:pt idx="219">
                  <c:v>4195</c:v>
                </c:pt>
                <c:pt idx="220">
                  <c:v>4195</c:v>
                </c:pt>
                <c:pt idx="221">
                  <c:v>4195</c:v>
                </c:pt>
                <c:pt idx="222">
                  <c:v>4195</c:v>
                </c:pt>
                <c:pt idx="223">
                  <c:v>4195</c:v>
                </c:pt>
                <c:pt idx="224">
                  <c:v>4195</c:v>
                </c:pt>
                <c:pt idx="225">
                  <c:v>4195</c:v>
                </c:pt>
                <c:pt idx="226">
                  <c:v>4195</c:v>
                </c:pt>
                <c:pt idx="227">
                  <c:v>4195</c:v>
                </c:pt>
                <c:pt idx="228">
                  <c:v>4195</c:v>
                </c:pt>
                <c:pt idx="229">
                  <c:v>4195</c:v>
                </c:pt>
                <c:pt idx="230">
                  <c:v>4195</c:v>
                </c:pt>
                <c:pt idx="231">
                  <c:v>4195</c:v>
                </c:pt>
                <c:pt idx="232">
                  <c:v>4195</c:v>
                </c:pt>
                <c:pt idx="233">
                  <c:v>4195</c:v>
                </c:pt>
                <c:pt idx="234">
                  <c:v>4195</c:v>
                </c:pt>
                <c:pt idx="235">
                  <c:v>4195</c:v>
                </c:pt>
                <c:pt idx="236">
                  <c:v>4195</c:v>
                </c:pt>
                <c:pt idx="237">
                  <c:v>4195</c:v>
                </c:pt>
                <c:pt idx="238">
                  <c:v>4195</c:v>
                </c:pt>
                <c:pt idx="239">
                  <c:v>4195</c:v>
                </c:pt>
                <c:pt idx="240">
                  <c:v>4195</c:v>
                </c:pt>
                <c:pt idx="241">
                  <c:v>4195</c:v>
                </c:pt>
                <c:pt idx="242">
                  <c:v>4195</c:v>
                </c:pt>
                <c:pt idx="243">
                  <c:v>4195</c:v>
                </c:pt>
                <c:pt idx="244">
                  <c:v>4195</c:v>
                </c:pt>
                <c:pt idx="245">
                  <c:v>4195</c:v>
                </c:pt>
                <c:pt idx="246">
                  <c:v>4195</c:v>
                </c:pt>
                <c:pt idx="247">
                  <c:v>4195</c:v>
                </c:pt>
                <c:pt idx="248">
                  <c:v>4195</c:v>
                </c:pt>
                <c:pt idx="249">
                  <c:v>4195</c:v>
                </c:pt>
                <c:pt idx="250">
                  <c:v>4195</c:v>
                </c:pt>
                <c:pt idx="251">
                  <c:v>4195</c:v>
                </c:pt>
                <c:pt idx="252">
                  <c:v>4195</c:v>
                </c:pt>
                <c:pt idx="253">
                  <c:v>4195</c:v>
                </c:pt>
                <c:pt idx="254">
                  <c:v>4195</c:v>
                </c:pt>
                <c:pt idx="255">
                  <c:v>4195</c:v>
                </c:pt>
                <c:pt idx="256">
                  <c:v>4195</c:v>
                </c:pt>
                <c:pt idx="257">
                  <c:v>4195</c:v>
                </c:pt>
                <c:pt idx="258">
                  <c:v>4195</c:v>
                </c:pt>
                <c:pt idx="259">
                  <c:v>4195</c:v>
                </c:pt>
                <c:pt idx="260">
                  <c:v>4195</c:v>
                </c:pt>
                <c:pt idx="261">
                  <c:v>4195</c:v>
                </c:pt>
                <c:pt idx="262">
                  <c:v>4195</c:v>
                </c:pt>
                <c:pt idx="263">
                  <c:v>4195</c:v>
                </c:pt>
                <c:pt idx="264">
                  <c:v>4195</c:v>
                </c:pt>
                <c:pt idx="265">
                  <c:v>4195</c:v>
                </c:pt>
                <c:pt idx="266">
                  <c:v>4195</c:v>
                </c:pt>
                <c:pt idx="267">
                  <c:v>4195</c:v>
                </c:pt>
                <c:pt idx="268">
                  <c:v>4195</c:v>
                </c:pt>
                <c:pt idx="269">
                  <c:v>4195</c:v>
                </c:pt>
                <c:pt idx="270">
                  <c:v>4195</c:v>
                </c:pt>
                <c:pt idx="271">
                  <c:v>4195</c:v>
                </c:pt>
                <c:pt idx="272">
                  <c:v>4195</c:v>
                </c:pt>
                <c:pt idx="273">
                  <c:v>4195</c:v>
                </c:pt>
                <c:pt idx="274">
                  <c:v>4195</c:v>
                </c:pt>
                <c:pt idx="275">
                  <c:v>4195</c:v>
                </c:pt>
                <c:pt idx="276">
                  <c:v>4195</c:v>
                </c:pt>
                <c:pt idx="277">
                  <c:v>4195</c:v>
                </c:pt>
                <c:pt idx="278">
                  <c:v>4195</c:v>
                </c:pt>
                <c:pt idx="279">
                  <c:v>4195</c:v>
                </c:pt>
                <c:pt idx="280">
                  <c:v>4195</c:v>
                </c:pt>
                <c:pt idx="281">
                  <c:v>4195</c:v>
                </c:pt>
                <c:pt idx="282">
                  <c:v>4195</c:v>
                </c:pt>
                <c:pt idx="283">
                  <c:v>4195</c:v>
                </c:pt>
                <c:pt idx="284">
                  <c:v>4195</c:v>
                </c:pt>
                <c:pt idx="285">
                  <c:v>4195</c:v>
                </c:pt>
                <c:pt idx="286">
                  <c:v>4195</c:v>
                </c:pt>
                <c:pt idx="287">
                  <c:v>4195</c:v>
                </c:pt>
                <c:pt idx="288">
                  <c:v>4195</c:v>
                </c:pt>
                <c:pt idx="289">
                  <c:v>4195</c:v>
                </c:pt>
                <c:pt idx="290">
                  <c:v>4195</c:v>
                </c:pt>
                <c:pt idx="291">
                  <c:v>4195</c:v>
                </c:pt>
                <c:pt idx="292">
                  <c:v>4195</c:v>
                </c:pt>
                <c:pt idx="293">
                  <c:v>4195</c:v>
                </c:pt>
                <c:pt idx="294">
                  <c:v>4195</c:v>
                </c:pt>
                <c:pt idx="295">
                  <c:v>4195</c:v>
                </c:pt>
                <c:pt idx="296">
                  <c:v>4195</c:v>
                </c:pt>
                <c:pt idx="297">
                  <c:v>4195</c:v>
                </c:pt>
                <c:pt idx="298">
                  <c:v>4195</c:v>
                </c:pt>
                <c:pt idx="299">
                  <c:v>4195</c:v>
                </c:pt>
                <c:pt idx="300">
                  <c:v>4195</c:v>
                </c:pt>
                <c:pt idx="301">
                  <c:v>4195</c:v>
                </c:pt>
                <c:pt idx="302">
                  <c:v>4195</c:v>
                </c:pt>
                <c:pt idx="303">
                  <c:v>4195</c:v>
                </c:pt>
                <c:pt idx="304">
                  <c:v>4195</c:v>
                </c:pt>
                <c:pt idx="305">
                  <c:v>4195</c:v>
                </c:pt>
                <c:pt idx="306">
                  <c:v>4195</c:v>
                </c:pt>
                <c:pt idx="307">
                  <c:v>4195</c:v>
                </c:pt>
                <c:pt idx="308">
                  <c:v>4195</c:v>
                </c:pt>
                <c:pt idx="309">
                  <c:v>4195</c:v>
                </c:pt>
                <c:pt idx="310">
                  <c:v>4195</c:v>
                </c:pt>
                <c:pt idx="311">
                  <c:v>4195</c:v>
                </c:pt>
                <c:pt idx="312">
                  <c:v>4195</c:v>
                </c:pt>
                <c:pt idx="313">
                  <c:v>4195</c:v>
                </c:pt>
                <c:pt idx="314">
                  <c:v>4195</c:v>
                </c:pt>
                <c:pt idx="315">
                  <c:v>4195</c:v>
                </c:pt>
                <c:pt idx="316">
                  <c:v>4195</c:v>
                </c:pt>
                <c:pt idx="317">
                  <c:v>4195</c:v>
                </c:pt>
                <c:pt idx="318">
                  <c:v>4195</c:v>
                </c:pt>
                <c:pt idx="319">
                  <c:v>4195</c:v>
                </c:pt>
                <c:pt idx="320">
                  <c:v>4195</c:v>
                </c:pt>
                <c:pt idx="321">
                  <c:v>4195</c:v>
                </c:pt>
                <c:pt idx="322">
                  <c:v>4195</c:v>
                </c:pt>
                <c:pt idx="323">
                  <c:v>4195</c:v>
                </c:pt>
                <c:pt idx="324">
                  <c:v>4195</c:v>
                </c:pt>
                <c:pt idx="325">
                  <c:v>4195</c:v>
                </c:pt>
                <c:pt idx="326">
                  <c:v>4195</c:v>
                </c:pt>
                <c:pt idx="327">
                  <c:v>4195</c:v>
                </c:pt>
                <c:pt idx="328">
                  <c:v>4195</c:v>
                </c:pt>
                <c:pt idx="329">
                  <c:v>4195</c:v>
                </c:pt>
                <c:pt idx="330">
                  <c:v>4195</c:v>
                </c:pt>
                <c:pt idx="331">
                  <c:v>4195</c:v>
                </c:pt>
                <c:pt idx="332">
                  <c:v>4195</c:v>
                </c:pt>
                <c:pt idx="333">
                  <c:v>4195</c:v>
                </c:pt>
                <c:pt idx="334">
                  <c:v>4195</c:v>
                </c:pt>
                <c:pt idx="335">
                  <c:v>4195</c:v>
                </c:pt>
                <c:pt idx="336">
                  <c:v>4195</c:v>
                </c:pt>
                <c:pt idx="337">
                  <c:v>4195</c:v>
                </c:pt>
                <c:pt idx="338">
                  <c:v>4195</c:v>
                </c:pt>
                <c:pt idx="339">
                  <c:v>4195</c:v>
                </c:pt>
                <c:pt idx="340">
                  <c:v>4195</c:v>
                </c:pt>
                <c:pt idx="341">
                  <c:v>4195</c:v>
                </c:pt>
                <c:pt idx="342">
                  <c:v>4195</c:v>
                </c:pt>
                <c:pt idx="343">
                  <c:v>4195</c:v>
                </c:pt>
                <c:pt idx="344">
                  <c:v>4195</c:v>
                </c:pt>
                <c:pt idx="345">
                  <c:v>4195</c:v>
                </c:pt>
                <c:pt idx="346">
                  <c:v>4195</c:v>
                </c:pt>
                <c:pt idx="347">
                  <c:v>4195</c:v>
                </c:pt>
                <c:pt idx="348">
                  <c:v>4195</c:v>
                </c:pt>
                <c:pt idx="349">
                  <c:v>4195</c:v>
                </c:pt>
                <c:pt idx="350">
                  <c:v>4195</c:v>
                </c:pt>
                <c:pt idx="351">
                  <c:v>4195</c:v>
                </c:pt>
                <c:pt idx="352">
                  <c:v>4195</c:v>
                </c:pt>
                <c:pt idx="353">
                  <c:v>4195</c:v>
                </c:pt>
                <c:pt idx="354">
                  <c:v>4195</c:v>
                </c:pt>
                <c:pt idx="355">
                  <c:v>4195</c:v>
                </c:pt>
                <c:pt idx="356">
                  <c:v>4195</c:v>
                </c:pt>
                <c:pt idx="357">
                  <c:v>4195</c:v>
                </c:pt>
                <c:pt idx="358">
                  <c:v>4195</c:v>
                </c:pt>
                <c:pt idx="359">
                  <c:v>4195</c:v>
                </c:pt>
                <c:pt idx="360">
                  <c:v>4195</c:v>
                </c:pt>
                <c:pt idx="361">
                  <c:v>4195</c:v>
                </c:pt>
                <c:pt idx="362">
                  <c:v>4195</c:v>
                </c:pt>
                <c:pt idx="363">
                  <c:v>4195</c:v>
                </c:pt>
                <c:pt idx="364">
                  <c:v>4195</c:v>
                </c:pt>
                <c:pt idx="365">
                  <c:v>4195</c:v>
                </c:pt>
                <c:pt idx="366">
                  <c:v>4195</c:v>
                </c:pt>
                <c:pt idx="367">
                  <c:v>4195</c:v>
                </c:pt>
                <c:pt idx="368">
                  <c:v>4195</c:v>
                </c:pt>
                <c:pt idx="369">
                  <c:v>4195</c:v>
                </c:pt>
                <c:pt idx="370">
                  <c:v>4195</c:v>
                </c:pt>
                <c:pt idx="371">
                  <c:v>4195</c:v>
                </c:pt>
                <c:pt idx="372">
                  <c:v>4195</c:v>
                </c:pt>
                <c:pt idx="373">
                  <c:v>4195</c:v>
                </c:pt>
                <c:pt idx="374">
                  <c:v>4195</c:v>
                </c:pt>
                <c:pt idx="375">
                  <c:v>4195</c:v>
                </c:pt>
                <c:pt idx="376">
                  <c:v>4195</c:v>
                </c:pt>
                <c:pt idx="377">
                  <c:v>4195</c:v>
                </c:pt>
                <c:pt idx="378">
                  <c:v>4195</c:v>
                </c:pt>
                <c:pt idx="379">
                  <c:v>4195</c:v>
                </c:pt>
                <c:pt idx="380">
                  <c:v>4195</c:v>
                </c:pt>
                <c:pt idx="381">
                  <c:v>4195</c:v>
                </c:pt>
                <c:pt idx="382">
                  <c:v>4195</c:v>
                </c:pt>
                <c:pt idx="383">
                  <c:v>4195</c:v>
                </c:pt>
                <c:pt idx="384">
                  <c:v>4195</c:v>
                </c:pt>
                <c:pt idx="385">
                  <c:v>4195</c:v>
                </c:pt>
                <c:pt idx="386">
                  <c:v>4195</c:v>
                </c:pt>
                <c:pt idx="387">
                  <c:v>4195</c:v>
                </c:pt>
                <c:pt idx="388">
                  <c:v>4195</c:v>
                </c:pt>
                <c:pt idx="389">
                  <c:v>4195</c:v>
                </c:pt>
                <c:pt idx="390">
                  <c:v>4195</c:v>
                </c:pt>
                <c:pt idx="391">
                  <c:v>4195</c:v>
                </c:pt>
                <c:pt idx="392">
                  <c:v>4195</c:v>
                </c:pt>
                <c:pt idx="393">
                  <c:v>4195</c:v>
                </c:pt>
                <c:pt idx="394">
                  <c:v>4195</c:v>
                </c:pt>
                <c:pt idx="395">
                  <c:v>4195</c:v>
                </c:pt>
                <c:pt idx="396">
                  <c:v>4195</c:v>
                </c:pt>
                <c:pt idx="397">
                  <c:v>4195</c:v>
                </c:pt>
                <c:pt idx="398">
                  <c:v>4195</c:v>
                </c:pt>
                <c:pt idx="399">
                  <c:v>4195</c:v>
                </c:pt>
                <c:pt idx="400">
                  <c:v>4195</c:v>
                </c:pt>
                <c:pt idx="401">
                  <c:v>4195</c:v>
                </c:pt>
                <c:pt idx="402">
                  <c:v>4195</c:v>
                </c:pt>
                <c:pt idx="403">
                  <c:v>4195</c:v>
                </c:pt>
                <c:pt idx="404">
                  <c:v>4195</c:v>
                </c:pt>
                <c:pt idx="405">
                  <c:v>4195</c:v>
                </c:pt>
                <c:pt idx="406">
                  <c:v>4195</c:v>
                </c:pt>
                <c:pt idx="407">
                  <c:v>4195</c:v>
                </c:pt>
                <c:pt idx="408">
                  <c:v>4195</c:v>
                </c:pt>
                <c:pt idx="409">
                  <c:v>4195</c:v>
                </c:pt>
                <c:pt idx="410">
                  <c:v>4195</c:v>
                </c:pt>
                <c:pt idx="411">
                  <c:v>4195</c:v>
                </c:pt>
                <c:pt idx="412">
                  <c:v>4195</c:v>
                </c:pt>
                <c:pt idx="413">
                  <c:v>4195</c:v>
                </c:pt>
                <c:pt idx="414">
                  <c:v>4195</c:v>
                </c:pt>
                <c:pt idx="415">
                  <c:v>4195</c:v>
                </c:pt>
                <c:pt idx="416">
                  <c:v>4195</c:v>
                </c:pt>
                <c:pt idx="417">
                  <c:v>4195</c:v>
                </c:pt>
                <c:pt idx="418">
                  <c:v>4195</c:v>
                </c:pt>
                <c:pt idx="419">
                  <c:v>4195</c:v>
                </c:pt>
                <c:pt idx="420">
                  <c:v>4195</c:v>
                </c:pt>
                <c:pt idx="421">
                  <c:v>4195</c:v>
                </c:pt>
                <c:pt idx="422">
                  <c:v>4195</c:v>
                </c:pt>
                <c:pt idx="423">
                  <c:v>4195</c:v>
                </c:pt>
                <c:pt idx="424">
                  <c:v>4195</c:v>
                </c:pt>
                <c:pt idx="425">
                  <c:v>4195</c:v>
                </c:pt>
                <c:pt idx="426">
                  <c:v>4195</c:v>
                </c:pt>
                <c:pt idx="427">
                  <c:v>4195</c:v>
                </c:pt>
                <c:pt idx="428">
                  <c:v>4195</c:v>
                </c:pt>
                <c:pt idx="429">
                  <c:v>4195</c:v>
                </c:pt>
                <c:pt idx="430">
                  <c:v>4195</c:v>
                </c:pt>
                <c:pt idx="431">
                  <c:v>4195</c:v>
                </c:pt>
                <c:pt idx="432">
                  <c:v>4195</c:v>
                </c:pt>
                <c:pt idx="433">
                  <c:v>4195</c:v>
                </c:pt>
                <c:pt idx="434">
                  <c:v>4195</c:v>
                </c:pt>
                <c:pt idx="435">
                  <c:v>4195</c:v>
                </c:pt>
                <c:pt idx="436">
                  <c:v>4195</c:v>
                </c:pt>
                <c:pt idx="437">
                  <c:v>4195</c:v>
                </c:pt>
                <c:pt idx="438">
                  <c:v>4195</c:v>
                </c:pt>
                <c:pt idx="439">
                  <c:v>4195</c:v>
                </c:pt>
                <c:pt idx="440">
                  <c:v>4195</c:v>
                </c:pt>
                <c:pt idx="441">
                  <c:v>4195</c:v>
                </c:pt>
                <c:pt idx="442">
                  <c:v>4195</c:v>
                </c:pt>
                <c:pt idx="443">
                  <c:v>4195</c:v>
                </c:pt>
                <c:pt idx="444">
                  <c:v>4195</c:v>
                </c:pt>
                <c:pt idx="445">
                  <c:v>4195</c:v>
                </c:pt>
                <c:pt idx="446">
                  <c:v>4195</c:v>
                </c:pt>
                <c:pt idx="447">
                  <c:v>4195</c:v>
                </c:pt>
                <c:pt idx="448">
                  <c:v>4195</c:v>
                </c:pt>
                <c:pt idx="449">
                  <c:v>4195</c:v>
                </c:pt>
                <c:pt idx="450">
                  <c:v>4195</c:v>
                </c:pt>
                <c:pt idx="451">
                  <c:v>4195</c:v>
                </c:pt>
                <c:pt idx="452">
                  <c:v>4195</c:v>
                </c:pt>
                <c:pt idx="453">
                  <c:v>4195</c:v>
                </c:pt>
                <c:pt idx="454">
                  <c:v>4195</c:v>
                </c:pt>
                <c:pt idx="455">
                  <c:v>4195</c:v>
                </c:pt>
                <c:pt idx="456">
                  <c:v>4195</c:v>
                </c:pt>
                <c:pt idx="457">
                  <c:v>4195</c:v>
                </c:pt>
                <c:pt idx="458">
                  <c:v>4195</c:v>
                </c:pt>
                <c:pt idx="459">
                  <c:v>4195</c:v>
                </c:pt>
                <c:pt idx="460">
                  <c:v>4195</c:v>
                </c:pt>
                <c:pt idx="461">
                  <c:v>4195</c:v>
                </c:pt>
                <c:pt idx="462">
                  <c:v>4195</c:v>
                </c:pt>
                <c:pt idx="463">
                  <c:v>4195</c:v>
                </c:pt>
                <c:pt idx="464">
                  <c:v>4195</c:v>
                </c:pt>
                <c:pt idx="465">
                  <c:v>4195</c:v>
                </c:pt>
                <c:pt idx="466">
                  <c:v>4195</c:v>
                </c:pt>
                <c:pt idx="467">
                  <c:v>4195</c:v>
                </c:pt>
                <c:pt idx="468">
                  <c:v>4195</c:v>
                </c:pt>
                <c:pt idx="469">
                  <c:v>4195</c:v>
                </c:pt>
                <c:pt idx="470">
                  <c:v>4195</c:v>
                </c:pt>
                <c:pt idx="471">
                  <c:v>4195</c:v>
                </c:pt>
                <c:pt idx="472">
                  <c:v>4195</c:v>
                </c:pt>
                <c:pt idx="473">
                  <c:v>4195</c:v>
                </c:pt>
                <c:pt idx="474">
                  <c:v>4195</c:v>
                </c:pt>
                <c:pt idx="475">
                  <c:v>4195</c:v>
                </c:pt>
                <c:pt idx="476">
                  <c:v>4195</c:v>
                </c:pt>
                <c:pt idx="477">
                  <c:v>4195</c:v>
                </c:pt>
                <c:pt idx="478">
                  <c:v>4195</c:v>
                </c:pt>
                <c:pt idx="479">
                  <c:v>4195</c:v>
                </c:pt>
                <c:pt idx="480">
                  <c:v>4195</c:v>
                </c:pt>
                <c:pt idx="481">
                  <c:v>4195</c:v>
                </c:pt>
                <c:pt idx="482">
                  <c:v>4195</c:v>
                </c:pt>
                <c:pt idx="483">
                  <c:v>4195</c:v>
                </c:pt>
                <c:pt idx="484">
                  <c:v>4195</c:v>
                </c:pt>
                <c:pt idx="485">
                  <c:v>4195</c:v>
                </c:pt>
                <c:pt idx="486">
                  <c:v>4195</c:v>
                </c:pt>
                <c:pt idx="487">
                  <c:v>4195</c:v>
                </c:pt>
                <c:pt idx="488">
                  <c:v>4195</c:v>
                </c:pt>
                <c:pt idx="489">
                  <c:v>4195</c:v>
                </c:pt>
                <c:pt idx="490">
                  <c:v>4195</c:v>
                </c:pt>
                <c:pt idx="491">
                  <c:v>4195</c:v>
                </c:pt>
                <c:pt idx="492">
                  <c:v>4195</c:v>
                </c:pt>
                <c:pt idx="493">
                  <c:v>4195</c:v>
                </c:pt>
                <c:pt idx="494">
                  <c:v>4195</c:v>
                </c:pt>
                <c:pt idx="495">
                  <c:v>4195</c:v>
                </c:pt>
                <c:pt idx="496">
                  <c:v>4195</c:v>
                </c:pt>
                <c:pt idx="497">
                  <c:v>4195</c:v>
                </c:pt>
                <c:pt idx="498">
                  <c:v>4195</c:v>
                </c:pt>
                <c:pt idx="499">
                  <c:v>4195</c:v>
                </c:pt>
                <c:pt idx="500">
                  <c:v>4195</c:v>
                </c:pt>
                <c:pt idx="501">
                  <c:v>4195</c:v>
                </c:pt>
                <c:pt idx="502">
                  <c:v>4195</c:v>
                </c:pt>
                <c:pt idx="503">
                  <c:v>4195</c:v>
                </c:pt>
                <c:pt idx="504">
                  <c:v>4195</c:v>
                </c:pt>
                <c:pt idx="505">
                  <c:v>4195</c:v>
                </c:pt>
                <c:pt idx="506">
                  <c:v>4195</c:v>
                </c:pt>
                <c:pt idx="507">
                  <c:v>4195</c:v>
                </c:pt>
                <c:pt idx="508">
                  <c:v>4195</c:v>
                </c:pt>
                <c:pt idx="509">
                  <c:v>4195</c:v>
                </c:pt>
                <c:pt idx="510">
                  <c:v>4195</c:v>
                </c:pt>
                <c:pt idx="511">
                  <c:v>4195</c:v>
                </c:pt>
                <c:pt idx="512">
                  <c:v>4195</c:v>
                </c:pt>
                <c:pt idx="513">
                  <c:v>4195</c:v>
                </c:pt>
                <c:pt idx="514">
                  <c:v>4195</c:v>
                </c:pt>
                <c:pt idx="515">
                  <c:v>4195</c:v>
                </c:pt>
                <c:pt idx="516">
                  <c:v>4195</c:v>
                </c:pt>
                <c:pt idx="517">
                  <c:v>4195</c:v>
                </c:pt>
                <c:pt idx="518">
                  <c:v>4195</c:v>
                </c:pt>
                <c:pt idx="519">
                  <c:v>4195</c:v>
                </c:pt>
                <c:pt idx="520">
                  <c:v>4195</c:v>
                </c:pt>
                <c:pt idx="521">
                  <c:v>4195</c:v>
                </c:pt>
                <c:pt idx="522">
                  <c:v>4195</c:v>
                </c:pt>
                <c:pt idx="523">
                  <c:v>4195</c:v>
                </c:pt>
                <c:pt idx="524">
                  <c:v>4195</c:v>
                </c:pt>
                <c:pt idx="525">
                  <c:v>4195</c:v>
                </c:pt>
                <c:pt idx="526">
                  <c:v>4195</c:v>
                </c:pt>
                <c:pt idx="527">
                  <c:v>4195</c:v>
                </c:pt>
                <c:pt idx="528">
                  <c:v>4195</c:v>
                </c:pt>
                <c:pt idx="529">
                  <c:v>4195</c:v>
                </c:pt>
                <c:pt idx="530">
                  <c:v>4195</c:v>
                </c:pt>
                <c:pt idx="531">
                  <c:v>4195</c:v>
                </c:pt>
                <c:pt idx="532">
                  <c:v>4195</c:v>
                </c:pt>
                <c:pt idx="533">
                  <c:v>4195</c:v>
                </c:pt>
                <c:pt idx="534">
                  <c:v>4195</c:v>
                </c:pt>
                <c:pt idx="535">
                  <c:v>4195</c:v>
                </c:pt>
                <c:pt idx="536">
                  <c:v>4195</c:v>
                </c:pt>
                <c:pt idx="537">
                  <c:v>4195</c:v>
                </c:pt>
                <c:pt idx="538">
                  <c:v>4195</c:v>
                </c:pt>
                <c:pt idx="539">
                  <c:v>4195</c:v>
                </c:pt>
                <c:pt idx="540">
                  <c:v>4195</c:v>
                </c:pt>
                <c:pt idx="541">
                  <c:v>4195</c:v>
                </c:pt>
                <c:pt idx="542">
                  <c:v>4195</c:v>
                </c:pt>
                <c:pt idx="543">
                  <c:v>4195</c:v>
                </c:pt>
                <c:pt idx="544">
                  <c:v>4195</c:v>
                </c:pt>
                <c:pt idx="545">
                  <c:v>4195</c:v>
                </c:pt>
                <c:pt idx="546">
                  <c:v>4195</c:v>
                </c:pt>
                <c:pt idx="547">
                  <c:v>4195</c:v>
                </c:pt>
                <c:pt idx="548">
                  <c:v>4195</c:v>
                </c:pt>
                <c:pt idx="549">
                  <c:v>4195</c:v>
                </c:pt>
                <c:pt idx="550">
                  <c:v>4195</c:v>
                </c:pt>
                <c:pt idx="551">
                  <c:v>4195</c:v>
                </c:pt>
                <c:pt idx="552">
                  <c:v>4195</c:v>
                </c:pt>
                <c:pt idx="553">
                  <c:v>4195</c:v>
                </c:pt>
                <c:pt idx="554">
                  <c:v>4195</c:v>
                </c:pt>
                <c:pt idx="555">
                  <c:v>4195</c:v>
                </c:pt>
                <c:pt idx="556">
                  <c:v>4195</c:v>
                </c:pt>
                <c:pt idx="557">
                  <c:v>4195</c:v>
                </c:pt>
                <c:pt idx="558">
                  <c:v>4195</c:v>
                </c:pt>
                <c:pt idx="559">
                  <c:v>4195</c:v>
                </c:pt>
                <c:pt idx="560">
                  <c:v>4195</c:v>
                </c:pt>
                <c:pt idx="561">
                  <c:v>4195</c:v>
                </c:pt>
                <c:pt idx="562">
                  <c:v>4195</c:v>
                </c:pt>
                <c:pt idx="563">
                  <c:v>4195</c:v>
                </c:pt>
                <c:pt idx="564">
                  <c:v>4195</c:v>
                </c:pt>
                <c:pt idx="565">
                  <c:v>4195</c:v>
                </c:pt>
                <c:pt idx="566">
                  <c:v>4195</c:v>
                </c:pt>
                <c:pt idx="567">
                  <c:v>4195</c:v>
                </c:pt>
                <c:pt idx="568">
                  <c:v>4195</c:v>
                </c:pt>
                <c:pt idx="569">
                  <c:v>4195</c:v>
                </c:pt>
                <c:pt idx="570">
                  <c:v>4195</c:v>
                </c:pt>
                <c:pt idx="571">
                  <c:v>4195</c:v>
                </c:pt>
                <c:pt idx="572">
                  <c:v>4195</c:v>
                </c:pt>
                <c:pt idx="573">
                  <c:v>4195</c:v>
                </c:pt>
                <c:pt idx="574">
                  <c:v>4195</c:v>
                </c:pt>
                <c:pt idx="575">
                  <c:v>4195</c:v>
                </c:pt>
                <c:pt idx="576">
                  <c:v>4195</c:v>
                </c:pt>
                <c:pt idx="577">
                  <c:v>4195</c:v>
                </c:pt>
                <c:pt idx="578">
                  <c:v>4195</c:v>
                </c:pt>
                <c:pt idx="579">
                  <c:v>4195</c:v>
                </c:pt>
                <c:pt idx="580">
                  <c:v>4195</c:v>
                </c:pt>
                <c:pt idx="581">
                  <c:v>4195</c:v>
                </c:pt>
                <c:pt idx="582">
                  <c:v>4195</c:v>
                </c:pt>
                <c:pt idx="583">
                  <c:v>4195</c:v>
                </c:pt>
                <c:pt idx="584">
                  <c:v>4195</c:v>
                </c:pt>
                <c:pt idx="585">
                  <c:v>4195</c:v>
                </c:pt>
                <c:pt idx="586">
                  <c:v>4195</c:v>
                </c:pt>
                <c:pt idx="587">
                  <c:v>4195</c:v>
                </c:pt>
                <c:pt idx="588">
                  <c:v>4195</c:v>
                </c:pt>
                <c:pt idx="589">
                  <c:v>4195</c:v>
                </c:pt>
                <c:pt idx="590">
                  <c:v>4195</c:v>
                </c:pt>
                <c:pt idx="591">
                  <c:v>4195</c:v>
                </c:pt>
                <c:pt idx="592">
                  <c:v>4195</c:v>
                </c:pt>
                <c:pt idx="593">
                  <c:v>4195</c:v>
                </c:pt>
                <c:pt idx="594">
                  <c:v>4195</c:v>
                </c:pt>
                <c:pt idx="595">
                  <c:v>4195</c:v>
                </c:pt>
                <c:pt idx="596">
                  <c:v>4195</c:v>
                </c:pt>
                <c:pt idx="597">
                  <c:v>4195</c:v>
                </c:pt>
                <c:pt idx="598">
                  <c:v>4195</c:v>
                </c:pt>
                <c:pt idx="599">
                  <c:v>4195</c:v>
                </c:pt>
                <c:pt idx="600">
                  <c:v>4195</c:v>
                </c:pt>
                <c:pt idx="601">
                  <c:v>4195</c:v>
                </c:pt>
                <c:pt idx="602">
                  <c:v>4195</c:v>
                </c:pt>
                <c:pt idx="603">
                  <c:v>4195</c:v>
                </c:pt>
                <c:pt idx="604">
                  <c:v>4195</c:v>
                </c:pt>
                <c:pt idx="605">
                  <c:v>4195</c:v>
                </c:pt>
                <c:pt idx="606">
                  <c:v>4195</c:v>
                </c:pt>
                <c:pt idx="607">
                  <c:v>4195</c:v>
                </c:pt>
                <c:pt idx="608">
                  <c:v>4195</c:v>
                </c:pt>
                <c:pt idx="609">
                  <c:v>4195</c:v>
                </c:pt>
                <c:pt idx="610">
                  <c:v>4195</c:v>
                </c:pt>
                <c:pt idx="611">
                  <c:v>4195</c:v>
                </c:pt>
                <c:pt idx="612">
                  <c:v>4195</c:v>
                </c:pt>
                <c:pt idx="613">
                  <c:v>4195</c:v>
                </c:pt>
                <c:pt idx="614">
                  <c:v>4195</c:v>
                </c:pt>
                <c:pt idx="615">
                  <c:v>4195</c:v>
                </c:pt>
                <c:pt idx="616">
                  <c:v>4195</c:v>
                </c:pt>
                <c:pt idx="617">
                  <c:v>4195</c:v>
                </c:pt>
                <c:pt idx="618">
                  <c:v>4195</c:v>
                </c:pt>
                <c:pt idx="619">
                  <c:v>4195</c:v>
                </c:pt>
                <c:pt idx="620">
                  <c:v>4195</c:v>
                </c:pt>
                <c:pt idx="621">
                  <c:v>4195</c:v>
                </c:pt>
                <c:pt idx="622">
                  <c:v>4195</c:v>
                </c:pt>
                <c:pt idx="623">
                  <c:v>4195</c:v>
                </c:pt>
                <c:pt idx="624">
                  <c:v>4195</c:v>
                </c:pt>
                <c:pt idx="625">
                  <c:v>4195</c:v>
                </c:pt>
                <c:pt idx="626">
                  <c:v>4195</c:v>
                </c:pt>
                <c:pt idx="627">
                  <c:v>4195</c:v>
                </c:pt>
                <c:pt idx="628">
                  <c:v>4195</c:v>
                </c:pt>
                <c:pt idx="629">
                  <c:v>4195</c:v>
                </c:pt>
                <c:pt idx="630">
                  <c:v>4195</c:v>
                </c:pt>
                <c:pt idx="631">
                  <c:v>4195</c:v>
                </c:pt>
                <c:pt idx="632">
                  <c:v>4195</c:v>
                </c:pt>
                <c:pt idx="633">
                  <c:v>4195</c:v>
                </c:pt>
                <c:pt idx="634">
                  <c:v>4195</c:v>
                </c:pt>
                <c:pt idx="635">
                  <c:v>4195</c:v>
                </c:pt>
                <c:pt idx="636">
                  <c:v>4195</c:v>
                </c:pt>
                <c:pt idx="637">
                  <c:v>4195</c:v>
                </c:pt>
                <c:pt idx="638">
                  <c:v>4195</c:v>
                </c:pt>
                <c:pt idx="639">
                  <c:v>4195</c:v>
                </c:pt>
                <c:pt idx="640">
                  <c:v>4195</c:v>
                </c:pt>
                <c:pt idx="641">
                  <c:v>4195</c:v>
                </c:pt>
                <c:pt idx="642">
                  <c:v>4195</c:v>
                </c:pt>
                <c:pt idx="643">
                  <c:v>4195</c:v>
                </c:pt>
                <c:pt idx="644">
                  <c:v>4195</c:v>
                </c:pt>
                <c:pt idx="645">
                  <c:v>4195</c:v>
                </c:pt>
                <c:pt idx="646">
                  <c:v>4195</c:v>
                </c:pt>
                <c:pt idx="647">
                  <c:v>4195</c:v>
                </c:pt>
                <c:pt idx="648">
                  <c:v>4195</c:v>
                </c:pt>
                <c:pt idx="649">
                  <c:v>4195</c:v>
                </c:pt>
                <c:pt idx="650">
                  <c:v>4195</c:v>
                </c:pt>
                <c:pt idx="651">
                  <c:v>4195</c:v>
                </c:pt>
                <c:pt idx="652">
                  <c:v>4195</c:v>
                </c:pt>
                <c:pt idx="653">
                  <c:v>4195</c:v>
                </c:pt>
                <c:pt idx="654">
                  <c:v>4195</c:v>
                </c:pt>
                <c:pt idx="655">
                  <c:v>4195</c:v>
                </c:pt>
                <c:pt idx="656">
                  <c:v>4195</c:v>
                </c:pt>
                <c:pt idx="657">
                  <c:v>4195</c:v>
                </c:pt>
                <c:pt idx="658">
                  <c:v>4195</c:v>
                </c:pt>
                <c:pt idx="659">
                  <c:v>4195</c:v>
                </c:pt>
                <c:pt idx="660">
                  <c:v>4195</c:v>
                </c:pt>
                <c:pt idx="661">
                  <c:v>4195</c:v>
                </c:pt>
                <c:pt idx="662">
                  <c:v>4195</c:v>
                </c:pt>
                <c:pt idx="663">
                  <c:v>4195</c:v>
                </c:pt>
                <c:pt idx="664">
                  <c:v>4195</c:v>
                </c:pt>
                <c:pt idx="665">
                  <c:v>4195</c:v>
                </c:pt>
                <c:pt idx="666">
                  <c:v>4195</c:v>
                </c:pt>
                <c:pt idx="667">
                  <c:v>4195</c:v>
                </c:pt>
                <c:pt idx="668">
                  <c:v>4195</c:v>
                </c:pt>
                <c:pt idx="669">
                  <c:v>4195</c:v>
                </c:pt>
                <c:pt idx="670">
                  <c:v>4195</c:v>
                </c:pt>
                <c:pt idx="671">
                  <c:v>4195</c:v>
                </c:pt>
                <c:pt idx="672">
                  <c:v>4195</c:v>
                </c:pt>
                <c:pt idx="673">
                  <c:v>4195</c:v>
                </c:pt>
                <c:pt idx="674">
                  <c:v>4195</c:v>
                </c:pt>
                <c:pt idx="675">
                  <c:v>4195</c:v>
                </c:pt>
                <c:pt idx="676">
                  <c:v>4195</c:v>
                </c:pt>
                <c:pt idx="677">
                  <c:v>4195</c:v>
                </c:pt>
                <c:pt idx="678">
                  <c:v>4195</c:v>
                </c:pt>
                <c:pt idx="679">
                  <c:v>4195</c:v>
                </c:pt>
                <c:pt idx="680">
                  <c:v>4195</c:v>
                </c:pt>
                <c:pt idx="681">
                  <c:v>4195</c:v>
                </c:pt>
                <c:pt idx="682">
                  <c:v>4195</c:v>
                </c:pt>
                <c:pt idx="683">
                  <c:v>4195</c:v>
                </c:pt>
                <c:pt idx="684">
                  <c:v>4195</c:v>
                </c:pt>
                <c:pt idx="685">
                  <c:v>4195</c:v>
                </c:pt>
                <c:pt idx="686">
                  <c:v>4195</c:v>
                </c:pt>
                <c:pt idx="687">
                  <c:v>4195</c:v>
                </c:pt>
                <c:pt idx="688">
                  <c:v>4195</c:v>
                </c:pt>
                <c:pt idx="689">
                  <c:v>4195</c:v>
                </c:pt>
                <c:pt idx="690">
                  <c:v>4195</c:v>
                </c:pt>
                <c:pt idx="691">
                  <c:v>4195</c:v>
                </c:pt>
                <c:pt idx="692">
                  <c:v>4195</c:v>
                </c:pt>
                <c:pt idx="693">
                  <c:v>4195</c:v>
                </c:pt>
                <c:pt idx="694">
                  <c:v>4195</c:v>
                </c:pt>
                <c:pt idx="695">
                  <c:v>4195</c:v>
                </c:pt>
                <c:pt idx="696">
                  <c:v>4195</c:v>
                </c:pt>
                <c:pt idx="697">
                  <c:v>4195</c:v>
                </c:pt>
                <c:pt idx="698">
                  <c:v>4195</c:v>
                </c:pt>
                <c:pt idx="699">
                  <c:v>4195</c:v>
                </c:pt>
                <c:pt idx="700">
                  <c:v>4195</c:v>
                </c:pt>
                <c:pt idx="701">
                  <c:v>4195</c:v>
                </c:pt>
                <c:pt idx="702">
                  <c:v>4195</c:v>
                </c:pt>
                <c:pt idx="703">
                  <c:v>4195</c:v>
                </c:pt>
                <c:pt idx="704">
                  <c:v>4195</c:v>
                </c:pt>
                <c:pt idx="705">
                  <c:v>4195</c:v>
                </c:pt>
                <c:pt idx="706">
                  <c:v>4195</c:v>
                </c:pt>
                <c:pt idx="707">
                  <c:v>4195</c:v>
                </c:pt>
                <c:pt idx="708">
                  <c:v>4195</c:v>
                </c:pt>
                <c:pt idx="709">
                  <c:v>4195</c:v>
                </c:pt>
                <c:pt idx="710">
                  <c:v>4195</c:v>
                </c:pt>
                <c:pt idx="711">
                  <c:v>4195</c:v>
                </c:pt>
                <c:pt idx="712">
                  <c:v>4195</c:v>
                </c:pt>
                <c:pt idx="713">
                  <c:v>4195</c:v>
                </c:pt>
                <c:pt idx="714">
                  <c:v>4195</c:v>
                </c:pt>
                <c:pt idx="715">
                  <c:v>4195</c:v>
                </c:pt>
                <c:pt idx="716">
                  <c:v>4195</c:v>
                </c:pt>
                <c:pt idx="717">
                  <c:v>4195</c:v>
                </c:pt>
                <c:pt idx="718">
                  <c:v>4195</c:v>
                </c:pt>
                <c:pt idx="719">
                  <c:v>4195</c:v>
                </c:pt>
                <c:pt idx="720">
                  <c:v>4195</c:v>
                </c:pt>
                <c:pt idx="721">
                  <c:v>4195</c:v>
                </c:pt>
                <c:pt idx="722">
                  <c:v>4195</c:v>
                </c:pt>
                <c:pt idx="723">
                  <c:v>4195</c:v>
                </c:pt>
                <c:pt idx="724">
                  <c:v>4195</c:v>
                </c:pt>
                <c:pt idx="725">
                  <c:v>4195</c:v>
                </c:pt>
                <c:pt idx="726">
                  <c:v>4195</c:v>
                </c:pt>
                <c:pt idx="727">
                  <c:v>4195</c:v>
                </c:pt>
                <c:pt idx="728">
                  <c:v>4195</c:v>
                </c:pt>
                <c:pt idx="729">
                  <c:v>4195</c:v>
                </c:pt>
                <c:pt idx="730">
                  <c:v>4195</c:v>
                </c:pt>
                <c:pt idx="731">
                  <c:v>4195</c:v>
                </c:pt>
                <c:pt idx="732">
                  <c:v>4195</c:v>
                </c:pt>
                <c:pt idx="733">
                  <c:v>4195</c:v>
                </c:pt>
                <c:pt idx="734">
                  <c:v>4195</c:v>
                </c:pt>
                <c:pt idx="735">
                  <c:v>4195</c:v>
                </c:pt>
                <c:pt idx="736">
                  <c:v>4195</c:v>
                </c:pt>
                <c:pt idx="737">
                  <c:v>4195</c:v>
                </c:pt>
                <c:pt idx="738">
                  <c:v>4195</c:v>
                </c:pt>
                <c:pt idx="739">
                  <c:v>4195</c:v>
                </c:pt>
                <c:pt idx="740">
                  <c:v>4195</c:v>
                </c:pt>
                <c:pt idx="741">
                  <c:v>4195</c:v>
                </c:pt>
                <c:pt idx="742">
                  <c:v>4195</c:v>
                </c:pt>
                <c:pt idx="743">
                  <c:v>4195</c:v>
                </c:pt>
                <c:pt idx="744">
                  <c:v>4195</c:v>
                </c:pt>
                <c:pt idx="745">
                  <c:v>4195</c:v>
                </c:pt>
                <c:pt idx="746">
                  <c:v>4195</c:v>
                </c:pt>
                <c:pt idx="747">
                  <c:v>4195</c:v>
                </c:pt>
                <c:pt idx="748">
                  <c:v>4195</c:v>
                </c:pt>
                <c:pt idx="749">
                  <c:v>4195</c:v>
                </c:pt>
                <c:pt idx="750">
                  <c:v>4195</c:v>
                </c:pt>
                <c:pt idx="751">
                  <c:v>4195</c:v>
                </c:pt>
                <c:pt idx="752">
                  <c:v>4195</c:v>
                </c:pt>
                <c:pt idx="753">
                  <c:v>4195</c:v>
                </c:pt>
                <c:pt idx="754">
                  <c:v>4195</c:v>
                </c:pt>
                <c:pt idx="755">
                  <c:v>4195</c:v>
                </c:pt>
                <c:pt idx="756">
                  <c:v>4195</c:v>
                </c:pt>
                <c:pt idx="757">
                  <c:v>4195</c:v>
                </c:pt>
                <c:pt idx="758">
                  <c:v>4195</c:v>
                </c:pt>
                <c:pt idx="759">
                  <c:v>4195</c:v>
                </c:pt>
                <c:pt idx="760">
                  <c:v>4195</c:v>
                </c:pt>
                <c:pt idx="761">
                  <c:v>4195</c:v>
                </c:pt>
                <c:pt idx="762">
                  <c:v>4195</c:v>
                </c:pt>
                <c:pt idx="763">
                  <c:v>4195</c:v>
                </c:pt>
                <c:pt idx="764">
                  <c:v>4195</c:v>
                </c:pt>
                <c:pt idx="765">
                  <c:v>4195</c:v>
                </c:pt>
                <c:pt idx="766">
                  <c:v>4195</c:v>
                </c:pt>
                <c:pt idx="767">
                  <c:v>4195</c:v>
                </c:pt>
                <c:pt idx="768">
                  <c:v>4195</c:v>
                </c:pt>
                <c:pt idx="769">
                  <c:v>4195</c:v>
                </c:pt>
                <c:pt idx="770">
                  <c:v>4195</c:v>
                </c:pt>
                <c:pt idx="771">
                  <c:v>4195</c:v>
                </c:pt>
                <c:pt idx="772">
                  <c:v>4195</c:v>
                </c:pt>
                <c:pt idx="773">
                  <c:v>4195</c:v>
                </c:pt>
                <c:pt idx="774">
                  <c:v>4195</c:v>
                </c:pt>
                <c:pt idx="775">
                  <c:v>4195</c:v>
                </c:pt>
                <c:pt idx="776">
                  <c:v>4195</c:v>
                </c:pt>
                <c:pt idx="777">
                  <c:v>4195</c:v>
                </c:pt>
                <c:pt idx="778">
                  <c:v>4195</c:v>
                </c:pt>
                <c:pt idx="779">
                  <c:v>4195</c:v>
                </c:pt>
                <c:pt idx="780">
                  <c:v>4195</c:v>
                </c:pt>
                <c:pt idx="781">
                  <c:v>4195</c:v>
                </c:pt>
                <c:pt idx="782">
                  <c:v>4195</c:v>
                </c:pt>
                <c:pt idx="783">
                  <c:v>4195</c:v>
                </c:pt>
                <c:pt idx="784">
                  <c:v>4195</c:v>
                </c:pt>
                <c:pt idx="785">
                  <c:v>4195</c:v>
                </c:pt>
                <c:pt idx="786">
                  <c:v>4195</c:v>
                </c:pt>
                <c:pt idx="787">
                  <c:v>4195</c:v>
                </c:pt>
                <c:pt idx="788">
                  <c:v>4195</c:v>
                </c:pt>
                <c:pt idx="789">
                  <c:v>4195</c:v>
                </c:pt>
                <c:pt idx="790">
                  <c:v>4195</c:v>
                </c:pt>
                <c:pt idx="791">
                  <c:v>4195</c:v>
                </c:pt>
                <c:pt idx="792">
                  <c:v>4195</c:v>
                </c:pt>
                <c:pt idx="793">
                  <c:v>4195</c:v>
                </c:pt>
                <c:pt idx="794">
                  <c:v>4195</c:v>
                </c:pt>
                <c:pt idx="795">
                  <c:v>4195</c:v>
                </c:pt>
                <c:pt idx="796">
                  <c:v>4195</c:v>
                </c:pt>
                <c:pt idx="797">
                  <c:v>4195</c:v>
                </c:pt>
                <c:pt idx="798">
                  <c:v>4195</c:v>
                </c:pt>
                <c:pt idx="799">
                  <c:v>4195</c:v>
                </c:pt>
                <c:pt idx="800">
                  <c:v>4195</c:v>
                </c:pt>
                <c:pt idx="801">
                  <c:v>4195</c:v>
                </c:pt>
                <c:pt idx="802">
                  <c:v>4195</c:v>
                </c:pt>
                <c:pt idx="803">
                  <c:v>4195</c:v>
                </c:pt>
                <c:pt idx="804">
                  <c:v>4195</c:v>
                </c:pt>
                <c:pt idx="805">
                  <c:v>4195</c:v>
                </c:pt>
                <c:pt idx="806">
                  <c:v>4195</c:v>
                </c:pt>
                <c:pt idx="807">
                  <c:v>4195</c:v>
                </c:pt>
                <c:pt idx="808">
                  <c:v>4195</c:v>
                </c:pt>
                <c:pt idx="809">
                  <c:v>4195</c:v>
                </c:pt>
                <c:pt idx="810">
                  <c:v>4195</c:v>
                </c:pt>
                <c:pt idx="811">
                  <c:v>4195</c:v>
                </c:pt>
                <c:pt idx="812">
                  <c:v>4195</c:v>
                </c:pt>
                <c:pt idx="813">
                  <c:v>4195</c:v>
                </c:pt>
                <c:pt idx="814">
                  <c:v>4195</c:v>
                </c:pt>
                <c:pt idx="815">
                  <c:v>4195</c:v>
                </c:pt>
                <c:pt idx="816">
                  <c:v>4195</c:v>
                </c:pt>
                <c:pt idx="817">
                  <c:v>4195</c:v>
                </c:pt>
                <c:pt idx="818">
                  <c:v>4195</c:v>
                </c:pt>
                <c:pt idx="819">
                  <c:v>4195</c:v>
                </c:pt>
                <c:pt idx="820">
                  <c:v>4195</c:v>
                </c:pt>
                <c:pt idx="821">
                  <c:v>4195</c:v>
                </c:pt>
                <c:pt idx="822">
                  <c:v>4195</c:v>
                </c:pt>
                <c:pt idx="823">
                  <c:v>4195</c:v>
                </c:pt>
                <c:pt idx="824">
                  <c:v>4195</c:v>
                </c:pt>
                <c:pt idx="825">
                  <c:v>4195</c:v>
                </c:pt>
                <c:pt idx="826">
                  <c:v>4195</c:v>
                </c:pt>
                <c:pt idx="827">
                  <c:v>4195</c:v>
                </c:pt>
                <c:pt idx="828">
                  <c:v>4195</c:v>
                </c:pt>
                <c:pt idx="829">
                  <c:v>4195</c:v>
                </c:pt>
                <c:pt idx="830">
                  <c:v>4195</c:v>
                </c:pt>
                <c:pt idx="831">
                  <c:v>4195</c:v>
                </c:pt>
                <c:pt idx="832">
                  <c:v>4195</c:v>
                </c:pt>
                <c:pt idx="833">
                  <c:v>4195</c:v>
                </c:pt>
                <c:pt idx="834">
                  <c:v>4195</c:v>
                </c:pt>
                <c:pt idx="835">
                  <c:v>4195</c:v>
                </c:pt>
                <c:pt idx="836">
                  <c:v>4195</c:v>
                </c:pt>
                <c:pt idx="837">
                  <c:v>4195</c:v>
                </c:pt>
                <c:pt idx="838">
                  <c:v>4195</c:v>
                </c:pt>
                <c:pt idx="839">
                  <c:v>4195</c:v>
                </c:pt>
                <c:pt idx="840">
                  <c:v>4195</c:v>
                </c:pt>
                <c:pt idx="841">
                  <c:v>4195</c:v>
                </c:pt>
                <c:pt idx="842">
                  <c:v>4195</c:v>
                </c:pt>
                <c:pt idx="843">
                  <c:v>4195</c:v>
                </c:pt>
                <c:pt idx="844">
                  <c:v>4195</c:v>
                </c:pt>
                <c:pt idx="845">
                  <c:v>4195</c:v>
                </c:pt>
                <c:pt idx="846">
                  <c:v>4195</c:v>
                </c:pt>
                <c:pt idx="847">
                  <c:v>4195</c:v>
                </c:pt>
                <c:pt idx="848">
                  <c:v>4195</c:v>
                </c:pt>
                <c:pt idx="849">
                  <c:v>4195</c:v>
                </c:pt>
                <c:pt idx="850">
                  <c:v>4195</c:v>
                </c:pt>
                <c:pt idx="851">
                  <c:v>4195</c:v>
                </c:pt>
                <c:pt idx="852">
                  <c:v>4195</c:v>
                </c:pt>
                <c:pt idx="853">
                  <c:v>4195</c:v>
                </c:pt>
                <c:pt idx="854">
                  <c:v>4195</c:v>
                </c:pt>
                <c:pt idx="855">
                  <c:v>4195</c:v>
                </c:pt>
                <c:pt idx="856">
                  <c:v>4195</c:v>
                </c:pt>
                <c:pt idx="857">
                  <c:v>4195</c:v>
                </c:pt>
                <c:pt idx="858">
                  <c:v>4195</c:v>
                </c:pt>
                <c:pt idx="859">
                  <c:v>4195</c:v>
                </c:pt>
                <c:pt idx="860">
                  <c:v>4195</c:v>
                </c:pt>
                <c:pt idx="861">
                  <c:v>4195</c:v>
                </c:pt>
                <c:pt idx="862">
                  <c:v>4195</c:v>
                </c:pt>
                <c:pt idx="863">
                  <c:v>4195</c:v>
                </c:pt>
                <c:pt idx="864">
                  <c:v>4195</c:v>
                </c:pt>
                <c:pt idx="865">
                  <c:v>4195</c:v>
                </c:pt>
                <c:pt idx="866">
                  <c:v>4195</c:v>
                </c:pt>
                <c:pt idx="867">
                  <c:v>4195</c:v>
                </c:pt>
                <c:pt idx="868">
                  <c:v>4195</c:v>
                </c:pt>
                <c:pt idx="869">
                  <c:v>4195</c:v>
                </c:pt>
                <c:pt idx="870">
                  <c:v>4195</c:v>
                </c:pt>
                <c:pt idx="871">
                  <c:v>4195</c:v>
                </c:pt>
                <c:pt idx="872">
                  <c:v>4195</c:v>
                </c:pt>
                <c:pt idx="873">
                  <c:v>4195</c:v>
                </c:pt>
                <c:pt idx="874">
                  <c:v>4195</c:v>
                </c:pt>
                <c:pt idx="875">
                  <c:v>4195</c:v>
                </c:pt>
                <c:pt idx="876">
                  <c:v>4195</c:v>
                </c:pt>
                <c:pt idx="877">
                  <c:v>4195</c:v>
                </c:pt>
                <c:pt idx="878">
                  <c:v>4195</c:v>
                </c:pt>
                <c:pt idx="879">
                  <c:v>4195</c:v>
                </c:pt>
                <c:pt idx="880">
                  <c:v>4195</c:v>
                </c:pt>
                <c:pt idx="881">
                  <c:v>4195</c:v>
                </c:pt>
                <c:pt idx="882">
                  <c:v>4195</c:v>
                </c:pt>
                <c:pt idx="883">
                  <c:v>4195</c:v>
                </c:pt>
                <c:pt idx="884">
                  <c:v>4195</c:v>
                </c:pt>
                <c:pt idx="885">
                  <c:v>4195</c:v>
                </c:pt>
                <c:pt idx="886">
                  <c:v>4195</c:v>
                </c:pt>
                <c:pt idx="887">
                  <c:v>4195</c:v>
                </c:pt>
                <c:pt idx="888">
                  <c:v>4195</c:v>
                </c:pt>
                <c:pt idx="889">
                  <c:v>4195</c:v>
                </c:pt>
                <c:pt idx="890">
                  <c:v>4195</c:v>
                </c:pt>
                <c:pt idx="891">
                  <c:v>4195</c:v>
                </c:pt>
                <c:pt idx="892">
                  <c:v>4195</c:v>
                </c:pt>
                <c:pt idx="893">
                  <c:v>4195</c:v>
                </c:pt>
                <c:pt idx="894">
                  <c:v>4195</c:v>
                </c:pt>
                <c:pt idx="895">
                  <c:v>4195</c:v>
                </c:pt>
                <c:pt idx="896">
                  <c:v>4195</c:v>
                </c:pt>
                <c:pt idx="897">
                  <c:v>4195</c:v>
                </c:pt>
                <c:pt idx="898">
                  <c:v>4195</c:v>
                </c:pt>
                <c:pt idx="899">
                  <c:v>4195</c:v>
                </c:pt>
                <c:pt idx="900">
                  <c:v>4195</c:v>
                </c:pt>
                <c:pt idx="901">
                  <c:v>4195</c:v>
                </c:pt>
                <c:pt idx="902">
                  <c:v>4195</c:v>
                </c:pt>
                <c:pt idx="903">
                  <c:v>4195</c:v>
                </c:pt>
                <c:pt idx="904">
                  <c:v>4195</c:v>
                </c:pt>
                <c:pt idx="905">
                  <c:v>4195</c:v>
                </c:pt>
                <c:pt idx="906">
                  <c:v>4195</c:v>
                </c:pt>
                <c:pt idx="907">
                  <c:v>4195</c:v>
                </c:pt>
                <c:pt idx="908">
                  <c:v>4195</c:v>
                </c:pt>
                <c:pt idx="909">
                  <c:v>4195</c:v>
                </c:pt>
                <c:pt idx="910">
                  <c:v>4195</c:v>
                </c:pt>
                <c:pt idx="911">
                  <c:v>4195</c:v>
                </c:pt>
                <c:pt idx="912">
                  <c:v>4195</c:v>
                </c:pt>
                <c:pt idx="913">
                  <c:v>4195</c:v>
                </c:pt>
                <c:pt idx="914">
                  <c:v>4195</c:v>
                </c:pt>
                <c:pt idx="915">
                  <c:v>4195</c:v>
                </c:pt>
                <c:pt idx="916">
                  <c:v>4195</c:v>
                </c:pt>
                <c:pt idx="917">
                  <c:v>4195</c:v>
                </c:pt>
                <c:pt idx="918">
                  <c:v>4195</c:v>
                </c:pt>
                <c:pt idx="919">
                  <c:v>4195</c:v>
                </c:pt>
                <c:pt idx="920">
                  <c:v>4195</c:v>
                </c:pt>
                <c:pt idx="921">
                  <c:v>4195</c:v>
                </c:pt>
                <c:pt idx="922">
                  <c:v>4195</c:v>
                </c:pt>
                <c:pt idx="923">
                  <c:v>4195</c:v>
                </c:pt>
                <c:pt idx="924">
                  <c:v>4195</c:v>
                </c:pt>
                <c:pt idx="925">
                  <c:v>4195</c:v>
                </c:pt>
                <c:pt idx="926">
                  <c:v>4195</c:v>
                </c:pt>
                <c:pt idx="927">
                  <c:v>4195</c:v>
                </c:pt>
                <c:pt idx="928">
                  <c:v>4195</c:v>
                </c:pt>
                <c:pt idx="929">
                  <c:v>4195</c:v>
                </c:pt>
                <c:pt idx="930">
                  <c:v>4195</c:v>
                </c:pt>
                <c:pt idx="931">
                  <c:v>4195</c:v>
                </c:pt>
                <c:pt idx="932">
                  <c:v>4195</c:v>
                </c:pt>
                <c:pt idx="933">
                  <c:v>4195</c:v>
                </c:pt>
                <c:pt idx="934">
                  <c:v>4195</c:v>
                </c:pt>
                <c:pt idx="935">
                  <c:v>4195</c:v>
                </c:pt>
                <c:pt idx="936">
                  <c:v>4195</c:v>
                </c:pt>
                <c:pt idx="937">
                  <c:v>4195</c:v>
                </c:pt>
                <c:pt idx="938">
                  <c:v>4195</c:v>
                </c:pt>
                <c:pt idx="939">
                  <c:v>4195</c:v>
                </c:pt>
                <c:pt idx="940">
                  <c:v>4195</c:v>
                </c:pt>
                <c:pt idx="941">
                  <c:v>4195</c:v>
                </c:pt>
                <c:pt idx="942">
                  <c:v>4195</c:v>
                </c:pt>
                <c:pt idx="943">
                  <c:v>4195</c:v>
                </c:pt>
                <c:pt idx="944">
                  <c:v>4195</c:v>
                </c:pt>
                <c:pt idx="945">
                  <c:v>4195</c:v>
                </c:pt>
                <c:pt idx="946">
                  <c:v>4195</c:v>
                </c:pt>
                <c:pt idx="947">
                  <c:v>4195</c:v>
                </c:pt>
                <c:pt idx="948">
                  <c:v>4195</c:v>
                </c:pt>
                <c:pt idx="949">
                  <c:v>4195</c:v>
                </c:pt>
                <c:pt idx="950">
                  <c:v>4195</c:v>
                </c:pt>
                <c:pt idx="951">
                  <c:v>4195</c:v>
                </c:pt>
                <c:pt idx="952">
                  <c:v>4195</c:v>
                </c:pt>
                <c:pt idx="953">
                  <c:v>4195</c:v>
                </c:pt>
                <c:pt idx="954">
                  <c:v>4195</c:v>
                </c:pt>
                <c:pt idx="955">
                  <c:v>4195</c:v>
                </c:pt>
                <c:pt idx="956">
                  <c:v>4195</c:v>
                </c:pt>
                <c:pt idx="957">
                  <c:v>4195</c:v>
                </c:pt>
                <c:pt idx="958">
                  <c:v>4195</c:v>
                </c:pt>
                <c:pt idx="959">
                  <c:v>4195</c:v>
                </c:pt>
                <c:pt idx="960">
                  <c:v>4195</c:v>
                </c:pt>
                <c:pt idx="961">
                  <c:v>4195</c:v>
                </c:pt>
                <c:pt idx="962">
                  <c:v>4195</c:v>
                </c:pt>
                <c:pt idx="963">
                  <c:v>4195</c:v>
                </c:pt>
                <c:pt idx="964">
                  <c:v>4195</c:v>
                </c:pt>
                <c:pt idx="965">
                  <c:v>4195</c:v>
                </c:pt>
                <c:pt idx="966">
                  <c:v>4195</c:v>
                </c:pt>
                <c:pt idx="967">
                  <c:v>4195</c:v>
                </c:pt>
                <c:pt idx="968">
                  <c:v>4195</c:v>
                </c:pt>
                <c:pt idx="969">
                  <c:v>4195</c:v>
                </c:pt>
                <c:pt idx="970">
                  <c:v>4195</c:v>
                </c:pt>
                <c:pt idx="971">
                  <c:v>4195</c:v>
                </c:pt>
                <c:pt idx="972">
                  <c:v>4195</c:v>
                </c:pt>
                <c:pt idx="973">
                  <c:v>4195</c:v>
                </c:pt>
                <c:pt idx="974">
                  <c:v>4195</c:v>
                </c:pt>
                <c:pt idx="975">
                  <c:v>4195</c:v>
                </c:pt>
                <c:pt idx="976">
                  <c:v>4195</c:v>
                </c:pt>
                <c:pt idx="977">
                  <c:v>4195</c:v>
                </c:pt>
                <c:pt idx="978">
                  <c:v>4195</c:v>
                </c:pt>
                <c:pt idx="979">
                  <c:v>4195</c:v>
                </c:pt>
                <c:pt idx="980">
                  <c:v>4195</c:v>
                </c:pt>
                <c:pt idx="981">
                  <c:v>4195</c:v>
                </c:pt>
                <c:pt idx="982">
                  <c:v>4195</c:v>
                </c:pt>
                <c:pt idx="983">
                  <c:v>4195</c:v>
                </c:pt>
                <c:pt idx="984">
                  <c:v>4195</c:v>
                </c:pt>
                <c:pt idx="985">
                  <c:v>4195</c:v>
                </c:pt>
                <c:pt idx="986">
                  <c:v>4195</c:v>
                </c:pt>
                <c:pt idx="987">
                  <c:v>4195</c:v>
                </c:pt>
                <c:pt idx="988">
                  <c:v>4195</c:v>
                </c:pt>
                <c:pt idx="989">
                  <c:v>4195</c:v>
                </c:pt>
                <c:pt idx="990">
                  <c:v>4195</c:v>
                </c:pt>
                <c:pt idx="991">
                  <c:v>4195</c:v>
                </c:pt>
                <c:pt idx="992">
                  <c:v>4195</c:v>
                </c:pt>
                <c:pt idx="993">
                  <c:v>4195</c:v>
                </c:pt>
                <c:pt idx="994">
                  <c:v>4195</c:v>
                </c:pt>
                <c:pt idx="995">
                  <c:v>4195</c:v>
                </c:pt>
                <c:pt idx="996">
                  <c:v>4195</c:v>
                </c:pt>
                <c:pt idx="997">
                  <c:v>4195</c:v>
                </c:pt>
                <c:pt idx="998">
                  <c:v>4195</c:v>
                </c:pt>
                <c:pt idx="999">
                  <c:v>4195</c:v>
                </c:pt>
                <c:pt idx="1000">
                  <c:v>4195</c:v>
                </c:pt>
                <c:pt idx="1001">
                  <c:v>4195</c:v>
                </c:pt>
                <c:pt idx="1002">
                  <c:v>4195</c:v>
                </c:pt>
                <c:pt idx="1003">
                  <c:v>4195</c:v>
                </c:pt>
                <c:pt idx="1004">
                  <c:v>4195</c:v>
                </c:pt>
                <c:pt idx="1005">
                  <c:v>4195</c:v>
                </c:pt>
                <c:pt idx="1006">
                  <c:v>4195</c:v>
                </c:pt>
                <c:pt idx="1007">
                  <c:v>4195</c:v>
                </c:pt>
                <c:pt idx="1008">
                  <c:v>4195</c:v>
                </c:pt>
                <c:pt idx="1009">
                  <c:v>4195</c:v>
                </c:pt>
                <c:pt idx="1010">
                  <c:v>4195</c:v>
                </c:pt>
                <c:pt idx="1011">
                  <c:v>4195</c:v>
                </c:pt>
                <c:pt idx="1012">
                  <c:v>4195</c:v>
                </c:pt>
                <c:pt idx="1013">
                  <c:v>4195</c:v>
                </c:pt>
                <c:pt idx="1014">
                  <c:v>4195</c:v>
                </c:pt>
                <c:pt idx="1015">
                  <c:v>4195</c:v>
                </c:pt>
                <c:pt idx="1016">
                  <c:v>4195</c:v>
                </c:pt>
                <c:pt idx="1017">
                  <c:v>4195</c:v>
                </c:pt>
                <c:pt idx="1018">
                  <c:v>4195</c:v>
                </c:pt>
                <c:pt idx="1019">
                  <c:v>4195</c:v>
                </c:pt>
                <c:pt idx="1020">
                  <c:v>4195</c:v>
                </c:pt>
                <c:pt idx="1021">
                  <c:v>4195</c:v>
                </c:pt>
                <c:pt idx="1022">
                  <c:v>4195</c:v>
                </c:pt>
                <c:pt idx="1023">
                  <c:v>4195</c:v>
                </c:pt>
                <c:pt idx="1024">
                  <c:v>4195</c:v>
                </c:pt>
                <c:pt idx="1025">
                  <c:v>4195</c:v>
                </c:pt>
                <c:pt idx="1026">
                  <c:v>4195</c:v>
                </c:pt>
                <c:pt idx="1027">
                  <c:v>4195</c:v>
                </c:pt>
                <c:pt idx="1028">
                  <c:v>4195</c:v>
                </c:pt>
                <c:pt idx="1029">
                  <c:v>4195</c:v>
                </c:pt>
                <c:pt idx="1030">
                  <c:v>4195</c:v>
                </c:pt>
                <c:pt idx="1031">
                  <c:v>4195</c:v>
                </c:pt>
                <c:pt idx="1032">
                  <c:v>4195</c:v>
                </c:pt>
                <c:pt idx="1033">
                  <c:v>4195</c:v>
                </c:pt>
                <c:pt idx="1034">
                  <c:v>4195</c:v>
                </c:pt>
                <c:pt idx="1035">
                  <c:v>4195</c:v>
                </c:pt>
                <c:pt idx="1036">
                  <c:v>4195</c:v>
                </c:pt>
                <c:pt idx="1037">
                  <c:v>4195</c:v>
                </c:pt>
                <c:pt idx="1038">
                  <c:v>4195</c:v>
                </c:pt>
                <c:pt idx="1039">
                  <c:v>4195</c:v>
                </c:pt>
                <c:pt idx="1040">
                  <c:v>4195</c:v>
                </c:pt>
                <c:pt idx="1041">
                  <c:v>4195</c:v>
                </c:pt>
                <c:pt idx="1042">
                  <c:v>4195</c:v>
                </c:pt>
                <c:pt idx="1043">
                  <c:v>4195</c:v>
                </c:pt>
                <c:pt idx="1044">
                  <c:v>4195</c:v>
                </c:pt>
                <c:pt idx="1045">
                  <c:v>4195</c:v>
                </c:pt>
                <c:pt idx="1046">
                  <c:v>4195</c:v>
                </c:pt>
                <c:pt idx="1047">
                  <c:v>4195</c:v>
                </c:pt>
                <c:pt idx="1048">
                  <c:v>4195</c:v>
                </c:pt>
                <c:pt idx="1049">
                  <c:v>4195</c:v>
                </c:pt>
                <c:pt idx="1050">
                  <c:v>4195</c:v>
                </c:pt>
                <c:pt idx="1051">
                  <c:v>4195</c:v>
                </c:pt>
                <c:pt idx="1052">
                  <c:v>4195</c:v>
                </c:pt>
                <c:pt idx="1053">
                  <c:v>4195</c:v>
                </c:pt>
                <c:pt idx="1054">
                  <c:v>4195</c:v>
                </c:pt>
                <c:pt idx="1055">
                  <c:v>4195</c:v>
                </c:pt>
                <c:pt idx="1056">
                  <c:v>4195</c:v>
                </c:pt>
                <c:pt idx="1057">
                  <c:v>4195</c:v>
                </c:pt>
                <c:pt idx="1058">
                  <c:v>4195</c:v>
                </c:pt>
                <c:pt idx="1059">
                  <c:v>4195</c:v>
                </c:pt>
                <c:pt idx="1060">
                  <c:v>4195</c:v>
                </c:pt>
                <c:pt idx="1061">
                  <c:v>4195</c:v>
                </c:pt>
                <c:pt idx="1062">
                  <c:v>4195</c:v>
                </c:pt>
                <c:pt idx="1063">
                  <c:v>4195</c:v>
                </c:pt>
                <c:pt idx="1064">
                  <c:v>4195</c:v>
                </c:pt>
                <c:pt idx="1065">
                  <c:v>4195</c:v>
                </c:pt>
                <c:pt idx="1066">
                  <c:v>4195</c:v>
                </c:pt>
                <c:pt idx="1067">
                  <c:v>4195</c:v>
                </c:pt>
                <c:pt idx="1068">
                  <c:v>4195</c:v>
                </c:pt>
                <c:pt idx="1069">
                  <c:v>4195</c:v>
                </c:pt>
                <c:pt idx="1070">
                  <c:v>4195</c:v>
                </c:pt>
                <c:pt idx="1071">
                  <c:v>4195</c:v>
                </c:pt>
                <c:pt idx="1072">
                  <c:v>4195</c:v>
                </c:pt>
                <c:pt idx="1073">
                  <c:v>4195</c:v>
                </c:pt>
                <c:pt idx="1074">
                  <c:v>4195</c:v>
                </c:pt>
                <c:pt idx="1075">
                  <c:v>4195</c:v>
                </c:pt>
                <c:pt idx="1076">
                  <c:v>4195</c:v>
                </c:pt>
                <c:pt idx="1077">
                  <c:v>4195</c:v>
                </c:pt>
                <c:pt idx="1078">
                  <c:v>4195</c:v>
                </c:pt>
                <c:pt idx="1079">
                  <c:v>4195</c:v>
                </c:pt>
                <c:pt idx="1080">
                  <c:v>4195</c:v>
                </c:pt>
                <c:pt idx="1081">
                  <c:v>4195</c:v>
                </c:pt>
                <c:pt idx="1082">
                  <c:v>4195</c:v>
                </c:pt>
                <c:pt idx="1083">
                  <c:v>4195</c:v>
                </c:pt>
                <c:pt idx="1084">
                  <c:v>4195</c:v>
                </c:pt>
                <c:pt idx="1085">
                  <c:v>4195</c:v>
                </c:pt>
                <c:pt idx="1086">
                  <c:v>4195</c:v>
                </c:pt>
                <c:pt idx="1087">
                  <c:v>4195</c:v>
                </c:pt>
                <c:pt idx="1088">
                  <c:v>4195</c:v>
                </c:pt>
                <c:pt idx="1089">
                  <c:v>4195</c:v>
                </c:pt>
                <c:pt idx="1090">
                  <c:v>4195</c:v>
                </c:pt>
                <c:pt idx="1091">
                  <c:v>4195</c:v>
                </c:pt>
                <c:pt idx="1092">
                  <c:v>4195</c:v>
                </c:pt>
                <c:pt idx="1093">
                  <c:v>4195</c:v>
                </c:pt>
                <c:pt idx="1094">
                  <c:v>4195</c:v>
                </c:pt>
                <c:pt idx="1095">
                  <c:v>4195</c:v>
                </c:pt>
                <c:pt idx="1096">
                  <c:v>4195</c:v>
                </c:pt>
                <c:pt idx="1097">
                  <c:v>4195</c:v>
                </c:pt>
                <c:pt idx="1098">
                  <c:v>4195</c:v>
                </c:pt>
                <c:pt idx="1099">
                  <c:v>4195</c:v>
                </c:pt>
                <c:pt idx="1100">
                  <c:v>4195</c:v>
                </c:pt>
                <c:pt idx="1101">
                  <c:v>4195</c:v>
                </c:pt>
                <c:pt idx="1102">
                  <c:v>4195</c:v>
                </c:pt>
                <c:pt idx="1103">
                  <c:v>4195</c:v>
                </c:pt>
                <c:pt idx="1104">
                  <c:v>4195</c:v>
                </c:pt>
                <c:pt idx="1105">
                  <c:v>4195</c:v>
                </c:pt>
                <c:pt idx="1106">
                  <c:v>4195</c:v>
                </c:pt>
                <c:pt idx="1107">
                  <c:v>4195</c:v>
                </c:pt>
                <c:pt idx="1108">
                  <c:v>4195</c:v>
                </c:pt>
                <c:pt idx="1109">
                  <c:v>4195</c:v>
                </c:pt>
                <c:pt idx="1110">
                  <c:v>4195</c:v>
                </c:pt>
                <c:pt idx="1111">
                  <c:v>4195</c:v>
                </c:pt>
                <c:pt idx="1112">
                  <c:v>4195</c:v>
                </c:pt>
                <c:pt idx="1113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1-4397-87F8-4618E103A398}"/>
            </c:ext>
          </c:extLst>
        </c:ser>
        <c:ser>
          <c:idx val="2"/>
          <c:order val="4"/>
          <c:tx>
            <c:strRef>
              <c:f>Pages!$F$1</c:f>
              <c:strCache>
                <c:ptCount val="1"/>
                <c:pt idx="0">
                  <c:v>Cumulative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[0]!PagesCum2024All</c:f>
              <c:numCache>
                <c:formatCode>General</c:formatCode>
                <c:ptCount val="4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255</c:v>
                </c:pt>
                <c:pt idx="83">
                  <c:v>394</c:v>
                </c:pt>
                <c:pt idx="84">
                  <c:v>430</c:v>
                </c:pt>
                <c:pt idx="85">
                  <c:v>450</c:v>
                </c:pt>
                <c:pt idx="86">
                  <c:v>450</c:v>
                </c:pt>
                <c:pt idx="87">
                  <c:v>450</c:v>
                </c:pt>
                <c:pt idx="88">
                  <c:v>477</c:v>
                </c:pt>
                <c:pt idx="89">
                  <c:v>496</c:v>
                </c:pt>
                <c:pt idx="90">
                  <c:v>496</c:v>
                </c:pt>
                <c:pt idx="91">
                  <c:v>496</c:v>
                </c:pt>
                <c:pt idx="92">
                  <c:v>532</c:v>
                </c:pt>
                <c:pt idx="93">
                  <c:v>532</c:v>
                </c:pt>
                <c:pt idx="94">
                  <c:v>583</c:v>
                </c:pt>
                <c:pt idx="95">
                  <c:v>620</c:v>
                </c:pt>
                <c:pt idx="96">
                  <c:v>661</c:v>
                </c:pt>
                <c:pt idx="97">
                  <c:v>749</c:v>
                </c:pt>
                <c:pt idx="98">
                  <c:v>803</c:v>
                </c:pt>
                <c:pt idx="99">
                  <c:v>803</c:v>
                </c:pt>
                <c:pt idx="100">
                  <c:v>803</c:v>
                </c:pt>
                <c:pt idx="101">
                  <c:v>917</c:v>
                </c:pt>
                <c:pt idx="102">
                  <c:v>917</c:v>
                </c:pt>
                <c:pt idx="103">
                  <c:v>917</c:v>
                </c:pt>
                <c:pt idx="104">
                  <c:v>917</c:v>
                </c:pt>
                <c:pt idx="105">
                  <c:v>917</c:v>
                </c:pt>
                <c:pt idx="106">
                  <c:v>935</c:v>
                </c:pt>
                <c:pt idx="107">
                  <c:v>935</c:v>
                </c:pt>
                <c:pt idx="108">
                  <c:v>951</c:v>
                </c:pt>
                <c:pt idx="109">
                  <c:v>1023</c:v>
                </c:pt>
                <c:pt idx="110">
                  <c:v>1101</c:v>
                </c:pt>
                <c:pt idx="111">
                  <c:v>1319</c:v>
                </c:pt>
                <c:pt idx="112">
                  <c:v>1319</c:v>
                </c:pt>
                <c:pt idx="113">
                  <c:v>1319</c:v>
                </c:pt>
                <c:pt idx="114">
                  <c:v>1356</c:v>
                </c:pt>
                <c:pt idx="115">
                  <c:v>1356</c:v>
                </c:pt>
                <c:pt idx="116">
                  <c:v>1563</c:v>
                </c:pt>
                <c:pt idx="117">
                  <c:v>1563</c:v>
                </c:pt>
                <c:pt idx="118">
                  <c:v>1605</c:v>
                </c:pt>
                <c:pt idx="119">
                  <c:v>1605</c:v>
                </c:pt>
                <c:pt idx="120">
                  <c:v>1605</c:v>
                </c:pt>
                <c:pt idx="121">
                  <c:v>1605</c:v>
                </c:pt>
                <c:pt idx="122">
                  <c:v>1605</c:v>
                </c:pt>
                <c:pt idx="123">
                  <c:v>1638</c:v>
                </c:pt>
                <c:pt idx="124">
                  <c:v>1681</c:v>
                </c:pt>
                <c:pt idx="125">
                  <c:v>1746</c:v>
                </c:pt>
                <c:pt idx="126">
                  <c:v>1746</c:v>
                </c:pt>
                <c:pt idx="127">
                  <c:v>1746</c:v>
                </c:pt>
                <c:pt idx="128">
                  <c:v>1746</c:v>
                </c:pt>
                <c:pt idx="129">
                  <c:v>1746</c:v>
                </c:pt>
                <c:pt idx="130">
                  <c:v>1746</c:v>
                </c:pt>
                <c:pt idx="131">
                  <c:v>1746</c:v>
                </c:pt>
                <c:pt idx="132">
                  <c:v>1746</c:v>
                </c:pt>
                <c:pt idx="133">
                  <c:v>1746</c:v>
                </c:pt>
                <c:pt idx="134">
                  <c:v>1746</c:v>
                </c:pt>
                <c:pt idx="135">
                  <c:v>1746</c:v>
                </c:pt>
                <c:pt idx="136">
                  <c:v>1746</c:v>
                </c:pt>
                <c:pt idx="137">
                  <c:v>1746</c:v>
                </c:pt>
                <c:pt idx="138">
                  <c:v>1746</c:v>
                </c:pt>
                <c:pt idx="139">
                  <c:v>1746</c:v>
                </c:pt>
                <c:pt idx="140">
                  <c:v>1746</c:v>
                </c:pt>
                <c:pt idx="141">
                  <c:v>1746</c:v>
                </c:pt>
                <c:pt idx="142">
                  <c:v>1823</c:v>
                </c:pt>
                <c:pt idx="143">
                  <c:v>1823</c:v>
                </c:pt>
                <c:pt idx="144">
                  <c:v>1844</c:v>
                </c:pt>
                <c:pt idx="145">
                  <c:v>1844</c:v>
                </c:pt>
                <c:pt idx="146">
                  <c:v>1844</c:v>
                </c:pt>
                <c:pt idx="147">
                  <c:v>1844</c:v>
                </c:pt>
                <c:pt idx="148">
                  <c:v>1844</c:v>
                </c:pt>
                <c:pt idx="149">
                  <c:v>1844</c:v>
                </c:pt>
                <c:pt idx="150">
                  <c:v>1844</c:v>
                </c:pt>
                <c:pt idx="151">
                  <c:v>1844</c:v>
                </c:pt>
                <c:pt idx="152">
                  <c:v>1844</c:v>
                </c:pt>
                <c:pt idx="153">
                  <c:v>1844</c:v>
                </c:pt>
                <c:pt idx="154">
                  <c:v>1844</c:v>
                </c:pt>
                <c:pt idx="155">
                  <c:v>1844</c:v>
                </c:pt>
                <c:pt idx="156">
                  <c:v>1844</c:v>
                </c:pt>
                <c:pt idx="157">
                  <c:v>1844</c:v>
                </c:pt>
                <c:pt idx="158">
                  <c:v>1844</c:v>
                </c:pt>
                <c:pt idx="159">
                  <c:v>1844</c:v>
                </c:pt>
                <c:pt idx="160">
                  <c:v>1844</c:v>
                </c:pt>
                <c:pt idx="161">
                  <c:v>1844</c:v>
                </c:pt>
                <c:pt idx="162">
                  <c:v>1844</c:v>
                </c:pt>
                <c:pt idx="163">
                  <c:v>1844</c:v>
                </c:pt>
                <c:pt idx="164">
                  <c:v>1900</c:v>
                </c:pt>
                <c:pt idx="165">
                  <c:v>1900</c:v>
                </c:pt>
                <c:pt idx="166">
                  <c:v>1900</c:v>
                </c:pt>
                <c:pt idx="167">
                  <c:v>1949</c:v>
                </c:pt>
                <c:pt idx="168">
                  <c:v>1949</c:v>
                </c:pt>
                <c:pt idx="169">
                  <c:v>1949</c:v>
                </c:pt>
                <c:pt idx="170">
                  <c:v>1949</c:v>
                </c:pt>
                <c:pt idx="171">
                  <c:v>2024</c:v>
                </c:pt>
                <c:pt idx="172">
                  <c:v>2067</c:v>
                </c:pt>
                <c:pt idx="173">
                  <c:v>2067</c:v>
                </c:pt>
                <c:pt idx="174">
                  <c:v>2150</c:v>
                </c:pt>
                <c:pt idx="175">
                  <c:v>2150</c:v>
                </c:pt>
                <c:pt idx="176">
                  <c:v>2181</c:v>
                </c:pt>
                <c:pt idx="177">
                  <c:v>2206</c:v>
                </c:pt>
                <c:pt idx="178">
                  <c:v>2206</c:v>
                </c:pt>
                <c:pt idx="179">
                  <c:v>2206</c:v>
                </c:pt>
                <c:pt idx="180">
                  <c:v>2206</c:v>
                </c:pt>
                <c:pt idx="181">
                  <c:v>2238</c:v>
                </c:pt>
                <c:pt idx="182">
                  <c:v>2238</c:v>
                </c:pt>
                <c:pt idx="183">
                  <c:v>2238</c:v>
                </c:pt>
                <c:pt idx="184">
                  <c:v>2238</c:v>
                </c:pt>
                <c:pt idx="185">
                  <c:v>2238</c:v>
                </c:pt>
                <c:pt idx="186">
                  <c:v>2238</c:v>
                </c:pt>
                <c:pt idx="187">
                  <c:v>2238</c:v>
                </c:pt>
                <c:pt idx="188">
                  <c:v>2238</c:v>
                </c:pt>
                <c:pt idx="189">
                  <c:v>2274</c:v>
                </c:pt>
                <c:pt idx="190">
                  <c:v>2274</c:v>
                </c:pt>
                <c:pt idx="191">
                  <c:v>2274</c:v>
                </c:pt>
                <c:pt idx="192">
                  <c:v>2274</c:v>
                </c:pt>
                <c:pt idx="193">
                  <c:v>2386</c:v>
                </c:pt>
                <c:pt idx="194">
                  <c:v>2430</c:v>
                </c:pt>
                <c:pt idx="195">
                  <c:v>2467</c:v>
                </c:pt>
                <c:pt idx="196">
                  <c:v>2571</c:v>
                </c:pt>
                <c:pt idx="197">
                  <c:v>2650</c:v>
                </c:pt>
                <c:pt idx="198">
                  <c:v>2714</c:v>
                </c:pt>
                <c:pt idx="199">
                  <c:v>2778</c:v>
                </c:pt>
                <c:pt idx="200">
                  <c:v>2859</c:v>
                </c:pt>
                <c:pt idx="201">
                  <c:v>2913</c:v>
                </c:pt>
                <c:pt idx="202">
                  <c:v>2952</c:v>
                </c:pt>
                <c:pt idx="203">
                  <c:v>2952</c:v>
                </c:pt>
                <c:pt idx="204">
                  <c:v>2952</c:v>
                </c:pt>
                <c:pt idx="205">
                  <c:v>2952</c:v>
                </c:pt>
                <c:pt idx="206">
                  <c:v>2952</c:v>
                </c:pt>
                <c:pt idx="207">
                  <c:v>2996</c:v>
                </c:pt>
                <c:pt idx="208">
                  <c:v>3020</c:v>
                </c:pt>
                <c:pt idx="209">
                  <c:v>3021</c:v>
                </c:pt>
                <c:pt idx="210">
                  <c:v>3043</c:v>
                </c:pt>
                <c:pt idx="211">
                  <c:v>3043</c:v>
                </c:pt>
                <c:pt idx="212">
                  <c:v>3053</c:v>
                </c:pt>
                <c:pt idx="213">
                  <c:v>3053</c:v>
                </c:pt>
                <c:pt idx="214">
                  <c:v>3104</c:v>
                </c:pt>
                <c:pt idx="215">
                  <c:v>3224</c:v>
                </c:pt>
                <c:pt idx="216">
                  <c:v>3309</c:v>
                </c:pt>
                <c:pt idx="217">
                  <c:v>3519</c:v>
                </c:pt>
                <c:pt idx="218">
                  <c:v>3565</c:v>
                </c:pt>
                <c:pt idx="219">
                  <c:v>3648</c:v>
                </c:pt>
                <c:pt idx="220">
                  <c:v>3732</c:v>
                </c:pt>
                <c:pt idx="221">
                  <c:v>3872</c:v>
                </c:pt>
                <c:pt idx="222">
                  <c:v>3970</c:v>
                </c:pt>
                <c:pt idx="223">
                  <c:v>3997</c:v>
                </c:pt>
                <c:pt idx="224">
                  <c:v>3997</c:v>
                </c:pt>
                <c:pt idx="225">
                  <c:v>3998</c:v>
                </c:pt>
                <c:pt idx="226">
                  <c:v>3998</c:v>
                </c:pt>
                <c:pt idx="227">
                  <c:v>3998</c:v>
                </c:pt>
                <c:pt idx="228">
                  <c:v>3998</c:v>
                </c:pt>
                <c:pt idx="229">
                  <c:v>4001</c:v>
                </c:pt>
                <c:pt idx="230">
                  <c:v>4076</c:v>
                </c:pt>
                <c:pt idx="231">
                  <c:v>4076</c:v>
                </c:pt>
                <c:pt idx="232">
                  <c:v>4187</c:v>
                </c:pt>
                <c:pt idx="233">
                  <c:v>4187</c:v>
                </c:pt>
                <c:pt idx="234">
                  <c:v>4187</c:v>
                </c:pt>
                <c:pt idx="235">
                  <c:v>4187</c:v>
                </c:pt>
                <c:pt idx="236">
                  <c:v>4187</c:v>
                </c:pt>
                <c:pt idx="237">
                  <c:v>4188</c:v>
                </c:pt>
                <c:pt idx="238">
                  <c:v>4188</c:v>
                </c:pt>
                <c:pt idx="239">
                  <c:v>4188</c:v>
                </c:pt>
                <c:pt idx="240">
                  <c:v>4188</c:v>
                </c:pt>
                <c:pt idx="241">
                  <c:v>4188</c:v>
                </c:pt>
                <c:pt idx="242">
                  <c:v>4188</c:v>
                </c:pt>
                <c:pt idx="243">
                  <c:v>4188</c:v>
                </c:pt>
                <c:pt idx="244">
                  <c:v>4188</c:v>
                </c:pt>
                <c:pt idx="245">
                  <c:v>4188</c:v>
                </c:pt>
                <c:pt idx="246">
                  <c:v>4188</c:v>
                </c:pt>
                <c:pt idx="247">
                  <c:v>4188</c:v>
                </c:pt>
                <c:pt idx="248">
                  <c:v>4188</c:v>
                </c:pt>
                <c:pt idx="249">
                  <c:v>4189</c:v>
                </c:pt>
                <c:pt idx="250">
                  <c:v>4190</c:v>
                </c:pt>
                <c:pt idx="251">
                  <c:v>4190</c:v>
                </c:pt>
                <c:pt idx="252">
                  <c:v>4190</c:v>
                </c:pt>
                <c:pt idx="253">
                  <c:v>4190</c:v>
                </c:pt>
                <c:pt idx="254">
                  <c:v>4190</c:v>
                </c:pt>
                <c:pt idx="255">
                  <c:v>4190</c:v>
                </c:pt>
                <c:pt idx="256">
                  <c:v>4191</c:v>
                </c:pt>
                <c:pt idx="257">
                  <c:v>4192</c:v>
                </c:pt>
                <c:pt idx="258">
                  <c:v>4192</c:v>
                </c:pt>
                <c:pt idx="259">
                  <c:v>4192</c:v>
                </c:pt>
                <c:pt idx="260">
                  <c:v>4192</c:v>
                </c:pt>
                <c:pt idx="261">
                  <c:v>4192</c:v>
                </c:pt>
                <c:pt idx="262">
                  <c:v>4192</c:v>
                </c:pt>
                <c:pt idx="263">
                  <c:v>4192</c:v>
                </c:pt>
                <c:pt idx="264">
                  <c:v>4192</c:v>
                </c:pt>
                <c:pt idx="265">
                  <c:v>4192</c:v>
                </c:pt>
                <c:pt idx="266">
                  <c:v>4192</c:v>
                </c:pt>
                <c:pt idx="267">
                  <c:v>4192</c:v>
                </c:pt>
                <c:pt idx="268">
                  <c:v>4192</c:v>
                </c:pt>
                <c:pt idx="269">
                  <c:v>4192</c:v>
                </c:pt>
                <c:pt idx="270">
                  <c:v>4192</c:v>
                </c:pt>
                <c:pt idx="271">
                  <c:v>4196</c:v>
                </c:pt>
                <c:pt idx="272">
                  <c:v>4196</c:v>
                </c:pt>
                <c:pt idx="273">
                  <c:v>4196</c:v>
                </c:pt>
                <c:pt idx="274">
                  <c:v>4196</c:v>
                </c:pt>
                <c:pt idx="275">
                  <c:v>4196</c:v>
                </c:pt>
                <c:pt idx="276">
                  <c:v>4196</c:v>
                </c:pt>
                <c:pt idx="277">
                  <c:v>4196</c:v>
                </c:pt>
                <c:pt idx="278">
                  <c:v>4196</c:v>
                </c:pt>
                <c:pt idx="279">
                  <c:v>4196</c:v>
                </c:pt>
                <c:pt idx="280">
                  <c:v>4196</c:v>
                </c:pt>
                <c:pt idx="281">
                  <c:v>4196</c:v>
                </c:pt>
                <c:pt idx="282">
                  <c:v>4196</c:v>
                </c:pt>
                <c:pt idx="283">
                  <c:v>4196</c:v>
                </c:pt>
                <c:pt idx="284">
                  <c:v>4196</c:v>
                </c:pt>
                <c:pt idx="285">
                  <c:v>4200</c:v>
                </c:pt>
                <c:pt idx="286">
                  <c:v>4200</c:v>
                </c:pt>
                <c:pt idx="287">
                  <c:v>4200</c:v>
                </c:pt>
                <c:pt idx="288">
                  <c:v>4200</c:v>
                </c:pt>
                <c:pt idx="289">
                  <c:v>4200</c:v>
                </c:pt>
                <c:pt idx="290">
                  <c:v>4200</c:v>
                </c:pt>
                <c:pt idx="291">
                  <c:v>4205</c:v>
                </c:pt>
                <c:pt idx="292">
                  <c:v>4206</c:v>
                </c:pt>
                <c:pt idx="293">
                  <c:v>4206</c:v>
                </c:pt>
                <c:pt idx="294">
                  <c:v>4206</c:v>
                </c:pt>
                <c:pt idx="295">
                  <c:v>4206</c:v>
                </c:pt>
                <c:pt idx="296">
                  <c:v>4206</c:v>
                </c:pt>
                <c:pt idx="297">
                  <c:v>4206</c:v>
                </c:pt>
                <c:pt idx="298">
                  <c:v>4243</c:v>
                </c:pt>
                <c:pt idx="299">
                  <c:v>4243</c:v>
                </c:pt>
                <c:pt idx="300">
                  <c:v>4275</c:v>
                </c:pt>
                <c:pt idx="301">
                  <c:v>4275</c:v>
                </c:pt>
                <c:pt idx="302">
                  <c:v>4275</c:v>
                </c:pt>
                <c:pt idx="303">
                  <c:v>4275</c:v>
                </c:pt>
                <c:pt idx="304">
                  <c:v>4275</c:v>
                </c:pt>
                <c:pt idx="305">
                  <c:v>4321</c:v>
                </c:pt>
                <c:pt idx="306">
                  <c:v>4321</c:v>
                </c:pt>
                <c:pt idx="307">
                  <c:v>4321</c:v>
                </c:pt>
                <c:pt idx="308">
                  <c:v>4321</c:v>
                </c:pt>
                <c:pt idx="309">
                  <c:v>4321</c:v>
                </c:pt>
                <c:pt idx="310">
                  <c:v>4321</c:v>
                </c:pt>
                <c:pt idx="311">
                  <c:v>4321</c:v>
                </c:pt>
                <c:pt idx="312">
                  <c:v>4321</c:v>
                </c:pt>
                <c:pt idx="313">
                  <c:v>4321</c:v>
                </c:pt>
                <c:pt idx="314">
                  <c:v>4321</c:v>
                </c:pt>
                <c:pt idx="315">
                  <c:v>4321</c:v>
                </c:pt>
                <c:pt idx="316">
                  <c:v>4321</c:v>
                </c:pt>
                <c:pt idx="317">
                  <c:v>4321</c:v>
                </c:pt>
                <c:pt idx="318">
                  <c:v>4321</c:v>
                </c:pt>
                <c:pt idx="319">
                  <c:v>4356</c:v>
                </c:pt>
                <c:pt idx="320">
                  <c:v>4376</c:v>
                </c:pt>
                <c:pt idx="321">
                  <c:v>4435</c:v>
                </c:pt>
                <c:pt idx="322">
                  <c:v>4435</c:v>
                </c:pt>
                <c:pt idx="323">
                  <c:v>4435</c:v>
                </c:pt>
                <c:pt idx="324">
                  <c:v>4435</c:v>
                </c:pt>
                <c:pt idx="325">
                  <c:v>4562</c:v>
                </c:pt>
                <c:pt idx="326">
                  <c:v>4584</c:v>
                </c:pt>
                <c:pt idx="327">
                  <c:v>4654</c:v>
                </c:pt>
                <c:pt idx="328">
                  <c:v>4716</c:v>
                </c:pt>
                <c:pt idx="329">
                  <c:v>4723</c:v>
                </c:pt>
                <c:pt idx="330">
                  <c:v>4730</c:v>
                </c:pt>
                <c:pt idx="331">
                  <c:v>4731</c:v>
                </c:pt>
                <c:pt idx="332">
                  <c:v>4731</c:v>
                </c:pt>
                <c:pt idx="333">
                  <c:v>4731</c:v>
                </c:pt>
                <c:pt idx="334">
                  <c:v>4731</c:v>
                </c:pt>
                <c:pt idx="335">
                  <c:v>4731</c:v>
                </c:pt>
                <c:pt idx="336">
                  <c:v>4731</c:v>
                </c:pt>
                <c:pt idx="337">
                  <c:v>4731</c:v>
                </c:pt>
                <c:pt idx="338">
                  <c:v>4792</c:v>
                </c:pt>
                <c:pt idx="339">
                  <c:v>4800</c:v>
                </c:pt>
                <c:pt idx="340">
                  <c:v>4819</c:v>
                </c:pt>
                <c:pt idx="341">
                  <c:v>4871</c:v>
                </c:pt>
                <c:pt idx="342">
                  <c:v>4871</c:v>
                </c:pt>
                <c:pt idx="343">
                  <c:v>4871</c:v>
                </c:pt>
                <c:pt idx="344">
                  <c:v>4871</c:v>
                </c:pt>
                <c:pt idx="345">
                  <c:v>4871</c:v>
                </c:pt>
                <c:pt idx="346">
                  <c:v>4871</c:v>
                </c:pt>
                <c:pt idx="347">
                  <c:v>4931</c:v>
                </c:pt>
                <c:pt idx="348">
                  <c:v>4941</c:v>
                </c:pt>
                <c:pt idx="349">
                  <c:v>4989</c:v>
                </c:pt>
                <c:pt idx="350">
                  <c:v>4989</c:v>
                </c:pt>
                <c:pt idx="351">
                  <c:v>4989</c:v>
                </c:pt>
                <c:pt idx="352">
                  <c:v>4989</c:v>
                </c:pt>
                <c:pt idx="353">
                  <c:v>4989</c:v>
                </c:pt>
                <c:pt idx="354">
                  <c:v>4989</c:v>
                </c:pt>
                <c:pt idx="355">
                  <c:v>4989</c:v>
                </c:pt>
                <c:pt idx="356">
                  <c:v>5063</c:v>
                </c:pt>
                <c:pt idx="357">
                  <c:v>5211</c:v>
                </c:pt>
                <c:pt idx="358">
                  <c:v>5215</c:v>
                </c:pt>
                <c:pt idx="359">
                  <c:v>5239</c:v>
                </c:pt>
                <c:pt idx="360">
                  <c:v>5308</c:v>
                </c:pt>
                <c:pt idx="361">
                  <c:v>5325</c:v>
                </c:pt>
                <c:pt idx="362">
                  <c:v>5352</c:v>
                </c:pt>
                <c:pt idx="363">
                  <c:v>5403</c:v>
                </c:pt>
                <c:pt idx="364">
                  <c:v>5403</c:v>
                </c:pt>
                <c:pt idx="365">
                  <c:v>5440</c:v>
                </c:pt>
                <c:pt idx="366">
                  <c:v>5440</c:v>
                </c:pt>
                <c:pt idx="367">
                  <c:v>5518</c:v>
                </c:pt>
                <c:pt idx="368">
                  <c:v>5519</c:v>
                </c:pt>
                <c:pt idx="369">
                  <c:v>5519</c:v>
                </c:pt>
                <c:pt idx="370">
                  <c:v>5519</c:v>
                </c:pt>
                <c:pt idx="371">
                  <c:v>5519</c:v>
                </c:pt>
                <c:pt idx="372">
                  <c:v>5519</c:v>
                </c:pt>
                <c:pt idx="373">
                  <c:v>5519</c:v>
                </c:pt>
                <c:pt idx="374">
                  <c:v>5519</c:v>
                </c:pt>
                <c:pt idx="375">
                  <c:v>5519</c:v>
                </c:pt>
                <c:pt idx="376">
                  <c:v>5519</c:v>
                </c:pt>
                <c:pt idx="377">
                  <c:v>5519</c:v>
                </c:pt>
                <c:pt idx="378">
                  <c:v>5519</c:v>
                </c:pt>
                <c:pt idx="379">
                  <c:v>5519</c:v>
                </c:pt>
                <c:pt idx="380">
                  <c:v>5519</c:v>
                </c:pt>
                <c:pt idx="381">
                  <c:v>5519</c:v>
                </c:pt>
                <c:pt idx="382">
                  <c:v>5519</c:v>
                </c:pt>
                <c:pt idx="383">
                  <c:v>5519</c:v>
                </c:pt>
                <c:pt idx="384">
                  <c:v>5519</c:v>
                </c:pt>
                <c:pt idx="385">
                  <c:v>5519</c:v>
                </c:pt>
                <c:pt idx="386">
                  <c:v>5519</c:v>
                </c:pt>
                <c:pt idx="387">
                  <c:v>5519</c:v>
                </c:pt>
                <c:pt idx="388">
                  <c:v>5519</c:v>
                </c:pt>
                <c:pt idx="389">
                  <c:v>5540</c:v>
                </c:pt>
                <c:pt idx="390">
                  <c:v>5550</c:v>
                </c:pt>
                <c:pt idx="391">
                  <c:v>5592</c:v>
                </c:pt>
                <c:pt idx="392">
                  <c:v>5592</c:v>
                </c:pt>
                <c:pt idx="393">
                  <c:v>5688</c:v>
                </c:pt>
                <c:pt idx="394">
                  <c:v>5781</c:v>
                </c:pt>
                <c:pt idx="395">
                  <c:v>5793</c:v>
                </c:pt>
                <c:pt idx="396">
                  <c:v>5793</c:v>
                </c:pt>
                <c:pt idx="397">
                  <c:v>5793</c:v>
                </c:pt>
                <c:pt idx="398">
                  <c:v>5800</c:v>
                </c:pt>
                <c:pt idx="399">
                  <c:v>5800</c:v>
                </c:pt>
                <c:pt idx="400">
                  <c:v>5800</c:v>
                </c:pt>
                <c:pt idx="401">
                  <c:v>5800</c:v>
                </c:pt>
                <c:pt idx="402">
                  <c:v>5800</c:v>
                </c:pt>
                <c:pt idx="403">
                  <c:v>5800</c:v>
                </c:pt>
                <c:pt idx="404">
                  <c:v>5800</c:v>
                </c:pt>
                <c:pt idx="405">
                  <c:v>5800</c:v>
                </c:pt>
                <c:pt idx="406">
                  <c:v>5800</c:v>
                </c:pt>
                <c:pt idx="407">
                  <c:v>5800</c:v>
                </c:pt>
                <c:pt idx="408">
                  <c:v>5800</c:v>
                </c:pt>
                <c:pt idx="409">
                  <c:v>5800</c:v>
                </c:pt>
                <c:pt idx="410">
                  <c:v>5800</c:v>
                </c:pt>
                <c:pt idx="411">
                  <c:v>5800</c:v>
                </c:pt>
                <c:pt idx="412">
                  <c:v>5800</c:v>
                </c:pt>
                <c:pt idx="413">
                  <c:v>5800</c:v>
                </c:pt>
                <c:pt idx="414">
                  <c:v>5800</c:v>
                </c:pt>
                <c:pt idx="415">
                  <c:v>5800</c:v>
                </c:pt>
                <c:pt idx="416">
                  <c:v>5800</c:v>
                </c:pt>
                <c:pt idx="417">
                  <c:v>5800</c:v>
                </c:pt>
                <c:pt idx="418">
                  <c:v>5800</c:v>
                </c:pt>
                <c:pt idx="419">
                  <c:v>5800</c:v>
                </c:pt>
                <c:pt idx="420">
                  <c:v>5800</c:v>
                </c:pt>
                <c:pt idx="421">
                  <c:v>5800</c:v>
                </c:pt>
                <c:pt idx="422">
                  <c:v>5800</c:v>
                </c:pt>
                <c:pt idx="423">
                  <c:v>5800</c:v>
                </c:pt>
                <c:pt idx="424">
                  <c:v>5800</c:v>
                </c:pt>
                <c:pt idx="425">
                  <c:v>5800</c:v>
                </c:pt>
                <c:pt idx="426">
                  <c:v>5800</c:v>
                </c:pt>
                <c:pt idx="427">
                  <c:v>5800</c:v>
                </c:pt>
                <c:pt idx="428">
                  <c:v>5800</c:v>
                </c:pt>
                <c:pt idx="429">
                  <c:v>5800</c:v>
                </c:pt>
                <c:pt idx="430">
                  <c:v>5800</c:v>
                </c:pt>
                <c:pt idx="431">
                  <c:v>5800</c:v>
                </c:pt>
                <c:pt idx="432">
                  <c:v>5800</c:v>
                </c:pt>
                <c:pt idx="433">
                  <c:v>5800</c:v>
                </c:pt>
                <c:pt idx="434">
                  <c:v>5800</c:v>
                </c:pt>
                <c:pt idx="435">
                  <c:v>5800</c:v>
                </c:pt>
                <c:pt idx="436">
                  <c:v>5800</c:v>
                </c:pt>
                <c:pt idx="437">
                  <c:v>5800</c:v>
                </c:pt>
                <c:pt idx="438">
                  <c:v>5800</c:v>
                </c:pt>
                <c:pt idx="439">
                  <c:v>5800</c:v>
                </c:pt>
                <c:pt idx="440">
                  <c:v>5831</c:v>
                </c:pt>
                <c:pt idx="441">
                  <c:v>5831</c:v>
                </c:pt>
                <c:pt idx="442">
                  <c:v>5831</c:v>
                </c:pt>
                <c:pt idx="443">
                  <c:v>5831</c:v>
                </c:pt>
                <c:pt idx="444">
                  <c:v>5831</c:v>
                </c:pt>
                <c:pt idx="445">
                  <c:v>5831</c:v>
                </c:pt>
                <c:pt idx="446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1-4397-87F8-4618E103A398}"/>
            </c:ext>
          </c:extLst>
        </c:ser>
        <c:ser>
          <c:idx val="6"/>
          <c:order val="5"/>
          <c:tx>
            <c:strRef>
              <c:f>Pages!$G$1</c:f>
              <c:strCache>
                <c:ptCount val="1"/>
                <c:pt idx="0">
                  <c:v>Max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[0]!PagesMax2024</c:f>
              <c:numCache>
                <c:formatCode>General</c:formatCode>
                <c:ptCount val="1114"/>
                <c:pt idx="0">
                  <c:v>5831</c:v>
                </c:pt>
                <c:pt idx="1">
                  <c:v>5831</c:v>
                </c:pt>
                <c:pt idx="2">
                  <c:v>5831</c:v>
                </c:pt>
                <c:pt idx="3">
                  <c:v>5831</c:v>
                </c:pt>
                <c:pt idx="4">
                  <c:v>5831</c:v>
                </c:pt>
                <c:pt idx="5">
                  <c:v>5831</c:v>
                </c:pt>
                <c:pt idx="6">
                  <c:v>5831</c:v>
                </c:pt>
                <c:pt idx="7">
                  <c:v>5831</c:v>
                </c:pt>
                <c:pt idx="8">
                  <c:v>5831</c:v>
                </c:pt>
                <c:pt idx="9">
                  <c:v>5831</c:v>
                </c:pt>
                <c:pt idx="10">
                  <c:v>5831</c:v>
                </c:pt>
                <c:pt idx="11">
                  <c:v>5831</c:v>
                </c:pt>
                <c:pt idx="12">
                  <c:v>5831</c:v>
                </c:pt>
                <c:pt idx="13">
                  <c:v>5831</c:v>
                </c:pt>
                <c:pt idx="14">
                  <c:v>5831</c:v>
                </c:pt>
                <c:pt idx="15">
                  <c:v>5831</c:v>
                </c:pt>
                <c:pt idx="16">
                  <c:v>5831</c:v>
                </c:pt>
                <c:pt idx="17">
                  <c:v>5831</c:v>
                </c:pt>
                <c:pt idx="18">
                  <c:v>5831</c:v>
                </c:pt>
                <c:pt idx="19">
                  <c:v>5831</c:v>
                </c:pt>
                <c:pt idx="20">
                  <c:v>5831</c:v>
                </c:pt>
                <c:pt idx="21">
                  <c:v>5831</c:v>
                </c:pt>
                <c:pt idx="22">
                  <c:v>5831</c:v>
                </c:pt>
                <c:pt idx="23">
                  <c:v>5831</c:v>
                </c:pt>
                <c:pt idx="24">
                  <c:v>5831</c:v>
                </c:pt>
                <c:pt idx="25">
                  <c:v>5831</c:v>
                </c:pt>
                <c:pt idx="26">
                  <c:v>5831</c:v>
                </c:pt>
                <c:pt idx="27">
                  <c:v>5831</c:v>
                </c:pt>
                <c:pt idx="28">
                  <c:v>5831</c:v>
                </c:pt>
                <c:pt idx="29">
                  <c:v>5831</c:v>
                </c:pt>
                <c:pt idx="30">
                  <c:v>5831</c:v>
                </c:pt>
                <c:pt idx="31">
                  <c:v>5831</c:v>
                </c:pt>
                <c:pt idx="32">
                  <c:v>5831</c:v>
                </c:pt>
                <c:pt idx="33">
                  <c:v>5831</c:v>
                </c:pt>
                <c:pt idx="34">
                  <c:v>5831</c:v>
                </c:pt>
                <c:pt idx="35">
                  <c:v>5831</c:v>
                </c:pt>
                <c:pt idx="36">
                  <c:v>5831</c:v>
                </c:pt>
                <c:pt idx="37">
                  <c:v>5831</c:v>
                </c:pt>
                <c:pt idx="38">
                  <c:v>5831</c:v>
                </c:pt>
                <c:pt idx="39">
                  <c:v>5831</c:v>
                </c:pt>
                <c:pt idx="40">
                  <c:v>5831</c:v>
                </c:pt>
                <c:pt idx="41">
                  <c:v>5831</c:v>
                </c:pt>
                <c:pt idx="42">
                  <c:v>5831</c:v>
                </c:pt>
                <c:pt idx="43">
                  <c:v>5831</c:v>
                </c:pt>
                <c:pt idx="44">
                  <c:v>5831</c:v>
                </c:pt>
                <c:pt idx="45">
                  <c:v>5831</c:v>
                </c:pt>
                <c:pt idx="46">
                  <c:v>5831</c:v>
                </c:pt>
                <c:pt idx="47">
                  <c:v>5831</c:v>
                </c:pt>
                <c:pt idx="48">
                  <c:v>5831</c:v>
                </c:pt>
                <c:pt idx="49">
                  <c:v>5831</c:v>
                </c:pt>
                <c:pt idx="50">
                  <c:v>5831</c:v>
                </c:pt>
                <c:pt idx="51">
                  <c:v>5831</c:v>
                </c:pt>
                <c:pt idx="52">
                  <c:v>5831</c:v>
                </c:pt>
                <c:pt idx="53">
                  <c:v>5831</c:v>
                </c:pt>
                <c:pt idx="54">
                  <c:v>5831</c:v>
                </c:pt>
                <c:pt idx="55">
                  <c:v>5831</c:v>
                </c:pt>
                <c:pt idx="56">
                  <c:v>5831</c:v>
                </c:pt>
                <c:pt idx="57">
                  <c:v>5831</c:v>
                </c:pt>
                <c:pt idx="58">
                  <c:v>5831</c:v>
                </c:pt>
                <c:pt idx="59">
                  <c:v>5831</c:v>
                </c:pt>
                <c:pt idx="60">
                  <c:v>5831</c:v>
                </c:pt>
                <c:pt idx="61">
                  <c:v>5831</c:v>
                </c:pt>
                <c:pt idx="62">
                  <c:v>5831</c:v>
                </c:pt>
                <c:pt idx="63">
                  <c:v>5831</c:v>
                </c:pt>
                <c:pt idx="64">
                  <c:v>5831</c:v>
                </c:pt>
                <c:pt idx="65">
                  <c:v>5831</c:v>
                </c:pt>
                <c:pt idx="66">
                  <c:v>5831</c:v>
                </c:pt>
                <c:pt idx="67">
                  <c:v>5831</c:v>
                </c:pt>
                <c:pt idx="68">
                  <c:v>5831</c:v>
                </c:pt>
                <c:pt idx="69">
                  <c:v>5831</c:v>
                </c:pt>
                <c:pt idx="70">
                  <c:v>5831</c:v>
                </c:pt>
                <c:pt idx="71">
                  <c:v>5831</c:v>
                </c:pt>
                <c:pt idx="72">
                  <c:v>5831</c:v>
                </c:pt>
                <c:pt idx="73">
                  <c:v>5831</c:v>
                </c:pt>
                <c:pt idx="74">
                  <c:v>5831</c:v>
                </c:pt>
                <c:pt idx="75">
                  <c:v>5831</c:v>
                </c:pt>
                <c:pt idx="76">
                  <c:v>5831</c:v>
                </c:pt>
                <c:pt idx="77">
                  <c:v>5831</c:v>
                </c:pt>
                <c:pt idx="78">
                  <c:v>5831</c:v>
                </c:pt>
                <c:pt idx="79">
                  <c:v>5831</c:v>
                </c:pt>
                <c:pt idx="80">
                  <c:v>5831</c:v>
                </c:pt>
                <c:pt idx="81">
                  <c:v>5831</c:v>
                </c:pt>
                <c:pt idx="82">
                  <c:v>5831</c:v>
                </c:pt>
                <c:pt idx="83">
                  <c:v>5831</c:v>
                </c:pt>
                <c:pt idx="84">
                  <c:v>5831</c:v>
                </c:pt>
                <c:pt idx="85">
                  <c:v>5831</c:v>
                </c:pt>
                <c:pt idx="86">
                  <c:v>5831</c:v>
                </c:pt>
                <c:pt idx="87">
                  <c:v>5831</c:v>
                </c:pt>
                <c:pt idx="88">
                  <c:v>5831</c:v>
                </c:pt>
                <c:pt idx="89">
                  <c:v>5831</c:v>
                </c:pt>
                <c:pt idx="90">
                  <c:v>5831</c:v>
                </c:pt>
                <c:pt idx="91">
                  <c:v>5831</c:v>
                </c:pt>
                <c:pt idx="92">
                  <c:v>5831</c:v>
                </c:pt>
                <c:pt idx="93">
                  <c:v>5831</c:v>
                </c:pt>
                <c:pt idx="94">
                  <c:v>5831</c:v>
                </c:pt>
                <c:pt idx="95">
                  <c:v>5831</c:v>
                </c:pt>
                <c:pt idx="96">
                  <c:v>5831</c:v>
                </c:pt>
                <c:pt idx="97">
                  <c:v>5831</c:v>
                </c:pt>
                <c:pt idx="98">
                  <c:v>5831</c:v>
                </c:pt>
                <c:pt idx="99">
                  <c:v>5831</c:v>
                </c:pt>
                <c:pt idx="100">
                  <c:v>5831</c:v>
                </c:pt>
                <c:pt idx="101">
                  <c:v>5831</c:v>
                </c:pt>
                <c:pt idx="102">
                  <c:v>5831</c:v>
                </c:pt>
                <c:pt idx="103">
                  <c:v>5831</c:v>
                </c:pt>
                <c:pt idx="104">
                  <c:v>5831</c:v>
                </c:pt>
                <c:pt idx="105">
                  <c:v>5831</c:v>
                </c:pt>
                <c:pt idx="106">
                  <c:v>5831</c:v>
                </c:pt>
                <c:pt idx="107">
                  <c:v>5831</c:v>
                </c:pt>
                <c:pt idx="108">
                  <c:v>5831</c:v>
                </c:pt>
                <c:pt idx="109">
                  <c:v>5831</c:v>
                </c:pt>
                <c:pt idx="110">
                  <c:v>5831</c:v>
                </c:pt>
                <c:pt idx="111">
                  <c:v>5831</c:v>
                </c:pt>
                <c:pt idx="112">
                  <c:v>5831</c:v>
                </c:pt>
                <c:pt idx="113">
                  <c:v>5831</c:v>
                </c:pt>
                <c:pt idx="114">
                  <c:v>5831</c:v>
                </c:pt>
                <c:pt idx="115">
                  <c:v>5831</c:v>
                </c:pt>
                <c:pt idx="116">
                  <c:v>5831</c:v>
                </c:pt>
                <c:pt idx="117">
                  <c:v>5831</c:v>
                </c:pt>
                <c:pt idx="118">
                  <c:v>5831</c:v>
                </c:pt>
                <c:pt idx="119">
                  <c:v>5831</c:v>
                </c:pt>
                <c:pt idx="120">
                  <c:v>5831</c:v>
                </c:pt>
                <c:pt idx="121">
                  <c:v>5831</c:v>
                </c:pt>
                <c:pt idx="122">
                  <c:v>5831</c:v>
                </c:pt>
                <c:pt idx="123">
                  <c:v>5831</c:v>
                </c:pt>
                <c:pt idx="124">
                  <c:v>5831</c:v>
                </c:pt>
                <c:pt idx="125">
                  <c:v>5831</c:v>
                </c:pt>
                <c:pt idx="126">
                  <c:v>5831</c:v>
                </c:pt>
                <c:pt idx="127">
                  <c:v>5831</c:v>
                </c:pt>
                <c:pt idx="128">
                  <c:v>5831</c:v>
                </c:pt>
                <c:pt idx="129">
                  <c:v>5831</c:v>
                </c:pt>
                <c:pt idx="130">
                  <c:v>5831</c:v>
                </c:pt>
                <c:pt idx="131">
                  <c:v>5831</c:v>
                </c:pt>
                <c:pt idx="132">
                  <c:v>5831</c:v>
                </c:pt>
                <c:pt idx="133">
                  <c:v>5831</c:v>
                </c:pt>
                <c:pt idx="134">
                  <c:v>5831</c:v>
                </c:pt>
                <c:pt idx="135">
                  <c:v>5831</c:v>
                </c:pt>
                <c:pt idx="136">
                  <c:v>5831</c:v>
                </c:pt>
                <c:pt idx="137">
                  <c:v>5831</c:v>
                </c:pt>
                <c:pt idx="138">
                  <c:v>5831</c:v>
                </c:pt>
                <c:pt idx="139">
                  <c:v>5831</c:v>
                </c:pt>
                <c:pt idx="140">
                  <c:v>5831</c:v>
                </c:pt>
                <c:pt idx="141">
                  <c:v>5831</c:v>
                </c:pt>
                <c:pt idx="142">
                  <c:v>5831</c:v>
                </c:pt>
                <c:pt idx="143">
                  <c:v>5831</c:v>
                </c:pt>
                <c:pt idx="144">
                  <c:v>5831</c:v>
                </c:pt>
                <c:pt idx="145">
                  <c:v>5831</c:v>
                </c:pt>
                <c:pt idx="146">
                  <c:v>5831</c:v>
                </c:pt>
                <c:pt idx="147">
                  <c:v>5831</c:v>
                </c:pt>
                <c:pt idx="148">
                  <c:v>5831</c:v>
                </c:pt>
                <c:pt idx="149">
                  <c:v>5831</c:v>
                </c:pt>
                <c:pt idx="150">
                  <c:v>5831</c:v>
                </c:pt>
                <c:pt idx="151">
                  <c:v>5831</c:v>
                </c:pt>
                <c:pt idx="152">
                  <c:v>5831</c:v>
                </c:pt>
                <c:pt idx="153">
                  <c:v>5831</c:v>
                </c:pt>
                <c:pt idx="154">
                  <c:v>5831</c:v>
                </c:pt>
                <c:pt idx="155">
                  <c:v>5831</c:v>
                </c:pt>
                <c:pt idx="156">
                  <c:v>5831</c:v>
                </c:pt>
                <c:pt idx="157">
                  <c:v>5831</c:v>
                </c:pt>
                <c:pt idx="158">
                  <c:v>5831</c:v>
                </c:pt>
                <c:pt idx="159">
                  <c:v>5831</c:v>
                </c:pt>
                <c:pt idx="160">
                  <c:v>5831</c:v>
                </c:pt>
                <c:pt idx="161">
                  <c:v>5831</c:v>
                </c:pt>
                <c:pt idx="162">
                  <c:v>5831</c:v>
                </c:pt>
                <c:pt idx="163">
                  <c:v>5831</c:v>
                </c:pt>
                <c:pt idx="164">
                  <c:v>5831</c:v>
                </c:pt>
                <c:pt idx="165">
                  <c:v>5831</c:v>
                </c:pt>
                <c:pt idx="166">
                  <c:v>5831</c:v>
                </c:pt>
                <c:pt idx="167">
                  <c:v>5831</c:v>
                </c:pt>
                <c:pt idx="168">
                  <c:v>5831</c:v>
                </c:pt>
                <c:pt idx="169">
                  <c:v>5831</c:v>
                </c:pt>
                <c:pt idx="170">
                  <c:v>5831</c:v>
                </c:pt>
                <c:pt idx="171">
                  <c:v>5831</c:v>
                </c:pt>
                <c:pt idx="172">
                  <c:v>5831</c:v>
                </c:pt>
                <c:pt idx="173">
                  <c:v>5831</c:v>
                </c:pt>
                <c:pt idx="174">
                  <c:v>5831</c:v>
                </c:pt>
                <c:pt idx="175">
                  <c:v>5831</c:v>
                </c:pt>
                <c:pt idx="176">
                  <c:v>5831</c:v>
                </c:pt>
                <c:pt idx="177">
                  <c:v>5831</c:v>
                </c:pt>
                <c:pt idx="178">
                  <c:v>5831</c:v>
                </c:pt>
                <c:pt idx="179">
                  <c:v>5831</c:v>
                </c:pt>
                <c:pt idx="180">
                  <c:v>5831</c:v>
                </c:pt>
                <c:pt idx="181">
                  <c:v>5831</c:v>
                </c:pt>
                <c:pt idx="182">
                  <c:v>5831</c:v>
                </c:pt>
                <c:pt idx="183">
                  <c:v>5831</c:v>
                </c:pt>
                <c:pt idx="184">
                  <c:v>5831</c:v>
                </c:pt>
                <c:pt idx="185">
                  <c:v>5831</c:v>
                </c:pt>
                <c:pt idx="186">
                  <c:v>5831</c:v>
                </c:pt>
                <c:pt idx="187">
                  <c:v>5831</c:v>
                </c:pt>
                <c:pt idx="188">
                  <c:v>5831</c:v>
                </c:pt>
                <c:pt idx="189">
                  <c:v>5831</c:v>
                </c:pt>
                <c:pt idx="190">
                  <c:v>5831</c:v>
                </c:pt>
                <c:pt idx="191">
                  <c:v>5831</c:v>
                </c:pt>
                <c:pt idx="192">
                  <c:v>5831</c:v>
                </c:pt>
                <c:pt idx="193">
                  <c:v>5831</c:v>
                </c:pt>
                <c:pt idx="194">
                  <c:v>5831</c:v>
                </c:pt>
                <c:pt idx="195">
                  <c:v>5831</c:v>
                </c:pt>
                <c:pt idx="196">
                  <c:v>5831</c:v>
                </c:pt>
                <c:pt idx="197">
                  <c:v>5831</c:v>
                </c:pt>
                <c:pt idx="198">
                  <c:v>5831</c:v>
                </c:pt>
                <c:pt idx="199">
                  <c:v>5831</c:v>
                </c:pt>
                <c:pt idx="200">
                  <c:v>5831</c:v>
                </c:pt>
                <c:pt idx="201">
                  <c:v>5831</c:v>
                </c:pt>
                <c:pt idx="202">
                  <c:v>5831</c:v>
                </c:pt>
                <c:pt idx="203">
                  <c:v>5831</c:v>
                </c:pt>
                <c:pt idx="204">
                  <c:v>5831</c:v>
                </c:pt>
                <c:pt idx="205">
                  <c:v>5831</c:v>
                </c:pt>
                <c:pt idx="206">
                  <c:v>5831</c:v>
                </c:pt>
                <c:pt idx="207">
                  <c:v>5831</c:v>
                </c:pt>
                <c:pt idx="208">
                  <c:v>5831</c:v>
                </c:pt>
                <c:pt idx="209">
                  <c:v>5831</c:v>
                </c:pt>
                <c:pt idx="210">
                  <c:v>5831</c:v>
                </c:pt>
                <c:pt idx="211">
                  <c:v>5831</c:v>
                </c:pt>
                <c:pt idx="212">
                  <c:v>5831</c:v>
                </c:pt>
                <c:pt idx="213">
                  <c:v>5831</c:v>
                </c:pt>
                <c:pt idx="214">
                  <c:v>5831</c:v>
                </c:pt>
                <c:pt idx="215">
                  <c:v>5831</c:v>
                </c:pt>
                <c:pt idx="216">
                  <c:v>5831</c:v>
                </c:pt>
                <c:pt idx="217">
                  <c:v>5831</c:v>
                </c:pt>
                <c:pt idx="218">
                  <c:v>5831</c:v>
                </c:pt>
                <c:pt idx="219">
                  <c:v>5831</c:v>
                </c:pt>
                <c:pt idx="220">
                  <c:v>5831</c:v>
                </c:pt>
                <c:pt idx="221">
                  <c:v>5831</c:v>
                </c:pt>
                <c:pt idx="222">
                  <c:v>5831</c:v>
                </c:pt>
                <c:pt idx="223">
                  <c:v>5831</c:v>
                </c:pt>
                <c:pt idx="224">
                  <c:v>5831</c:v>
                </c:pt>
                <c:pt idx="225">
                  <c:v>5831</c:v>
                </c:pt>
                <c:pt idx="226">
                  <c:v>5831</c:v>
                </c:pt>
                <c:pt idx="227">
                  <c:v>5831</c:v>
                </c:pt>
                <c:pt idx="228">
                  <c:v>5831</c:v>
                </c:pt>
                <c:pt idx="229">
                  <c:v>5831</c:v>
                </c:pt>
                <c:pt idx="230">
                  <c:v>5831</c:v>
                </c:pt>
                <c:pt idx="231">
                  <c:v>5831</c:v>
                </c:pt>
                <c:pt idx="232">
                  <c:v>5831</c:v>
                </c:pt>
                <c:pt idx="233">
                  <c:v>5831</c:v>
                </c:pt>
                <c:pt idx="234">
                  <c:v>5831</c:v>
                </c:pt>
                <c:pt idx="235">
                  <c:v>5831</c:v>
                </c:pt>
                <c:pt idx="236">
                  <c:v>5831</c:v>
                </c:pt>
                <c:pt idx="237">
                  <c:v>5831</c:v>
                </c:pt>
                <c:pt idx="238">
                  <c:v>5831</c:v>
                </c:pt>
                <c:pt idx="239">
                  <c:v>5831</c:v>
                </c:pt>
                <c:pt idx="240">
                  <c:v>5831</c:v>
                </c:pt>
                <c:pt idx="241">
                  <c:v>5831</c:v>
                </c:pt>
                <c:pt idx="242">
                  <c:v>5831</c:v>
                </c:pt>
                <c:pt idx="243">
                  <c:v>5831</c:v>
                </c:pt>
                <c:pt idx="244">
                  <c:v>5831</c:v>
                </c:pt>
                <c:pt idx="245">
                  <c:v>5831</c:v>
                </c:pt>
                <c:pt idx="246">
                  <c:v>5831</c:v>
                </c:pt>
                <c:pt idx="247">
                  <c:v>5831</c:v>
                </c:pt>
                <c:pt idx="248">
                  <c:v>5831</c:v>
                </c:pt>
                <c:pt idx="249">
                  <c:v>5831</c:v>
                </c:pt>
                <c:pt idx="250">
                  <c:v>5831</c:v>
                </c:pt>
                <c:pt idx="251">
                  <c:v>5831</c:v>
                </c:pt>
                <c:pt idx="252">
                  <c:v>5831</c:v>
                </c:pt>
                <c:pt idx="253">
                  <c:v>5831</c:v>
                </c:pt>
                <c:pt idx="254">
                  <c:v>5831</c:v>
                </c:pt>
                <c:pt idx="255">
                  <c:v>5831</c:v>
                </c:pt>
                <c:pt idx="256">
                  <c:v>5831</c:v>
                </c:pt>
                <c:pt idx="257">
                  <c:v>5831</c:v>
                </c:pt>
                <c:pt idx="258">
                  <c:v>5831</c:v>
                </c:pt>
                <c:pt idx="259">
                  <c:v>5831</c:v>
                </c:pt>
                <c:pt idx="260">
                  <c:v>5831</c:v>
                </c:pt>
                <c:pt idx="261">
                  <c:v>5831</c:v>
                </c:pt>
                <c:pt idx="262">
                  <c:v>5831</c:v>
                </c:pt>
                <c:pt idx="263">
                  <c:v>5831</c:v>
                </c:pt>
                <c:pt idx="264">
                  <c:v>5831</c:v>
                </c:pt>
                <c:pt idx="265">
                  <c:v>5831</c:v>
                </c:pt>
                <c:pt idx="266">
                  <c:v>5831</c:v>
                </c:pt>
                <c:pt idx="267">
                  <c:v>5831</c:v>
                </c:pt>
                <c:pt idx="268">
                  <c:v>5831</c:v>
                </c:pt>
                <c:pt idx="269">
                  <c:v>5831</c:v>
                </c:pt>
                <c:pt idx="270">
                  <c:v>5831</c:v>
                </c:pt>
                <c:pt idx="271">
                  <c:v>5831</c:v>
                </c:pt>
                <c:pt idx="272">
                  <c:v>5831</c:v>
                </c:pt>
                <c:pt idx="273">
                  <c:v>5831</c:v>
                </c:pt>
                <c:pt idx="274">
                  <c:v>5831</c:v>
                </c:pt>
                <c:pt idx="275">
                  <c:v>5831</c:v>
                </c:pt>
                <c:pt idx="276">
                  <c:v>5831</c:v>
                </c:pt>
                <c:pt idx="277">
                  <c:v>5831</c:v>
                </c:pt>
                <c:pt idx="278">
                  <c:v>5831</c:v>
                </c:pt>
                <c:pt idx="279">
                  <c:v>5831</c:v>
                </c:pt>
                <c:pt idx="280">
                  <c:v>5831</c:v>
                </c:pt>
                <c:pt idx="281">
                  <c:v>5831</c:v>
                </c:pt>
                <c:pt idx="282">
                  <c:v>5831</c:v>
                </c:pt>
                <c:pt idx="283">
                  <c:v>5831</c:v>
                </c:pt>
                <c:pt idx="284">
                  <c:v>5831</c:v>
                </c:pt>
                <c:pt idx="285">
                  <c:v>5831</c:v>
                </c:pt>
                <c:pt idx="286">
                  <c:v>5831</c:v>
                </c:pt>
                <c:pt idx="287">
                  <c:v>5831</c:v>
                </c:pt>
                <c:pt idx="288">
                  <c:v>5831</c:v>
                </c:pt>
                <c:pt idx="289">
                  <c:v>5831</c:v>
                </c:pt>
                <c:pt idx="290">
                  <c:v>5831</c:v>
                </c:pt>
                <c:pt idx="291">
                  <c:v>5831</c:v>
                </c:pt>
                <c:pt idx="292">
                  <c:v>5831</c:v>
                </c:pt>
                <c:pt idx="293">
                  <c:v>5831</c:v>
                </c:pt>
                <c:pt idx="294">
                  <c:v>5831</c:v>
                </c:pt>
                <c:pt idx="295">
                  <c:v>5831</c:v>
                </c:pt>
                <c:pt idx="296">
                  <c:v>5831</c:v>
                </c:pt>
                <c:pt idx="297">
                  <c:v>5831</c:v>
                </c:pt>
                <c:pt idx="298">
                  <c:v>5831</c:v>
                </c:pt>
                <c:pt idx="299">
                  <c:v>5831</c:v>
                </c:pt>
                <c:pt idx="300">
                  <c:v>5831</c:v>
                </c:pt>
                <c:pt idx="301">
                  <c:v>5831</c:v>
                </c:pt>
                <c:pt idx="302">
                  <c:v>5831</c:v>
                </c:pt>
                <c:pt idx="303">
                  <c:v>5831</c:v>
                </c:pt>
                <c:pt idx="304">
                  <c:v>5831</c:v>
                </c:pt>
                <c:pt idx="305">
                  <c:v>5831</c:v>
                </c:pt>
                <c:pt idx="306">
                  <c:v>5831</c:v>
                </c:pt>
                <c:pt idx="307">
                  <c:v>5831</c:v>
                </c:pt>
                <c:pt idx="308">
                  <c:v>5831</c:v>
                </c:pt>
                <c:pt idx="309">
                  <c:v>5831</c:v>
                </c:pt>
                <c:pt idx="310">
                  <c:v>5831</c:v>
                </c:pt>
                <c:pt idx="311">
                  <c:v>5831</c:v>
                </c:pt>
                <c:pt idx="312">
                  <c:v>5831</c:v>
                </c:pt>
                <c:pt idx="313">
                  <c:v>5831</c:v>
                </c:pt>
                <c:pt idx="314">
                  <c:v>5831</c:v>
                </c:pt>
                <c:pt idx="315">
                  <c:v>5831</c:v>
                </c:pt>
                <c:pt idx="316">
                  <c:v>5831</c:v>
                </c:pt>
                <c:pt idx="317">
                  <c:v>5831</c:v>
                </c:pt>
                <c:pt idx="318">
                  <c:v>5831</c:v>
                </c:pt>
                <c:pt idx="319">
                  <c:v>5831</c:v>
                </c:pt>
                <c:pt idx="320">
                  <c:v>5831</c:v>
                </c:pt>
                <c:pt idx="321">
                  <c:v>5831</c:v>
                </c:pt>
                <c:pt idx="322">
                  <c:v>5831</c:v>
                </c:pt>
                <c:pt idx="323">
                  <c:v>5831</c:v>
                </c:pt>
                <c:pt idx="324">
                  <c:v>5831</c:v>
                </c:pt>
                <c:pt idx="325">
                  <c:v>5831</c:v>
                </c:pt>
                <c:pt idx="326">
                  <c:v>5831</c:v>
                </c:pt>
                <c:pt idx="327">
                  <c:v>5831</c:v>
                </c:pt>
                <c:pt idx="328">
                  <c:v>5831</c:v>
                </c:pt>
                <c:pt idx="329">
                  <c:v>5831</c:v>
                </c:pt>
                <c:pt idx="330">
                  <c:v>5831</c:v>
                </c:pt>
                <c:pt idx="331">
                  <c:v>5831</c:v>
                </c:pt>
                <c:pt idx="332">
                  <c:v>5831</c:v>
                </c:pt>
                <c:pt idx="333">
                  <c:v>5831</c:v>
                </c:pt>
                <c:pt idx="334">
                  <c:v>5831</c:v>
                </c:pt>
                <c:pt idx="335">
                  <c:v>5831</c:v>
                </c:pt>
                <c:pt idx="336">
                  <c:v>5831</c:v>
                </c:pt>
                <c:pt idx="337">
                  <c:v>5831</c:v>
                </c:pt>
                <c:pt idx="338">
                  <c:v>5831</c:v>
                </c:pt>
                <c:pt idx="339">
                  <c:v>5831</c:v>
                </c:pt>
                <c:pt idx="340">
                  <c:v>5831</c:v>
                </c:pt>
                <c:pt idx="341">
                  <c:v>5831</c:v>
                </c:pt>
                <c:pt idx="342">
                  <c:v>5831</c:v>
                </c:pt>
                <c:pt idx="343">
                  <c:v>5831</c:v>
                </c:pt>
                <c:pt idx="344">
                  <c:v>5831</c:v>
                </c:pt>
                <c:pt idx="345">
                  <c:v>5831</c:v>
                </c:pt>
                <c:pt idx="346">
                  <c:v>5831</c:v>
                </c:pt>
                <c:pt idx="347">
                  <c:v>5831</c:v>
                </c:pt>
                <c:pt idx="348">
                  <c:v>5831</c:v>
                </c:pt>
                <c:pt idx="349">
                  <c:v>5831</c:v>
                </c:pt>
                <c:pt idx="350">
                  <c:v>5831</c:v>
                </c:pt>
                <c:pt idx="351">
                  <c:v>5831</c:v>
                </c:pt>
                <c:pt idx="352">
                  <c:v>5831</c:v>
                </c:pt>
                <c:pt idx="353">
                  <c:v>5831</c:v>
                </c:pt>
                <c:pt idx="354">
                  <c:v>5831</c:v>
                </c:pt>
                <c:pt idx="355">
                  <c:v>5831</c:v>
                </c:pt>
                <c:pt idx="356">
                  <c:v>5831</c:v>
                </c:pt>
                <c:pt idx="357">
                  <c:v>5831</c:v>
                </c:pt>
                <c:pt idx="358">
                  <c:v>5831</c:v>
                </c:pt>
                <c:pt idx="359">
                  <c:v>5831</c:v>
                </c:pt>
                <c:pt idx="360">
                  <c:v>5831</c:v>
                </c:pt>
                <c:pt idx="361">
                  <c:v>5831</c:v>
                </c:pt>
                <c:pt idx="362">
                  <c:v>5831</c:v>
                </c:pt>
                <c:pt idx="363">
                  <c:v>5831</c:v>
                </c:pt>
                <c:pt idx="364">
                  <c:v>5831</c:v>
                </c:pt>
                <c:pt idx="365">
                  <c:v>5831</c:v>
                </c:pt>
                <c:pt idx="366">
                  <c:v>5831</c:v>
                </c:pt>
                <c:pt idx="367">
                  <c:v>5831</c:v>
                </c:pt>
                <c:pt idx="368">
                  <c:v>5831</c:v>
                </c:pt>
                <c:pt idx="369">
                  <c:v>5831</c:v>
                </c:pt>
                <c:pt idx="370">
                  <c:v>5831</c:v>
                </c:pt>
                <c:pt idx="371">
                  <c:v>5831</c:v>
                </c:pt>
                <c:pt idx="372">
                  <c:v>5831</c:v>
                </c:pt>
                <c:pt idx="373">
                  <c:v>5831</c:v>
                </c:pt>
                <c:pt idx="374">
                  <c:v>5831</c:v>
                </c:pt>
                <c:pt idx="375">
                  <c:v>5831</c:v>
                </c:pt>
                <c:pt idx="376">
                  <c:v>5831</c:v>
                </c:pt>
                <c:pt idx="377">
                  <c:v>5831</c:v>
                </c:pt>
                <c:pt idx="378">
                  <c:v>5831</c:v>
                </c:pt>
                <c:pt idx="379">
                  <c:v>5831</c:v>
                </c:pt>
                <c:pt idx="380">
                  <c:v>5831</c:v>
                </c:pt>
                <c:pt idx="381">
                  <c:v>5831</c:v>
                </c:pt>
                <c:pt idx="382">
                  <c:v>5831</c:v>
                </c:pt>
                <c:pt idx="383">
                  <c:v>5831</c:v>
                </c:pt>
                <c:pt idx="384">
                  <c:v>5831</c:v>
                </c:pt>
                <c:pt idx="385">
                  <c:v>5831</c:v>
                </c:pt>
                <c:pt idx="386">
                  <c:v>5831</c:v>
                </c:pt>
                <c:pt idx="387">
                  <c:v>5831</c:v>
                </c:pt>
                <c:pt idx="388">
                  <c:v>5831</c:v>
                </c:pt>
                <c:pt idx="389">
                  <c:v>5831</c:v>
                </c:pt>
                <c:pt idx="390">
                  <c:v>5831</c:v>
                </c:pt>
                <c:pt idx="391">
                  <c:v>5831</c:v>
                </c:pt>
                <c:pt idx="392">
                  <c:v>5831</c:v>
                </c:pt>
                <c:pt idx="393">
                  <c:v>5831</c:v>
                </c:pt>
                <c:pt idx="394">
                  <c:v>5831</c:v>
                </c:pt>
                <c:pt idx="395">
                  <c:v>5831</c:v>
                </c:pt>
                <c:pt idx="396">
                  <c:v>5831</c:v>
                </c:pt>
                <c:pt idx="397">
                  <c:v>5831</c:v>
                </c:pt>
                <c:pt idx="398">
                  <c:v>5831</c:v>
                </c:pt>
                <c:pt idx="399">
                  <c:v>5831</c:v>
                </c:pt>
                <c:pt idx="400">
                  <c:v>5831</c:v>
                </c:pt>
                <c:pt idx="401">
                  <c:v>5831</c:v>
                </c:pt>
                <c:pt idx="402">
                  <c:v>5831</c:v>
                </c:pt>
                <c:pt idx="403">
                  <c:v>5831</c:v>
                </c:pt>
                <c:pt idx="404">
                  <c:v>5831</c:v>
                </c:pt>
                <c:pt idx="405">
                  <c:v>5831</c:v>
                </c:pt>
                <c:pt idx="406">
                  <c:v>5831</c:v>
                </c:pt>
                <c:pt idx="407">
                  <c:v>5831</c:v>
                </c:pt>
                <c:pt idx="408">
                  <c:v>5831</c:v>
                </c:pt>
                <c:pt idx="409">
                  <c:v>5831</c:v>
                </c:pt>
                <c:pt idx="410">
                  <c:v>5831</c:v>
                </c:pt>
                <c:pt idx="411">
                  <c:v>5831</c:v>
                </c:pt>
                <c:pt idx="412">
                  <c:v>5831</c:v>
                </c:pt>
                <c:pt idx="413">
                  <c:v>5831</c:v>
                </c:pt>
                <c:pt idx="414">
                  <c:v>5831</c:v>
                </c:pt>
                <c:pt idx="415">
                  <c:v>5831</c:v>
                </c:pt>
                <c:pt idx="416">
                  <c:v>5831</c:v>
                </c:pt>
                <c:pt idx="417">
                  <c:v>5831</c:v>
                </c:pt>
                <c:pt idx="418">
                  <c:v>5831</c:v>
                </c:pt>
                <c:pt idx="419">
                  <c:v>5831</c:v>
                </c:pt>
                <c:pt idx="420">
                  <c:v>5831</c:v>
                </c:pt>
                <c:pt idx="421">
                  <c:v>5831</c:v>
                </c:pt>
                <c:pt idx="422">
                  <c:v>5831</c:v>
                </c:pt>
                <c:pt idx="423">
                  <c:v>5831</c:v>
                </c:pt>
                <c:pt idx="424">
                  <c:v>5831</c:v>
                </c:pt>
                <c:pt idx="425">
                  <c:v>5831</c:v>
                </c:pt>
                <c:pt idx="426">
                  <c:v>5831</c:v>
                </c:pt>
                <c:pt idx="427">
                  <c:v>5831</c:v>
                </c:pt>
                <c:pt idx="428">
                  <c:v>5831</c:v>
                </c:pt>
                <c:pt idx="429">
                  <c:v>5831</c:v>
                </c:pt>
                <c:pt idx="430">
                  <c:v>5831</c:v>
                </c:pt>
                <c:pt idx="431">
                  <c:v>5831</c:v>
                </c:pt>
                <c:pt idx="432">
                  <c:v>5831</c:v>
                </c:pt>
                <c:pt idx="433">
                  <c:v>5831</c:v>
                </c:pt>
                <c:pt idx="434">
                  <c:v>5831</c:v>
                </c:pt>
                <c:pt idx="435">
                  <c:v>5831</c:v>
                </c:pt>
                <c:pt idx="436">
                  <c:v>5831</c:v>
                </c:pt>
                <c:pt idx="437">
                  <c:v>5831</c:v>
                </c:pt>
                <c:pt idx="438">
                  <c:v>5831</c:v>
                </c:pt>
                <c:pt idx="439">
                  <c:v>5831</c:v>
                </c:pt>
                <c:pt idx="440">
                  <c:v>5831</c:v>
                </c:pt>
                <c:pt idx="441">
                  <c:v>5831</c:v>
                </c:pt>
                <c:pt idx="442">
                  <c:v>5831</c:v>
                </c:pt>
                <c:pt idx="443">
                  <c:v>5831</c:v>
                </c:pt>
                <c:pt idx="444">
                  <c:v>5831</c:v>
                </c:pt>
                <c:pt idx="445">
                  <c:v>5831</c:v>
                </c:pt>
                <c:pt idx="446">
                  <c:v>5831</c:v>
                </c:pt>
                <c:pt idx="447">
                  <c:v>5831</c:v>
                </c:pt>
                <c:pt idx="448">
                  <c:v>5831</c:v>
                </c:pt>
                <c:pt idx="449">
                  <c:v>5831</c:v>
                </c:pt>
                <c:pt idx="450">
                  <c:v>5831</c:v>
                </c:pt>
                <c:pt idx="451">
                  <c:v>5831</c:v>
                </c:pt>
                <c:pt idx="452">
                  <c:v>5831</c:v>
                </c:pt>
                <c:pt idx="453">
                  <c:v>5831</c:v>
                </c:pt>
                <c:pt idx="454">
                  <c:v>5831</c:v>
                </c:pt>
                <c:pt idx="455">
                  <c:v>5831</c:v>
                </c:pt>
                <c:pt idx="456">
                  <c:v>5831</c:v>
                </c:pt>
                <c:pt idx="457">
                  <c:v>5831</c:v>
                </c:pt>
                <c:pt idx="458">
                  <c:v>5831</c:v>
                </c:pt>
                <c:pt idx="459">
                  <c:v>5831</c:v>
                </c:pt>
                <c:pt idx="460">
                  <c:v>5831</c:v>
                </c:pt>
                <c:pt idx="461">
                  <c:v>5831</c:v>
                </c:pt>
                <c:pt idx="462">
                  <c:v>5831</c:v>
                </c:pt>
                <c:pt idx="463">
                  <c:v>5831</c:v>
                </c:pt>
                <c:pt idx="464">
                  <c:v>5831</c:v>
                </c:pt>
                <c:pt idx="465">
                  <c:v>5831</c:v>
                </c:pt>
                <c:pt idx="466">
                  <c:v>5831</c:v>
                </c:pt>
                <c:pt idx="467">
                  <c:v>5831</c:v>
                </c:pt>
                <c:pt idx="468">
                  <c:v>5831</c:v>
                </c:pt>
                <c:pt idx="469">
                  <c:v>5831</c:v>
                </c:pt>
                <c:pt idx="470">
                  <c:v>5831</c:v>
                </c:pt>
                <c:pt idx="471">
                  <c:v>5831</c:v>
                </c:pt>
                <c:pt idx="472">
                  <c:v>5831</c:v>
                </c:pt>
                <c:pt idx="473">
                  <c:v>5831</c:v>
                </c:pt>
                <c:pt idx="474">
                  <c:v>5831</c:v>
                </c:pt>
                <c:pt idx="475">
                  <c:v>5831</c:v>
                </c:pt>
                <c:pt idx="476">
                  <c:v>5831</c:v>
                </c:pt>
                <c:pt idx="477">
                  <c:v>5831</c:v>
                </c:pt>
                <c:pt idx="478">
                  <c:v>5831</c:v>
                </c:pt>
                <c:pt idx="479">
                  <c:v>5831</c:v>
                </c:pt>
                <c:pt idx="480">
                  <c:v>5831</c:v>
                </c:pt>
                <c:pt idx="481">
                  <c:v>5831</c:v>
                </c:pt>
                <c:pt idx="482">
                  <c:v>5831</c:v>
                </c:pt>
                <c:pt idx="483">
                  <c:v>5831</c:v>
                </c:pt>
                <c:pt idx="484">
                  <c:v>5831</c:v>
                </c:pt>
                <c:pt idx="485">
                  <c:v>5831</c:v>
                </c:pt>
                <c:pt idx="486">
                  <c:v>5831</c:v>
                </c:pt>
                <c:pt idx="487">
                  <c:v>5831</c:v>
                </c:pt>
                <c:pt idx="488">
                  <c:v>5831</c:v>
                </c:pt>
                <c:pt idx="489">
                  <c:v>5831</c:v>
                </c:pt>
                <c:pt idx="490">
                  <c:v>5831</c:v>
                </c:pt>
                <c:pt idx="491">
                  <c:v>5831</c:v>
                </c:pt>
                <c:pt idx="492">
                  <c:v>5831</c:v>
                </c:pt>
                <c:pt idx="493">
                  <c:v>5831</c:v>
                </c:pt>
                <c:pt idx="494">
                  <c:v>5831</c:v>
                </c:pt>
                <c:pt idx="495">
                  <c:v>5831</c:v>
                </c:pt>
                <c:pt idx="496">
                  <c:v>5831</c:v>
                </c:pt>
                <c:pt idx="497">
                  <c:v>5831</c:v>
                </c:pt>
                <c:pt idx="498">
                  <c:v>5831</c:v>
                </c:pt>
                <c:pt idx="499">
                  <c:v>5831</c:v>
                </c:pt>
                <c:pt idx="500">
                  <c:v>5831</c:v>
                </c:pt>
                <c:pt idx="501">
                  <c:v>5831</c:v>
                </c:pt>
                <c:pt idx="502">
                  <c:v>5831</c:v>
                </c:pt>
                <c:pt idx="503">
                  <c:v>5831</c:v>
                </c:pt>
                <c:pt idx="504">
                  <c:v>5831</c:v>
                </c:pt>
                <c:pt idx="505">
                  <c:v>5831</c:v>
                </c:pt>
                <c:pt idx="506">
                  <c:v>5831</c:v>
                </c:pt>
                <c:pt idx="507">
                  <c:v>5831</c:v>
                </c:pt>
                <c:pt idx="508">
                  <c:v>5831</c:v>
                </c:pt>
                <c:pt idx="509">
                  <c:v>5831</c:v>
                </c:pt>
                <c:pt idx="510">
                  <c:v>5831</c:v>
                </c:pt>
                <c:pt idx="511">
                  <c:v>5831</c:v>
                </c:pt>
                <c:pt idx="512">
                  <c:v>5831</c:v>
                </c:pt>
                <c:pt idx="513">
                  <c:v>5831</c:v>
                </c:pt>
                <c:pt idx="514">
                  <c:v>5831</c:v>
                </c:pt>
                <c:pt idx="515">
                  <c:v>5831</c:v>
                </c:pt>
                <c:pt idx="516">
                  <c:v>5831</c:v>
                </c:pt>
                <c:pt idx="517">
                  <c:v>5831</c:v>
                </c:pt>
                <c:pt idx="518">
                  <c:v>5831</c:v>
                </c:pt>
                <c:pt idx="519">
                  <c:v>5831</c:v>
                </c:pt>
                <c:pt idx="520">
                  <c:v>5831</c:v>
                </c:pt>
                <c:pt idx="521">
                  <c:v>5831</c:v>
                </c:pt>
                <c:pt idx="522">
                  <c:v>5831</c:v>
                </c:pt>
                <c:pt idx="523">
                  <c:v>5831</c:v>
                </c:pt>
                <c:pt idx="524">
                  <c:v>5831</c:v>
                </c:pt>
                <c:pt idx="525">
                  <c:v>5831</c:v>
                </c:pt>
                <c:pt idx="526">
                  <c:v>5831</c:v>
                </c:pt>
                <c:pt idx="527">
                  <c:v>5831</c:v>
                </c:pt>
                <c:pt idx="528">
                  <c:v>5831</c:v>
                </c:pt>
                <c:pt idx="529">
                  <c:v>5831</c:v>
                </c:pt>
                <c:pt idx="530">
                  <c:v>5831</c:v>
                </c:pt>
                <c:pt idx="531">
                  <c:v>5831</c:v>
                </c:pt>
                <c:pt idx="532">
                  <c:v>5831</c:v>
                </c:pt>
                <c:pt idx="533">
                  <c:v>5831</c:v>
                </c:pt>
                <c:pt idx="534">
                  <c:v>5831</c:v>
                </c:pt>
                <c:pt idx="535">
                  <c:v>5831</c:v>
                </c:pt>
                <c:pt idx="536">
                  <c:v>5831</c:v>
                </c:pt>
                <c:pt idx="537">
                  <c:v>5831</c:v>
                </c:pt>
                <c:pt idx="538">
                  <c:v>5831</c:v>
                </c:pt>
                <c:pt idx="539">
                  <c:v>5831</c:v>
                </c:pt>
                <c:pt idx="540">
                  <c:v>5831</c:v>
                </c:pt>
                <c:pt idx="541">
                  <c:v>5831</c:v>
                </c:pt>
                <c:pt idx="542">
                  <c:v>5831</c:v>
                </c:pt>
                <c:pt idx="543">
                  <c:v>5831</c:v>
                </c:pt>
                <c:pt idx="544">
                  <c:v>5831</c:v>
                </c:pt>
                <c:pt idx="545">
                  <c:v>5831</c:v>
                </c:pt>
                <c:pt idx="546">
                  <c:v>5831</c:v>
                </c:pt>
                <c:pt idx="547">
                  <c:v>5831</c:v>
                </c:pt>
                <c:pt idx="548">
                  <c:v>5831</c:v>
                </c:pt>
                <c:pt idx="549">
                  <c:v>5831</c:v>
                </c:pt>
                <c:pt idx="550">
                  <c:v>5831</c:v>
                </c:pt>
                <c:pt idx="551">
                  <c:v>5831</c:v>
                </c:pt>
                <c:pt idx="552">
                  <c:v>5831</c:v>
                </c:pt>
                <c:pt idx="553">
                  <c:v>5831</c:v>
                </c:pt>
                <c:pt idx="554">
                  <c:v>5831</c:v>
                </c:pt>
                <c:pt idx="555">
                  <c:v>5831</c:v>
                </c:pt>
                <c:pt idx="556">
                  <c:v>5831</c:v>
                </c:pt>
                <c:pt idx="557">
                  <c:v>5831</c:v>
                </c:pt>
                <c:pt idx="558">
                  <c:v>5831</c:v>
                </c:pt>
                <c:pt idx="559">
                  <c:v>5831</c:v>
                </c:pt>
                <c:pt idx="560">
                  <c:v>5831</c:v>
                </c:pt>
                <c:pt idx="561">
                  <c:v>5831</c:v>
                </c:pt>
                <c:pt idx="562">
                  <c:v>5831</c:v>
                </c:pt>
                <c:pt idx="563">
                  <c:v>5831</c:v>
                </c:pt>
                <c:pt idx="564">
                  <c:v>5831</c:v>
                </c:pt>
                <c:pt idx="565">
                  <c:v>5831</c:v>
                </c:pt>
                <c:pt idx="566">
                  <c:v>5831</c:v>
                </c:pt>
                <c:pt idx="567">
                  <c:v>5831</c:v>
                </c:pt>
                <c:pt idx="568">
                  <c:v>5831</c:v>
                </c:pt>
                <c:pt idx="569">
                  <c:v>5831</c:v>
                </c:pt>
                <c:pt idx="570">
                  <c:v>5831</c:v>
                </c:pt>
                <c:pt idx="571">
                  <c:v>5831</c:v>
                </c:pt>
                <c:pt idx="572">
                  <c:v>5831</c:v>
                </c:pt>
                <c:pt idx="573">
                  <c:v>5831</c:v>
                </c:pt>
                <c:pt idx="574">
                  <c:v>5831</c:v>
                </c:pt>
                <c:pt idx="575">
                  <c:v>5831</c:v>
                </c:pt>
                <c:pt idx="576">
                  <c:v>5831</c:v>
                </c:pt>
                <c:pt idx="577">
                  <c:v>5831</c:v>
                </c:pt>
                <c:pt idx="578">
                  <c:v>5831</c:v>
                </c:pt>
                <c:pt idx="579">
                  <c:v>5831</c:v>
                </c:pt>
                <c:pt idx="580">
                  <c:v>5831</c:v>
                </c:pt>
                <c:pt idx="581">
                  <c:v>5831</c:v>
                </c:pt>
                <c:pt idx="582">
                  <c:v>5831</c:v>
                </c:pt>
                <c:pt idx="583">
                  <c:v>5831</c:v>
                </c:pt>
                <c:pt idx="584">
                  <c:v>5831</c:v>
                </c:pt>
                <c:pt idx="585">
                  <c:v>5831</c:v>
                </c:pt>
                <c:pt idx="586">
                  <c:v>5831</c:v>
                </c:pt>
                <c:pt idx="587">
                  <c:v>5831</c:v>
                </c:pt>
                <c:pt idx="588">
                  <c:v>5831</c:v>
                </c:pt>
                <c:pt idx="589">
                  <c:v>5831</c:v>
                </c:pt>
                <c:pt idx="590">
                  <c:v>5831</c:v>
                </c:pt>
                <c:pt idx="591">
                  <c:v>5831</c:v>
                </c:pt>
                <c:pt idx="592">
                  <c:v>5831</c:v>
                </c:pt>
                <c:pt idx="593">
                  <c:v>5831</c:v>
                </c:pt>
                <c:pt idx="594">
                  <c:v>5831</c:v>
                </c:pt>
                <c:pt idx="595">
                  <c:v>5831</c:v>
                </c:pt>
                <c:pt idx="596">
                  <c:v>5831</c:v>
                </c:pt>
                <c:pt idx="597">
                  <c:v>5831</c:v>
                </c:pt>
                <c:pt idx="598">
                  <c:v>5831</c:v>
                </c:pt>
                <c:pt idx="599">
                  <c:v>5831</c:v>
                </c:pt>
                <c:pt idx="600">
                  <c:v>5831</c:v>
                </c:pt>
                <c:pt idx="601">
                  <c:v>5831</c:v>
                </c:pt>
                <c:pt idx="602">
                  <c:v>5831</c:v>
                </c:pt>
                <c:pt idx="603">
                  <c:v>5831</c:v>
                </c:pt>
                <c:pt idx="604">
                  <c:v>5831</c:v>
                </c:pt>
                <c:pt idx="605">
                  <c:v>5831</c:v>
                </c:pt>
                <c:pt idx="606">
                  <c:v>5831</c:v>
                </c:pt>
                <c:pt idx="607">
                  <c:v>5831</c:v>
                </c:pt>
                <c:pt idx="608">
                  <c:v>5831</c:v>
                </c:pt>
                <c:pt idx="609">
                  <c:v>5831</c:v>
                </c:pt>
                <c:pt idx="610">
                  <c:v>5831</c:v>
                </c:pt>
                <c:pt idx="611">
                  <c:v>5831</c:v>
                </c:pt>
                <c:pt idx="612">
                  <c:v>5831</c:v>
                </c:pt>
                <c:pt idx="613">
                  <c:v>5831</c:v>
                </c:pt>
                <c:pt idx="614">
                  <c:v>5831</c:v>
                </c:pt>
                <c:pt idx="615">
                  <c:v>5831</c:v>
                </c:pt>
                <c:pt idx="616">
                  <c:v>5831</c:v>
                </c:pt>
                <c:pt idx="617">
                  <c:v>5831</c:v>
                </c:pt>
                <c:pt idx="618">
                  <c:v>5831</c:v>
                </c:pt>
                <c:pt idx="619">
                  <c:v>5831</c:v>
                </c:pt>
                <c:pt idx="620">
                  <c:v>5831</c:v>
                </c:pt>
                <c:pt idx="621">
                  <c:v>5831</c:v>
                </c:pt>
                <c:pt idx="622">
                  <c:v>5831</c:v>
                </c:pt>
                <c:pt idx="623">
                  <c:v>5831</c:v>
                </c:pt>
                <c:pt idx="624">
                  <c:v>5831</c:v>
                </c:pt>
                <c:pt idx="625">
                  <c:v>5831</c:v>
                </c:pt>
                <c:pt idx="626">
                  <c:v>5831</c:v>
                </c:pt>
                <c:pt idx="627">
                  <c:v>5831</c:v>
                </c:pt>
                <c:pt idx="628">
                  <c:v>5831</c:v>
                </c:pt>
                <c:pt idx="629">
                  <c:v>5831</c:v>
                </c:pt>
                <c:pt idx="630">
                  <c:v>5831</c:v>
                </c:pt>
                <c:pt idx="631">
                  <c:v>5831</c:v>
                </c:pt>
                <c:pt idx="632">
                  <c:v>5831</c:v>
                </c:pt>
                <c:pt idx="633">
                  <c:v>5831</c:v>
                </c:pt>
                <c:pt idx="634">
                  <c:v>5831</c:v>
                </c:pt>
                <c:pt idx="635">
                  <c:v>5831</c:v>
                </c:pt>
                <c:pt idx="636">
                  <c:v>5831</c:v>
                </c:pt>
                <c:pt idx="637">
                  <c:v>5831</c:v>
                </c:pt>
                <c:pt idx="638">
                  <c:v>5831</c:v>
                </c:pt>
                <c:pt idx="639">
                  <c:v>5831</c:v>
                </c:pt>
                <c:pt idx="640">
                  <c:v>5831</c:v>
                </c:pt>
                <c:pt idx="641">
                  <c:v>5831</c:v>
                </c:pt>
                <c:pt idx="642">
                  <c:v>5831</c:v>
                </c:pt>
                <c:pt idx="643">
                  <c:v>5831</c:v>
                </c:pt>
                <c:pt idx="644">
                  <c:v>5831</c:v>
                </c:pt>
                <c:pt idx="645">
                  <c:v>5831</c:v>
                </c:pt>
                <c:pt idx="646">
                  <c:v>5831</c:v>
                </c:pt>
                <c:pt idx="647">
                  <c:v>5831</c:v>
                </c:pt>
                <c:pt idx="648">
                  <c:v>5831</c:v>
                </c:pt>
                <c:pt idx="649">
                  <c:v>5831</c:v>
                </c:pt>
                <c:pt idx="650">
                  <c:v>5831</c:v>
                </c:pt>
                <c:pt idx="651">
                  <c:v>5831</c:v>
                </c:pt>
                <c:pt idx="652">
                  <c:v>5831</c:v>
                </c:pt>
                <c:pt idx="653">
                  <c:v>5831</c:v>
                </c:pt>
                <c:pt idx="654">
                  <c:v>5831</c:v>
                </c:pt>
                <c:pt idx="655">
                  <c:v>5831</c:v>
                </c:pt>
                <c:pt idx="656">
                  <c:v>5831</c:v>
                </c:pt>
                <c:pt idx="657">
                  <c:v>5831</c:v>
                </c:pt>
                <c:pt idx="658">
                  <c:v>5831</c:v>
                </c:pt>
                <c:pt idx="659">
                  <c:v>5831</c:v>
                </c:pt>
                <c:pt idx="660">
                  <c:v>5831</c:v>
                </c:pt>
                <c:pt idx="661">
                  <c:v>5831</c:v>
                </c:pt>
                <c:pt idx="662">
                  <c:v>5831</c:v>
                </c:pt>
                <c:pt idx="663">
                  <c:v>5831</c:v>
                </c:pt>
                <c:pt idx="664">
                  <c:v>5831</c:v>
                </c:pt>
                <c:pt idx="665">
                  <c:v>5831</c:v>
                </c:pt>
                <c:pt idx="666">
                  <c:v>5831</c:v>
                </c:pt>
                <c:pt idx="667">
                  <c:v>5831</c:v>
                </c:pt>
                <c:pt idx="668">
                  <c:v>5831</c:v>
                </c:pt>
                <c:pt idx="669">
                  <c:v>5831</c:v>
                </c:pt>
                <c:pt idx="670">
                  <c:v>5831</c:v>
                </c:pt>
                <c:pt idx="671">
                  <c:v>5831</c:v>
                </c:pt>
                <c:pt idx="672">
                  <c:v>5831</c:v>
                </c:pt>
                <c:pt idx="673">
                  <c:v>5831</c:v>
                </c:pt>
                <c:pt idx="674">
                  <c:v>5831</c:v>
                </c:pt>
                <c:pt idx="675">
                  <c:v>5831</c:v>
                </c:pt>
                <c:pt idx="676">
                  <c:v>5831</c:v>
                </c:pt>
                <c:pt idx="677">
                  <c:v>5831</c:v>
                </c:pt>
                <c:pt idx="678">
                  <c:v>5831</c:v>
                </c:pt>
                <c:pt idx="679">
                  <c:v>5831</c:v>
                </c:pt>
                <c:pt idx="680">
                  <c:v>5831</c:v>
                </c:pt>
                <c:pt idx="681">
                  <c:v>5831</c:v>
                </c:pt>
                <c:pt idx="682">
                  <c:v>5831</c:v>
                </c:pt>
                <c:pt idx="683">
                  <c:v>5831</c:v>
                </c:pt>
                <c:pt idx="684">
                  <c:v>5831</c:v>
                </c:pt>
                <c:pt idx="685">
                  <c:v>5831</c:v>
                </c:pt>
                <c:pt idx="686">
                  <c:v>5831</c:v>
                </c:pt>
                <c:pt idx="687">
                  <c:v>5831</c:v>
                </c:pt>
                <c:pt idx="688">
                  <c:v>5831</c:v>
                </c:pt>
                <c:pt idx="689">
                  <c:v>5831</c:v>
                </c:pt>
                <c:pt idx="690">
                  <c:v>5831</c:v>
                </c:pt>
                <c:pt idx="691">
                  <c:v>5831</c:v>
                </c:pt>
                <c:pt idx="692">
                  <c:v>5831</c:v>
                </c:pt>
                <c:pt idx="693">
                  <c:v>5831</c:v>
                </c:pt>
                <c:pt idx="694">
                  <c:v>5831</c:v>
                </c:pt>
                <c:pt idx="695">
                  <c:v>5831</c:v>
                </c:pt>
                <c:pt idx="696">
                  <c:v>5831</c:v>
                </c:pt>
                <c:pt idx="697">
                  <c:v>5831</c:v>
                </c:pt>
                <c:pt idx="698">
                  <c:v>5831</c:v>
                </c:pt>
                <c:pt idx="699">
                  <c:v>5831</c:v>
                </c:pt>
                <c:pt idx="700">
                  <c:v>5831</c:v>
                </c:pt>
                <c:pt idx="701">
                  <c:v>5831</c:v>
                </c:pt>
                <c:pt idx="702">
                  <c:v>5831</c:v>
                </c:pt>
                <c:pt idx="703">
                  <c:v>5831</c:v>
                </c:pt>
                <c:pt idx="704">
                  <c:v>5831</c:v>
                </c:pt>
                <c:pt idx="705">
                  <c:v>5831</c:v>
                </c:pt>
                <c:pt idx="706">
                  <c:v>5831</c:v>
                </c:pt>
                <c:pt idx="707">
                  <c:v>5831</c:v>
                </c:pt>
                <c:pt idx="708">
                  <c:v>5831</c:v>
                </c:pt>
                <c:pt idx="709">
                  <c:v>5831</c:v>
                </c:pt>
                <c:pt idx="710">
                  <c:v>5831</c:v>
                </c:pt>
                <c:pt idx="711">
                  <c:v>5831</c:v>
                </c:pt>
                <c:pt idx="712">
                  <c:v>5831</c:v>
                </c:pt>
                <c:pt idx="713">
                  <c:v>5831</c:v>
                </c:pt>
                <c:pt idx="714">
                  <c:v>5831</c:v>
                </c:pt>
                <c:pt idx="715">
                  <c:v>5831</c:v>
                </c:pt>
                <c:pt idx="716">
                  <c:v>5831</c:v>
                </c:pt>
                <c:pt idx="717">
                  <c:v>5831</c:v>
                </c:pt>
                <c:pt idx="718">
                  <c:v>5831</c:v>
                </c:pt>
                <c:pt idx="719">
                  <c:v>5831</c:v>
                </c:pt>
                <c:pt idx="720">
                  <c:v>5831</c:v>
                </c:pt>
                <c:pt idx="721">
                  <c:v>5831</c:v>
                </c:pt>
                <c:pt idx="722">
                  <c:v>5831</c:v>
                </c:pt>
                <c:pt idx="723">
                  <c:v>5831</c:v>
                </c:pt>
                <c:pt idx="724">
                  <c:v>5831</c:v>
                </c:pt>
                <c:pt idx="725">
                  <c:v>5831</c:v>
                </c:pt>
                <c:pt idx="726">
                  <c:v>5831</c:v>
                </c:pt>
                <c:pt idx="727">
                  <c:v>5831</c:v>
                </c:pt>
                <c:pt idx="728">
                  <c:v>5831</c:v>
                </c:pt>
                <c:pt idx="729">
                  <c:v>5831</c:v>
                </c:pt>
                <c:pt idx="730">
                  <c:v>5831</c:v>
                </c:pt>
                <c:pt idx="731">
                  <c:v>5831</c:v>
                </c:pt>
                <c:pt idx="732">
                  <c:v>5831</c:v>
                </c:pt>
                <c:pt idx="733">
                  <c:v>5831</c:v>
                </c:pt>
                <c:pt idx="734">
                  <c:v>5831</c:v>
                </c:pt>
                <c:pt idx="735">
                  <c:v>5831</c:v>
                </c:pt>
                <c:pt idx="736">
                  <c:v>5831</c:v>
                </c:pt>
                <c:pt idx="737">
                  <c:v>5831</c:v>
                </c:pt>
                <c:pt idx="738">
                  <c:v>5831</c:v>
                </c:pt>
                <c:pt idx="739">
                  <c:v>5831</c:v>
                </c:pt>
                <c:pt idx="740">
                  <c:v>5831</c:v>
                </c:pt>
                <c:pt idx="741">
                  <c:v>5831</c:v>
                </c:pt>
                <c:pt idx="742">
                  <c:v>5831</c:v>
                </c:pt>
                <c:pt idx="743">
                  <c:v>5831</c:v>
                </c:pt>
                <c:pt idx="744">
                  <c:v>5831</c:v>
                </c:pt>
                <c:pt idx="745">
                  <c:v>5831</c:v>
                </c:pt>
                <c:pt idx="746">
                  <c:v>5831</c:v>
                </c:pt>
                <c:pt idx="747">
                  <c:v>5831</c:v>
                </c:pt>
                <c:pt idx="748">
                  <c:v>5831</c:v>
                </c:pt>
                <c:pt idx="749">
                  <c:v>5831</c:v>
                </c:pt>
                <c:pt idx="750">
                  <c:v>5831</c:v>
                </c:pt>
                <c:pt idx="751">
                  <c:v>5831</c:v>
                </c:pt>
                <c:pt idx="752">
                  <c:v>5831</c:v>
                </c:pt>
                <c:pt idx="753">
                  <c:v>5831</c:v>
                </c:pt>
                <c:pt idx="754">
                  <c:v>5831</c:v>
                </c:pt>
                <c:pt idx="755">
                  <c:v>5831</c:v>
                </c:pt>
                <c:pt idx="756">
                  <c:v>5831</c:v>
                </c:pt>
                <c:pt idx="757">
                  <c:v>5831</c:v>
                </c:pt>
                <c:pt idx="758">
                  <c:v>5831</c:v>
                </c:pt>
                <c:pt idx="759">
                  <c:v>5831</c:v>
                </c:pt>
                <c:pt idx="760">
                  <c:v>5831</c:v>
                </c:pt>
                <c:pt idx="761">
                  <c:v>5831</c:v>
                </c:pt>
                <c:pt idx="762">
                  <c:v>5831</c:v>
                </c:pt>
                <c:pt idx="763">
                  <c:v>5831</c:v>
                </c:pt>
                <c:pt idx="764">
                  <c:v>5831</c:v>
                </c:pt>
                <c:pt idx="765">
                  <c:v>5831</c:v>
                </c:pt>
                <c:pt idx="766">
                  <c:v>5831</c:v>
                </c:pt>
                <c:pt idx="767">
                  <c:v>5831</c:v>
                </c:pt>
                <c:pt idx="768">
                  <c:v>5831</c:v>
                </c:pt>
                <c:pt idx="769">
                  <c:v>5831</c:v>
                </c:pt>
                <c:pt idx="770">
                  <c:v>5831</c:v>
                </c:pt>
                <c:pt idx="771">
                  <c:v>5831</c:v>
                </c:pt>
                <c:pt idx="772">
                  <c:v>5831</c:v>
                </c:pt>
                <c:pt idx="773">
                  <c:v>5831</c:v>
                </c:pt>
                <c:pt idx="774">
                  <c:v>5831</c:v>
                </c:pt>
                <c:pt idx="775">
                  <c:v>5831</c:v>
                </c:pt>
                <c:pt idx="776">
                  <c:v>5831</c:v>
                </c:pt>
                <c:pt idx="777">
                  <c:v>5831</c:v>
                </c:pt>
                <c:pt idx="778">
                  <c:v>5831</c:v>
                </c:pt>
                <c:pt idx="779">
                  <c:v>5831</c:v>
                </c:pt>
                <c:pt idx="780">
                  <c:v>5831</c:v>
                </c:pt>
                <c:pt idx="781">
                  <c:v>5831</c:v>
                </c:pt>
                <c:pt idx="782">
                  <c:v>5831</c:v>
                </c:pt>
                <c:pt idx="783">
                  <c:v>5831</c:v>
                </c:pt>
                <c:pt idx="784">
                  <c:v>5831</c:v>
                </c:pt>
                <c:pt idx="785">
                  <c:v>5831</c:v>
                </c:pt>
                <c:pt idx="786">
                  <c:v>5831</c:v>
                </c:pt>
                <c:pt idx="787">
                  <c:v>5831</c:v>
                </c:pt>
                <c:pt idx="788">
                  <c:v>5831</c:v>
                </c:pt>
                <c:pt idx="789">
                  <c:v>5831</c:v>
                </c:pt>
                <c:pt idx="790">
                  <c:v>5831</c:v>
                </c:pt>
                <c:pt idx="791">
                  <c:v>5831</c:v>
                </c:pt>
                <c:pt idx="792">
                  <c:v>5831</c:v>
                </c:pt>
                <c:pt idx="793">
                  <c:v>5831</c:v>
                </c:pt>
                <c:pt idx="794">
                  <c:v>5831</c:v>
                </c:pt>
                <c:pt idx="795">
                  <c:v>5831</c:v>
                </c:pt>
                <c:pt idx="796">
                  <c:v>5831</c:v>
                </c:pt>
                <c:pt idx="797">
                  <c:v>5831</c:v>
                </c:pt>
                <c:pt idx="798">
                  <c:v>5831</c:v>
                </c:pt>
                <c:pt idx="799">
                  <c:v>5831</c:v>
                </c:pt>
                <c:pt idx="800">
                  <c:v>5831</c:v>
                </c:pt>
                <c:pt idx="801">
                  <c:v>5831</c:v>
                </c:pt>
                <c:pt idx="802">
                  <c:v>5831</c:v>
                </c:pt>
                <c:pt idx="803">
                  <c:v>5831</c:v>
                </c:pt>
                <c:pt idx="804">
                  <c:v>5831</c:v>
                </c:pt>
                <c:pt idx="805">
                  <c:v>5831</c:v>
                </c:pt>
                <c:pt idx="806">
                  <c:v>5831</c:v>
                </c:pt>
                <c:pt idx="807">
                  <c:v>5831</c:v>
                </c:pt>
                <c:pt idx="808">
                  <c:v>5831</c:v>
                </c:pt>
                <c:pt idx="809">
                  <c:v>5831</c:v>
                </c:pt>
                <c:pt idx="810">
                  <c:v>5831</c:v>
                </c:pt>
                <c:pt idx="811">
                  <c:v>5831</c:v>
                </c:pt>
                <c:pt idx="812">
                  <c:v>5831</c:v>
                </c:pt>
                <c:pt idx="813">
                  <c:v>5831</c:v>
                </c:pt>
                <c:pt idx="814">
                  <c:v>5831</c:v>
                </c:pt>
                <c:pt idx="815">
                  <c:v>5831</c:v>
                </c:pt>
                <c:pt idx="816">
                  <c:v>5831</c:v>
                </c:pt>
                <c:pt idx="817">
                  <c:v>5831</c:v>
                </c:pt>
                <c:pt idx="818">
                  <c:v>5831</c:v>
                </c:pt>
                <c:pt idx="819">
                  <c:v>5831</c:v>
                </c:pt>
                <c:pt idx="820">
                  <c:v>5831</c:v>
                </c:pt>
                <c:pt idx="821">
                  <c:v>5831</c:v>
                </c:pt>
                <c:pt idx="822">
                  <c:v>5831</c:v>
                </c:pt>
                <c:pt idx="823">
                  <c:v>5831</c:v>
                </c:pt>
                <c:pt idx="824">
                  <c:v>5831</c:v>
                </c:pt>
                <c:pt idx="825">
                  <c:v>5831</c:v>
                </c:pt>
                <c:pt idx="826">
                  <c:v>5831</c:v>
                </c:pt>
                <c:pt idx="827">
                  <c:v>5831</c:v>
                </c:pt>
                <c:pt idx="828">
                  <c:v>5831</c:v>
                </c:pt>
                <c:pt idx="829">
                  <c:v>5831</c:v>
                </c:pt>
                <c:pt idx="830">
                  <c:v>5831</c:v>
                </c:pt>
                <c:pt idx="831">
                  <c:v>5831</c:v>
                </c:pt>
                <c:pt idx="832">
                  <c:v>5831</c:v>
                </c:pt>
                <c:pt idx="833">
                  <c:v>5831</c:v>
                </c:pt>
                <c:pt idx="834">
                  <c:v>5831</c:v>
                </c:pt>
                <c:pt idx="835">
                  <c:v>5831</c:v>
                </c:pt>
                <c:pt idx="836">
                  <c:v>5831</c:v>
                </c:pt>
                <c:pt idx="837">
                  <c:v>5831</c:v>
                </c:pt>
                <c:pt idx="838">
                  <c:v>5831</c:v>
                </c:pt>
                <c:pt idx="839">
                  <c:v>5831</c:v>
                </c:pt>
                <c:pt idx="840">
                  <c:v>5831</c:v>
                </c:pt>
                <c:pt idx="841">
                  <c:v>5831</c:v>
                </c:pt>
                <c:pt idx="842">
                  <c:v>5831</c:v>
                </c:pt>
                <c:pt idx="843">
                  <c:v>5831</c:v>
                </c:pt>
                <c:pt idx="844">
                  <c:v>5831</c:v>
                </c:pt>
                <c:pt idx="845">
                  <c:v>5831</c:v>
                </c:pt>
                <c:pt idx="846">
                  <c:v>5831</c:v>
                </c:pt>
                <c:pt idx="847">
                  <c:v>5831</c:v>
                </c:pt>
                <c:pt idx="848">
                  <c:v>5831</c:v>
                </c:pt>
                <c:pt idx="849">
                  <c:v>5831</c:v>
                </c:pt>
                <c:pt idx="850">
                  <c:v>5831</c:v>
                </c:pt>
                <c:pt idx="851">
                  <c:v>5831</c:v>
                </c:pt>
                <c:pt idx="852">
                  <c:v>5831</c:v>
                </c:pt>
                <c:pt idx="853">
                  <c:v>5831</c:v>
                </c:pt>
                <c:pt idx="854">
                  <c:v>5831</c:v>
                </c:pt>
                <c:pt idx="855">
                  <c:v>5831</c:v>
                </c:pt>
                <c:pt idx="856">
                  <c:v>5831</c:v>
                </c:pt>
                <c:pt idx="857">
                  <c:v>5831</c:v>
                </c:pt>
                <c:pt idx="858">
                  <c:v>5831</c:v>
                </c:pt>
                <c:pt idx="859">
                  <c:v>5831</c:v>
                </c:pt>
                <c:pt idx="860">
                  <c:v>5831</c:v>
                </c:pt>
                <c:pt idx="861">
                  <c:v>5831</c:v>
                </c:pt>
                <c:pt idx="862">
                  <c:v>5831</c:v>
                </c:pt>
                <c:pt idx="863">
                  <c:v>5831</c:v>
                </c:pt>
                <c:pt idx="864">
                  <c:v>5831</c:v>
                </c:pt>
                <c:pt idx="865">
                  <c:v>5831</c:v>
                </c:pt>
                <c:pt idx="866">
                  <c:v>5831</c:v>
                </c:pt>
                <c:pt idx="867">
                  <c:v>5831</c:v>
                </c:pt>
                <c:pt idx="868">
                  <c:v>5831</c:v>
                </c:pt>
                <c:pt idx="869">
                  <c:v>5831</c:v>
                </c:pt>
                <c:pt idx="870">
                  <c:v>5831</c:v>
                </c:pt>
                <c:pt idx="871">
                  <c:v>5831</c:v>
                </c:pt>
                <c:pt idx="872">
                  <c:v>5831</c:v>
                </c:pt>
                <c:pt idx="873">
                  <c:v>5831</c:v>
                </c:pt>
                <c:pt idx="874">
                  <c:v>5831</c:v>
                </c:pt>
                <c:pt idx="875">
                  <c:v>5831</c:v>
                </c:pt>
                <c:pt idx="876">
                  <c:v>5831</c:v>
                </c:pt>
                <c:pt idx="877">
                  <c:v>5831</c:v>
                </c:pt>
                <c:pt idx="878">
                  <c:v>5831</c:v>
                </c:pt>
                <c:pt idx="879">
                  <c:v>5831</c:v>
                </c:pt>
                <c:pt idx="880">
                  <c:v>5831</c:v>
                </c:pt>
                <c:pt idx="881">
                  <c:v>5831</c:v>
                </c:pt>
                <c:pt idx="882">
                  <c:v>5831</c:v>
                </c:pt>
                <c:pt idx="883">
                  <c:v>5831</c:v>
                </c:pt>
                <c:pt idx="884">
                  <c:v>5831</c:v>
                </c:pt>
                <c:pt idx="885">
                  <c:v>5831</c:v>
                </c:pt>
                <c:pt idx="886">
                  <c:v>5831</c:v>
                </c:pt>
                <c:pt idx="887">
                  <c:v>5831</c:v>
                </c:pt>
                <c:pt idx="888">
                  <c:v>5831</c:v>
                </c:pt>
                <c:pt idx="889">
                  <c:v>5831</c:v>
                </c:pt>
                <c:pt idx="890">
                  <c:v>5831</c:v>
                </c:pt>
                <c:pt idx="891">
                  <c:v>5831</c:v>
                </c:pt>
                <c:pt idx="892">
                  <c:v>5831</c:v>
                </c:pt>
                <c:pt idx="893">
                  <c:v>5831</c:v>
                </c:pt>
                <c:pt idx="894">
                  <c:v>5831</c:v>
                </c:pt>
                <c:pt idx="895">
                  <c:v>5831</c:v>
                </c:pt>
                <c:pt idx="896">
                  <c:v>5831</c:v>
                </c:pt>
                <c:pt idx="897">
                  <c:v>5831</c:v>
                </c:pt>
                <c:pt idx="898">
                  <c:v>5831</c:v>
                </c:pt>
                <c:pt idx="899">
                  <c:v>5831</c:v>
                </c:pt>
                <c:pt idx="900">
                  <c:v>5831</c:v>
                </c:pt>
                <c:pt idx="901">
                  <c:v>5831</c:v>
                </c:pt>
                <c:pt idx="902">
                  <c:v>5831</c:v>
                </c:pt>
                <c:pt idx="903">
                  <c:v>5831</c:v>
                </c:pt>
                <c:pt idx="904">
                  <c:v>5831</c:v>
                </c:pt>
                <c:pt idx="905">
                  <c:v>5831</c:v>
                </c:pt>
                <c:pt idx="906">
                  <c:v>5831</c:v>
                </c:pt>
                <c:pt idx="907">
                  <c:v>5831</c:v>
                </c:pt>
                <c:pt idx="908">
                  <c:v>5831</c:v>
                </c:pt>
                <c:pt idx="909">
                  <c:v>5831</c:v>
                </c:pt>
                <c:pt idx="910">
                  <c:v>5831</c:v>
                </c:pt>
                <c:pt idx="911">
                  <c:v>5831</c:v>
                </c:pt>
                <c:pt idx="912">
                  <c:v>5831</c:v>
                </c:pt>
                <c:pt idx="913">
                  <c:v>5831</c:v>
                </c:pt>
                <c:pt idx="914">
                  <c:v>5831</c:v>
                </c:pt>
                <c:pt idx="915">
                  <c:v>5831</c:v>
                </c:pt>
                <c:pt idx="916">
                  <c:v>5831</c:v>
                </c:pt>
                <c:pt idx="917">
                  <c:v>5831</c:v>
                </c:pt>
                <c:pt idx="918">
                  <c:v>5831</c:v>
                </c:pt>
                <c:pt idx="919">
                  <c:v>5831</c:v>
                </c:pt>
                <c:pt idx="920">
                  <c:v>5831</c:v>
                </c:pt>
                <c:pt idx="921">
                  <c:v>5831</c:v>
                </c:pt>
                <c:pt idx="922">
                  <c:v>5831</c:v>
                </c:pt>
                <c:pt idx="923">
                  <c:v>5831</c:v>
                </c:pt>
                <c:pt idx="924">
                  <c:v>5831</c:v>
                </c:pt>
                <c:pt idx="925">
                  <c:v>5831</c:v>
                </c:pt>
                <c:pt idx="926">
                  <c:v>5831</c:v>
                </c:pt>
                <c:pt idx="927">
                  <c:v>5831</c:v>
                </c:pt>
                <c:pt idx="928">
                  <c:v>5831</c:v>
                </c:pt>
                <c:pt idx="929">
                  <c:v>5831</c:v>
                </c:pt>
                <c:pt idx="930">
                  <c:v>5831</c:v>
                </c:pt>
                <c:pt idx="931">
                  <c:v>5831</c:v>
                </c:pt>
                <c:pt idx="932">
                  <c:v>5831</c:v>
                </c:pt>
                <c:pt idx="933">
                  <c:v>5831</c:v>
                </c:pt>
                <c:pt idx="934">
                  <c:v>5831</c:v>
                </c:pt>
                <c:pt idx="935">
                  <c:v>5831</c:v>
                </c:pt>
                <c:pt idx="936">
                  <c:v>5831</c:v>
                </c:pt>
                <c:pt idx="937">
                  <c:v>5831</c:v>
                </c:pt>
                <c:pt idx="938">
                  <c:v>5831</c:v>
                </c:pt>
                <c:pt idx="939">
                  <c:v>5831</c:v>
                </c:pt>
                <c:pt idx="940">
                  <c:v>5831</c:v>
                </c:pt>
                <c:pt idx="941">
                  <c:v>5831</c:v>
                </c:pt>
                <c:pt idx="942">
                  <c:v>5831</c:v>
                </c:pt>
                <c:pt idx="943">
                  <c:v>5831</c:v>
                </c:pt>
                <c:pt idx="944">
                  <c:v>5831</c:v>
                </c:pt>
                <c:pt idx="945">
                  <c:v>5831</c:v>
                </c:pt>
                <c:pt idx="946">
                  <c:v>5831</c:v>
                </c:pt>
                <c:pt idx="947">
                  <c:v>5831</c:v>
                </c:pt>
                <c:pt idx="948">
                  <c:v>5831</c:v>
                </c:pt>
                <c:pt idx="949">
                  <c:v>5831</c:v>
                </c:pt>
                <c:pt idx="950">
                  <c:v>5831</c:v>
                </c:pt>
                <c:pt idx="951">
                  <c:v>5831</c:v>
                </c:pt>
                <c:pt idx="952">
                  <c:v>5831</c:v>
                </c:pt>
                <c:pt idx="953">
                  <c:v>5831</c:v>
                </c:pt>
                <c:pt idx="954">
                  <c:v>5831</c:v>
                </c:pt>
                <c:pt idx="955">
                  <c:v>5831</c:v>
                </c:pt>
                <c:pt idx="956">
                  <c:v>5831</c:v>
                </c:pt>
                <c:pt idx="957">
                  <c:v>5831</c:v>
                </c:pt>
                <c:pt idx="958">
                  <c:v>5831</c:v>
                </c:pt>
                <c:pt idx="959">
                  <c:v>5831</c:v>
                </c:pt>
                <c:pt idx="960">
                  <c:v>5831</c:v>
                </c:pt>
                <c:pt idx="961">
                  <c:v>5831</c:v>
                </c:pt>
                <c:pt idx="962">
                  <c:v>5831</c:v>
                </c:pt>
                <c:pt idx="963">
                  <c:v>5831</c:v>
                </c:pt>
                <c:pt idx="964">
                  <c:v>5831</c:v>
                </c:pt>
                <c:pt idx="965">
                  <c:v>5831</c:v>
                </c:pt>
                <c:pt idx="966">
                  <c:v>5831</c:v>
                </c:pt>
                <c:pt idx="967">
                  <c:v>5831</c:v>
                </c:pt>
                <c:pt idx="968">
                  <c:v>5831</c:v>
                </c:pt>
                <c:pt idx="969">
                  <c:v>5831</c:v>
                </c:pt>
                <c:pt idx="970">
                  <c:v>5831</c:v>
                </c:pt>
                <c:pt idx="971">
                  <c:v>5831</c:v>
                </c:pt>
                <c:pt idx="972">
                  <c:v>5831</c:v>
                </c:pt>
                <c:pt idx="973">
                  <c:v>5831</c:v>
                </c:pt>
                <c:pt idx="974">
                  <c:v>5831</c:v>
                </c:pt>
                <c:pt idx="975">
                  <c:v>5831</c:v>
                </c:pt>
                <c:pt idx="976">
                  <c:v>5831</c:v>
                </c:pt>
                <c:pt idx="977">
                  <c:v>5831</c:v>
                </c:pt>
                <c:pt idx="978">
                  <c:v>5831</c:v>
                </c:pt>
                <c:pt idx="979">
                  <c:v>5831</c:v>
                </c:pt>
                <c:pt idx="980">
                  <c:v>5831</c:v>
                </c:pt>
                <c:pt idx="981">
                  <c:v>5831</c:v>
                </c:pt>
                <c:pt idx="982">
                  <c:v>5831</c:v>
                </c:pt>
                <c:pt idx="983">
                  <c:v>5831</c:v>
                </c:pt>
                <c:pt idx="984">
                  <c:v>5831</c:v>
                </c:pt>
                <c:pt idx="985">
                  <c:v>5831</c:v>
                </c:pt>
                <c:pt idx="986">
                  <c:v>5831</c:v>
                </c:pt>
                <c:pt idx="987">
                  <c:v>5831</c:v>
                </c:pt>
                <c:pt idx="988">
                  <c:v>5831</c:v>
                </c:pt>
                <c:pt idx="989">
                  <c:v>5831</c:v>
                </c:pt>
                <c:pt idx="990">
                  <c:v>5831</c:v>
                </c:pt>
                <c:pt idx="991">
                  <c:v>5831</c:v>
                </c:pt>
                <c:pt idx="992">
                  <c:v>5831</c:v>
                </c:pt>
                <c:pt idx="993">
                  <c:v>5831</c:v>
                </c:pt>
                <c:pt idx="994">
                  <c:v>5831</c:v>
                </c:pt>
                <c:pt idx="995">
                  <c:v>5831</c:v>
                </c:pt>
                <c:pt idx="996">
                  <c:v>5831</c:v>
                </c:pt>
                <c:pt idx="997">
                  <c:v>5831</c:v>
                </c:pt>
                <c:pt idx="998">
                  <c:v>5831</c:v>
                </c:pt>
                <c:pt idx="999">
                  <c:v>5831</c:v>
                </c:pt>
                <c:pt idx="1000">
                  <c:v>5831</c:v>
                </c:pt>
                <c:pt idx="1001">
                  <c:v>5831</c:v>
                </c:pt>
                <c:pt idx="1002">
                  <c:v>5831</c:v>
                </c:pt>
                <c:pt idx="1003">
                  <c:v>5831</c:v>
                </c:pt>
                <c:pt idx="1004">
                  <c:v>5831</c:v>
                </c:pt>
                <c:pt idx="1005">
                  <c:v>5831</c:v>
                </c:pt>
                <c:pt idx="1006">
                  <c:v>5831</c:v>
                </c:pt>
                <c:pt idx="1007">
                  <c:v>5831</c:v>
                </c:pt>
                <c:pt idx="1008">
                  <c:v>5831</c:v>
                </c:pt>
                <c:pt idx="1009">
                  <c:v>5831</c:v>
                </c:pt>
                <c:pt idx="1010">
                  <c:v>5831</c:v>
                </c:pt>
                <c:pt idx="1011">
                  <c:v>5831</c:v>
                </c:pt>
                <c:pt idx="1012">
                  <c:v>5831</c:v>
                </c:pt>
                <c:pt idx="1013">
                  <c:v>5831</c:v>
                </c:pt>
                <c:pt idx="1014">
                  <c:v>5831</c:v>
                </c:pt>
                <c:pt idx="1015">
                  <c:v>5831</c:v>
                </c:pt>
                <c:pt idx="1016">
                  <c:v>5831</c:v>
                </c:pt>
                <c:pt idx="1017">
                  <c:v>5831</c:v>
                </c:pt>
                <c:pt idx="1018">
                  <c:v>5831</c:v>
                </c:pt>
                <c:pt idx="1019">
                  <c:v>5831</c:v>
                </c:pt>
                <c:pt idx="1020">
                  <c:v>5831</c:v>
                </c:pt>
                <c:pt idx="1021">
                  <c:v>5831</c:v>
                </c:pt>
                <c:pt idx="1022">
                  <c:v>5831</c:v>
                </c:pt>
                <c:pt idx="1023">
                  <c:v>5831</c:v>
                </c:pt>
                <c:pt idx="1024">
                  <c:v>5831</c:v>
                </c:pt>
                <c:pt idx="1025">
                  <c:v>5831</c:v>
                </c:pt>
                <c:pt idx="1026">
                  <c:v>5831</c:v>
                </c:pt>
                <c:pt idx="1027">
                  <c:v>5831</c:v>
                </c:pt>
                <c:pt idx="1028">
                  <c:v>5831</c:v>
                </c:pt>
                <c:pt idx="1029">
                  <c:v>5831</c:v>
                </c:pt>
                <c:pt idx="1030">
                  <c:v>5831</c:v>
                </c:pt>
                <c:pt idx="1031">
                  <c:v>5831</c:v>
                </c:pt>
                <c:pt idx="1032">
                  <c:v>5831</c:v>
                </c:pt>
                <c:pt idx="1033">
                  <c:v>5831</c:v>
                </c:pt>
                <c:pt idx="1034">
                  <c:v>5831</c:v>
                </c:pt>
                <c:pt idx="1035">
                  <c:v>5831</c:v>
                </c:pt>
                <c:pt idx="1036">
                  <c:v>5831</c:v>
                </c:pt>
                <c:pt idx="1037">
                  <c:v>5831</c:v>
                </c:pt>
                <c:pt idx="1038">
                  <c:v>5831</c:v>
                </c:pt>
                <c:pt idx="1039">
                  <c:v>5831</c:v>
                </c:pt>
                <c:pt idx="1040">
                  <c:v>5831</c:v>
                </c:pt>
                <c:pt idx="1041">
                  <c:v>5831</c:v>
                </c:pt>
                <c:pt idx="1042">
                  <c:v>5831</c:v>
                </c:pt>
                <c:pt idx="1043">
                  <c:v>5831</c:v>
                </c:pt>
                <c:pt idx="1044">
                  <c:v>5831</c:v>
                </c:pt>
                <c:pt idx="1045">
                  <c:v>5831</c:v>
                </c:pt>
                <c:pt idx="1046">
                  <c:v>5831</c:v>
                </c:pt>
                <c:pt idx="1047">
                  <c:v>5831</c:v>
                </c:pt>
                <c:pt idx="1048">
                  <c:v>5831</c:v>
                </c:pt>
                <c:pt idx="1049">
                  <c:v>5831</c:v>
                </c:pt>
                <c:pt idx="1050">
                  <c:v>5831</c:v>
                </c:pt>
                <c:pt idx="1051">
                  <c:v>5831</c:v>
                </c:pt>
                <c:pt idx="1052">
                  <c:v>5831</c:v>
                </c:pt>
                <c:pt idx="1053">
                  <c:v>5831</c:v>
                </c:pt>
                <c:pt idx="1054">
                  <c:v>5831</c:v>
                </c:pt>
                <c:pt idx="1055">
                  <c:v>5831</c:v>
                </c:pt>
                <c:pt idx="1056">
                  <c:v>5831</c:v>
                </c:pt>
                <c:pt idx="1057">
                  <c:v>5831</c:v>
                </c:pt>
                <c:pt idx="1058">
                  <c:v>5831</c:v>
                </c:pt>
                <c:pt idx="1059">
                  <c:v>5831</c:v>
                </c:pt>
                <c:pt idx="1060">
                  <c:v>5831</c:v>
                </c:pt>
                <c:pt idx="1061">
                  <c:v>5831</c:v>
                </c:pt>
                <c:pt idx="1062">
                  <c:v>5831</c:v>
                </c:pt>
                <c:pt idx="1063">
                  <c:v>5831</c:v>
                </c:pt>
                <c:pt idx="1064">
                  <c:v>5831</c:v>
                </c:pt>
                <c:pt idx="1065">
                  <c:v>5831</c:v>
                </c:pt>
                <c:pt idx="1066">
                  <c:v>5831</c:v>
                </c:pt>
                <c:pt idx="1067">
                  <c:v>5831</c:v>
                </c:pt>
                <c:pt idx="1068">
                  <c:v>5831</c:v>
                </c:pt>
                <c:pt idx="1069">
                  <c:v>5831</c:v>
                </c:pt>
                <c:pt idx="1070">
                  <c:v>5831</c:v>
                </c:pt>
                <c:pt idx="1071">
                  <c:v>5831</c:v>
                </c:pt>
                <c:pt idx="1072">
                  <c:v>5831</c:v>
                </c:pt>
                <c:pt idx="1073">
                  <c:v>5831</c:v>
                </c:pt>
                <c:pt idx="1074">
                  <c:v>5831</c:v>
                </c:pt>
                <c:pt idx="1075">
                  <c:v>5831</c:v>
                </c:pt>
                <c:pt idx="1076">
                  <c:v>5831</c:v>
                </c:pt>
                <c:pt idx="1077">
                  <c:v>5831</c:v>
                </c:pt>
                <c:pt idx="1078">
                  <c:v>5831</c:v>
                </c:pt>
                <c:pt idx="1079">
                  <c:v>5831</c:v>
                </c:pt>
                <c:pt idx="1080">
                  <c:v>5831</c:v>
                </c:pt>
                <c:pt idx="1081">
                  <c:v>5831</c:v>
                </c:pt>
                <c:pt idx="1082">
                  <c:v>5831</c:v>
                </c:pt>
                <c:pt idx="1083">
                  <c:v>5831</c:v>
                </c:pt>
                <c:pt idx="1084">
                  <c:v>5831</c:v>
                </c:pt>
                <c:pt idx="1085">
                  <c:v>5831</c:v>
                </c:pt>
                <c:pt idx="1086">
                  <c:v>5831</c:v>
                </c:pt>
                <c:pt idx="1087">
                  <c:v>5831</c:v>
                </c:pt>
                <c:pt idx="1088">
                  <c:v>5831</c:v>
                </c:pt>
                <c:pt idx="1089">
                  <c:v>5831</c:v>
                </c:pt>
                <c:pt idx="1090">
                  <c:v>5831</c:v>
                </c:pt>
                <c:pt idx="1091">
                  <c:v>5831</c:v>
                </c:pt>
                <c:pt idx="1092">
                  <c:v>5831</c:v>
                </c:pt>
                <c:pt idx="1093">
                  <c:v>5831</c:v>
                </c:pt>
                <c:pt idx="1094">
                  <c:v>5831</c:v>
                </c:pt>
                <c:pt idx="1095">
                  <c:v>5831</c:v>
                </c:pt>
                <c:pt idx="1096">
                  <c:v>5831</c:v>
                </c:pt>
                <c:pt idx="1097">
                  <c:v>5831</c:v>
                </c:pt>
                <c:pt idx="1098">
                  <c:v>5831</c:v>
                </c:pt>
                <c:pt idx="1099">
                  <c:v>5831</c:v>
                </c:pt>
                <c:pt idx="1100">
                  <c:v>5831</c:v>
                </c:pt>
                <c:pt idx="1101">
                  <c:v>5831</c:v>
                </c:pt>
                <c:pt idx="1102">
                  <c:v>5831</c:v>
                </c:pt>
                <c:pt idx="1103">
                  <c:v>5831</c:v>
                </c:pt>
                <c:pt idx="1104">
                  <c:v>5831</c:v>
                </c:pt>
                <c:pt idx="1105">
                  <c:v>5831</c:v>
                </c:pt>
                <c:pt idx="1106">
                  <c:v>5831</c:v>
                </c:pt>
                <c:pt idx="1107">
                  <c:v>5831</c:v>
                </c:pt>
                <c:pt idx="1108">
                  <c:v>5831</c:v>
                </c:pt>
                <c:pt idx="1109">
                  <c:v>5831</c:v>
                </c:pt>
                <c:pt idx="1110">
                  <c:v>5831</c:v>
                </c:pt>
                <c:pt idx="1111">
                  <c:v>5831</c:v>
                </c:pt>
                <c:pt idx="1112">
                  <c:v>5831</c:v>
                </c:pt>
                <c:pt idx="1113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1-4397-87F8-4618E103A398}"/>
            </c:ext>
          </c:extLst>
        </c:ser>
        <c:ser>
          <c:idx val="3"/>
          <c:order val="6"/>
          <c:tx>
            <c:strRef>
              <c:f>Pages!$H$1</c:f>
              <c:strCache>
                <c:ptCount val="1"/>
                <c:pt idx="0">
                  <c:v>Cumulative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[0]!PagesCum2025All</c:f>
              <c:numCache>
                <c:formatCode>General</c:formatCode>
                <c:ptCount val="8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53</c:v>
                </c:pt>
                <c:pt idx="458">
                  <c:v>85</c:v>
                </c:pt>
                <c:pt idx="459">
                  <c:v>85</c:v>
                </c:pt>
                <c:pt idx="460">
                  <c:v>85</c:v>
                </c:pt>
                <c:pt idx="461">
                  <c:v>85</c:v>
                </c:pt>
                <c:pt idx="462">
                  <c:v>85</c:v>
                </c:pt>
                <c:pt idx="463">
                  <c:v>85</c:v>
                </c:pt>
                <c:pt idx="464">
                  <c:v>85</c:v>
                </c:pt>
                <c:pt idx="465">
                  <c:v>85</c:v>
                </c:pt>
                <c:pt idx="466">
                  <c:v>85</c:v>
                </c:pt>
                <c:pt idx="467">
                  <c:v>85</c:v>
                </c:pt>
                <c:pt idx="468">
                  <c:v>85</c:v>
                </c:pt>
                <c:pt idx="469">
                  <c:v>107</c:v>
                </c:pt>
                <c:pt idx="470">
                  <c:v>122</c:v>
                </c:pt>
                <c:pt idx="471">
                  <c:v>122</c:v>
                </c:pt>
                <c:pt idx="472">
                  <c:v>156</c:v>
                </c:pt>
                <c:pt idx="473">
                  <c:v>156</c:v>
                </c:pt>
                <c:pt idx="474">
                  <c:v>156</c:v>
                </c:pt>
                <c:pt idx="475">
                  <c:v>156</c:v>
                </c:pt>
                <c:pt idx="476">
                  <c:v>156</c:v>
                </c:pt>
                <c:pt idx="477">
                  <c:v>156</c:v>
                </c:pt>
                <c:pt idx="478">
                  <c:v>156</c:v>
                </c:pt>
                <c:pt idx="479">
                  <c:v>156</c:v>
                </c:pt>
                <c:pt idx="480">
                  <c:v>156</c:v>
                </c:pt>
                <c:pt idx="481">
                  <c:v>156</c:v>
                </c:pt>
                <c:pt idx="482">
                  <c:v>156</c:v>
                </c:pt>
                <c:pt idx="483">
                  <c:v>156</c:v>
                </c:pt>
                <c:pt idx="484">
                  <c:v>189</c:v>
                </c:pt>
                <c:pt idx="485">
                  <c:v>277</c:v>
                </c:pt>
                <c:pt idx="486">
                  <c:v>277</c:v>
                </c:pt>
                <c:pt idx="487">
                  <c:v>315</c:v>
                </c:pt>
                <c:pt idx="488">
                  <c:v>315</c:v>
                </c:pt>
                <c:pt idx="489">
                  <c:v>349</c:v>
                </c:pt>
                <c:pt idx="490">
                  <c:v>349</c:v>
                </c:pt>
                <c:pt idx="491">
                  <c:v>349</c:v>
                </c:pt>
                <c:pt idx="492">
                  <c:v>478</c:v>
                </c:pt>
                <c:pt idx="493">
                  <c:v>478</c:v>
                </c:pt>
                <c:pt idx="494">
                  <c:v>478</c:v>
                </c:pt>
                <c:pt idx="495">
                  <c:v>497</c:v>
                </c:pt>
                <c:pt idx="496">
                  <c:v>522</c:v>
                </c:pt>
                <c:pt idx="497">
                  <c:v>545</c:v>
                </c:pt>
                <c:pt idx="498">
                  <c:v>545</c:v>
                </c:pt>
                <c:pt idx="499">
                  <c:v>617</c:v>
                </c:pt>
                <c:pt idx="500">
                  <c:v>663</c:v>
                </c:pt>
                <c:pt idx="501">
                  <c:v>675</c:v>
                </c:pt>
                <c:pt idx="502">
                  <c:v>675</c:v>
                </c:pt>
                <c:pt idx="503">
                  <c:v>675</c:v>
                </c:pt>
                <c:pt idx="504">
                  <c:v>675</c:v>
                </c:pt>
                <c:pt idx="505">
                  <c:v>675</c:v>
                </c:pt>
                <c:pt idx="506">
                  <c:v>675</c:v>
                </c:pt>
                <c:pt idx="507">
                  <c:v>782</c:v>
                </c:pt>
                <c:pt idx="508">
                  <c:v>782</c:v>
                </c:pt>
                <c:pt idx="509">
                  <c:v>782</c:v>
                </c:pt>
                <c:pt idx="510">
                  <c:v>782</c:v>
                </c:pt>
                <c:pt idx="511">
                  <c:v>782</c:v>
                </c:pt>
                <c:pt idx="512">
                  <c:v>782</c:v>
                </c:pt>
                <c:pt idx="513">
                  <c:v>782</c:v>
                </c:pt>
                <c:pt idx="514">
                  <c:v>782</c:v>
                </c:pt>
                <c:pt idx="515">
                  <c:v>782</c:v>
                </c:pt>
                <c:pt idx="516">
                  <c:v>782</c:v>
                </c:pt>
                <c:pt idx="517">
                  <c:v>782</c:v>
                </c:pt>
                <c:pt idx="518">
                  <c:v>782</c:v>
                </c:pt>
                <c:pt idx="519">
                  <c:v>782</c:v>
                </c:pt>
                <c:pt idx="520">
                  <c:v>782</c:v>
                </c:pt>
                <c:pt idx="521">
                  <c:v>782</c:v>
                </c:pt>
                <c:pt idx="522">
                  <c:v>782</c:v>
                </c:pt>
                <c:pt idx="523">
                  <c:v>782</c:v>
                </c:pt>
                <c:pt idx="524">
                  <c:v>782</c:v>
                </c:pt>
                <c:pt idx="525">
                  <c:v>782</c:v>
                </c:pt>
                <c:pt idx="526">
                  <c:v>782</c:v>
                </c:pt>
                <c:pt idx="527">
                  <c:v>782</c:v>
                </c:pt>
                <c:pt idx="528">
                  <c:v>782</c:v>
                </c:pt>
                <c:pt idx="529">
                  <c:v>782</c:v>
                </c:pt>
                <c:pt idx="530">
                  <c:v>782</c:v>
                </c:pt>
                <c:pt idx="531">
                  <c:v>782</c:v>
                </c:pt>
                <c:pt idx="532">
                  <c:v>782</c:v>
                </c:pt>
                <c:pt idx="533">
                  <c:v>782</c:v>
                </c:pt>
                <c:pt idx="534">
                  <c:v>782</c:v>
                </c:pt>
                <c:pt idx="535">
                  <c:v>782</c:v>
                </c:pt>
                <c:pt idx="536">
                  <c:v>782</c:v>
                </c:pt>
                <c:pt idx="537">
                  <c:v>782</c:v>
                </c:pt>
                <c:pt idx="538">
                  <c:v>782</c:v>
                </c:pt>
                <c:pt idx="539">
                  <c:v>782</c:v>
                </c:pt>
                <c:pt idx="540">
                  <c:v>782</c:v>
                </c:pt>
                <c:pt idx="541">
                  <c:v>782</c:v>
                </c:pt>
                <c:pt idx="542">
                  <c:v>782</c:v>
                </c:pt>
                <c:pt idx="543">
                  <c:v>782</c:v>
                </c:pt>
                <c:pt idx="544">
                  <c:v>782</c:v>
                </c:pt>
                <c:pt idx="545">
                  <c:v>782</c:v>
                </c:pt>
                <c:pt idx="546">
                  <c:v>782</c:v>
                </c:pt>
                <c:pt idx="547">
                  <c:v>782</c:v>
                </c:pt>
                <c:pt idx="548">
                  <c:v>782</c:v>
                </c:pt>
                <c:pt idx="549">
                  <c:v>782</c:v>
                </c:pt>
                <c:pt idx="550">
                  <c:v>782</c:v>
                </c:pt>
                <c:pt idx="551">
                  <c:v>782</c:v>
                </c:pt>
                <c:pt idx="552">
                  <c:v>782</c:v>
                </c:pt>
                <c:pt idx="553">
                  <c:v>782</c:v>
                </c:pt>
                <c:pt idx="554">
                  <c:v>782</c:v>
                </c:pt>
                <c:pt idx="555">
                  <c:v>782</c:v>
                </c:pt>
                <c:pt idx="556">
                  <c:v>782</c:v>
                </c:pt>
                <c:pt idx="557">
                  <c:v>782</c:v>
                </c:pt>
                <c:pt idx="558">
                  <c:v>782</c:v>
                </c:pt>
                <c:pt idx="559">
                  <c:v>782</c:v>
                </c:pt>
                <c:pt idx="560">
                  <c:v>782</c:v>
                </c:pt>
                <c:pt idx="561">
                  <c:v>782</c:v>
                </c:pt>
                <c:pt idx="562">
                  <c:v>782</c:v>
                </c:pt>
                <c:pt idx="563">
                  <c:v>782</c:v>
                </c:pt>
                <c:pt idx="564">
                  <c:v>782</c:v>
                </c:pt>
                <c:pt idx="565">
                  <c:v>782</c:v>
                </c:pt>
                <c:pt idx="566">
                  <c:v>782</c:v>
                </c:pt>
                <c:pt idx="567">
                  <c:v>782</c:v>
                </c:pt>
                <c:pt idx="568">
                  <c:v>782</c:v>
                </c:pt>
                <c:pt idx="569">
                  <c:v>782</c:v>
                </c:pt>
                <c:pt idx="570">
                  <c:v>782</c:v>
                </c:pt>
                <c:pt idx="571">
                  <c:v>782</c:v>
                </c:pt>
                <c:pt idx="572">
                  <c:v>782</c:v>
                </c:pt>
                <c:pt idx="573">
                  <c:v>782</c:v>
                </c:pt>
                <c:pt idx="574">
                  <c:v>782</c:v>
                </c:pt>
                <c:pt idx="575">
                  <c:v>782</c:v>
                </c:pt>
                <c:pt idx="576">
                  <c:v>782</c:v>
                </c:pt>
                <c:pt idx="577">
                  <c:v>782</c:v>
                </c:pt>
                <c:pt idx="578">
                  <c:v>782</c:v>
                </c:pt>
                <c:pt idx="579">
                  <c:v>782</c:v>
                </c:pt>
                <c:pt idx="580">
                  <c:v>827</c:v>
                </c:pt>
                <c:pt idx="581">
                  <c:v>827</c:v>
                </c:pt>
                <c:pt idx="582">
                  <c:v>827</c:v>
                </c:pt>
                <c:pt idx="583">
                  <c:v>827</c:v>
                </c:pt>
                <c:pt idx="584">
                  <c:v>827</c:v>
                </c:pt>
                <c:pt idx="585">
                  <c:v>827</c:v>
                </c:pt>
                <c:pt idx="586">
                  <c:v>827</c:v>
                </c:pt>
                <c:pt idx="587">
                  <c:v>827</c:v>
                </c:pt>
                <c:pt idx="588">
                  <c:v>827</c:v>
                </c:pt>
                <c:pt idx="589">
                  <c:v>827</c:v>
                </c:pt>
                <c:pt idx="590">
                  <c:v>827</c:v>
                </c:pt>
                <c:pt idx="591">
                  <c:v>827</c:v>
                </c:pt>
                <c:pt idx="592">
                  <c:v>827</c:v>
                </c:pt>
                <c:pt idx="593">
                  <c:v>827</c:v>
                </c:pt>
                <c:pt idx="594">
                  <c:v>827</c:v>
                </c:pt>
                <c:pt idx="595">
                  <c:v>827</c:v>
                </c:pt>
                <c:pt idx="596">
                  <c:v>827</c:v>
                </c:pt>
                <c:pt idx="597">
                  <c:v>827</c:v>
                </c:pt>
                <c:pt idx="598">
                  <c:v>827</c:v>
                </c:pt>
                <c:pt idx="599">
                  <c:v>827</c:v>
                </c:pt>
                <c:pt idx="600">
                  <c:v>827</c:v>
                </c:pt>
                <c:pt idx="601">
                  <c:v>827</c:v>
                </c:pt>
                <c:pt idx="602">
                  <c:v>827</c:v>
                </c:pt>
                <c:pt idx="603">
                  <c:v>827</c:v>
                </c:pt>
                <c:pt idx="604">
                  <c:v>827</c:v>
                </c:pt>
                <c:pt idx="605">
                  <c:v>827</c:v>
                </c:pt>
                <c:pt idx="606">
                  <c:v>827</c:v>
                </c:pt>
                <c:pt idx="607">
                  <c:v>827</c:v>
                </c:pt>
                <c:pt idx="608">
                  <c:v>831</c:v>
                </c:pt>
                <c:pt idx="609">
                  <c:v>831</c:v>
                </c:pt>
                <c:pt idx="610">
                  <c:v>831</c:v>
                </c:pt>
                <c:pt idx="611">
                  <c:v>831</c:v>
                </c:pt>
                <c:pt idx="612">
                  <c:v>831</c:v>
                </c:pt>
                <c:pt idx="613">
                  <c:v>831</c:v>
                </c:pt>
                <c:pt idx="614">
                  <c:v>831</c:v>
                </c:pt>
                <c:pt idx="615">
                  <c:v>831</c:v>
                </c:pt>
                <c:pt idx="616">
                  <c:v>831</c:v>
                </c:pt>
                <c:pt idx="617">
                  <c:v>831</c:v>
                </c:pt>
                <c:pt idx="618">
                  <c:v>831</c:v>
                </c:pt>
                <c:pt idx="619">
                  <c:v>831</c:v>
                </c:pt>
                <c:pt idx="620">
                  <c:v>831</c:v>
                </c:pt>
                <c:pt idx="621">
                  <c:v>831</c:v>
                </c:pt>
                <c:pt idx="622">
                  <c:v>831</c:v>
                </c:pt>
                <c:pt idx="623">
                  <c:v>831</c:v>
                </c:pt>
                <c:pt idx="624">
                  <c:v>831</c:v>
                </c:pt>
                <c:pt idx="625">
                  <c:v>831</c:v>
                </c:pt>
                <c:pt idx="626">
                  <c:v>831</c:v>
                </c:pt>
                <c:pt idx="627">
                  <c:v>831</c:v>
                </c:pt>
                <c:pt idx="628">
                  <c:v>831</c:v>
                </c:pt>
                <c:pt idx="629">
                  <c:v>831</c:v>
                </c:pt>
                <c:pt idx="630">
                  <c:v>831</c:v>
                </c:pt>
                <c:pt idx="631">
                  <c:v>831</c:v>
                </c:pt>
                <c:pt idx="632">
                  <c:v>831</c:v>
                </c:pt>
                <c:pt idx="633">
                  <c:v>831</c:v>
                </c:pt>
                <c:pt idx="634">
                  <c:v>831</c:v>
                </c:pt>
                <c:pt idx="635">
                  <c:v>831</c:v>
                </c:pt>
                <c:pt idx="636">
                  <c:v>831</c:v>
                </c:pt>
                <c:pt idx="637">
                  <c:v>831</c:v>
                </c:pt>
                <c:pt idx="638">
                  <c:v>831</c:v>
                </c:pt>
                <c:pt idx="639">
                  <c:v>831</c:v>
                </c:pt>
                <c:pt idx="640">
                  <c:v>831</c:v>
                </c:pt>
                <c:pt idx="641">
                  <c:v>831</c:v>
                </c:pt>
                <c:pt idx="642">
                  <c:v>831</c:v>
                </c:pt>
                <c:pt idx="643">
                  <c:v>831</c:v>
                </c:pt>
                <c:pt idx="644">
                  <c:v>831</c:v>
                </c:pt>
                <c:pt idx="645">
                  <c:v>831</c:v>
                </c:pt>
                <c:pt idx="646">
                  <c:v>831</c:v>
                </c:pt>
                <c:pt idx="647">
                  <c:v>831</c:v>
                </c:pt>
                <c:pt idx="648">
                  <c:v>831</c:v>
                </c:pt>
                <c:pt idx="649">
                  <c:v>831</c:v>
                </c:pt>
                <c:pt idx="650">
                  <c:v>831</c:v>
                </c:pt>
                <c:pt idx="651">
                  <c:v>831</c:v>
                </c:pt>
                <c:pt idx="652">
                  <c:v>831</c:v>
                </c:pt>
                <c:pt idx="653">
                  <c:v>831</c:v>
                </c:pt>
                <c:pt idx="654">
                  <c:v>831</c:v>
                </c:pt>
                <c:pt idx="655">
                  <c:v>831</c:v>
                </c:pt>
                <c:pt idx="656">
                  <c:v>831</c:v>
                </c:pt>
                <c:pt idx="657">
                  <c:v>831</c:v>
                </c:pt>
                <c:pt idx="658">
                  <c:v>831</c:v>
                </c:pt>
                <c:pt idx="659">
                  <c:v>831</c:v>
                </c:pt>
                <c:pt idx="660">
                  <c:v>831</c:v>
                </c:pt>
                <c:pt idx="661">
                  <c:v>831</c:v>
                </c:pt>
                <c:pt idx="662">
                  <c:v>831</c:v>
                </c:pt>
                <c:pt idx="663">
                  <c:v>831</c:v>
                </c:pt>
                <c:pt idx="664">
                  <c:v>831</c:v>
                </c:pt>
                <c:pt idx="665">
                  <c:v>831</c:v>
                </c:pt>
                <c:pt idx="666">
                  <c:v>831</c:v>
                </c:pt>
                <c:pt idx="667">
                  <c:v>831</c:v>
                </c:pt>
                <c:pt idx="668">
                  <c:v>831</c:v>
                </c:pt>
                <c:pt idx="669">
                  <c:v>831</c:v>
                </c:pt>
                <c:pt idx="670">
                  <c:v>831</c:v>
                </c:pt>
                <c:pt idx="671">
                  <c:v>831</c:v>
                </c:pt>
                <c:pt idx="672">
                  <c:v>831</c:v>
                </c:pt>
                <c:pt idx="673">
                  <c:v>831</c:v>
                </c:pt>
                <c:pt idx="674">
                  <c:v>868</c:v>
                </c:pt>
                <c:pt idx="675">
                  <c:v>868</c:v>
                </c:pt>
                <c:pt idx="676">
                  <c:v>868</c:v>
                </c:pt>
                <c:pt idx="677">
                  <c:v>868</c:v>
                </c:pt>
                <c:pt idx="678">
                  <c:v>868</c:v>
                </c:pt>
                <c:pt idx="679">
                  <c:v>911</c:v>
                </c:pt>
                <c:pt idx="680">
                  <c:v>911</c:v>
                </c:pt>
                <c:pt idx="681">
                  <c:v>936</c:v>
                </c:pt>
                <c:pt idx="682">
                  <c:v>936</c:v>
                </c:pt>
                <c:pt idx="683">
                  <c:v>936</c:v>
                </c:pt>
                <c:pt idx="684">
                  <c:v>936</c:v>
                </c:pt>
                <c:pt idx="685">
                  <c:v>936</c:v>
                </c:pt>
                <c:pt idx="686">
                  <c:v>979</c:v>
                </c:pt>
                <c:pt idx="687">
                  <c:v>979</c:v>
                </c:pt>
                <c:pt idx="688">
                  <c:v>1009</c:v>
                </c:pt>
                <c:pt idx="689">
                  <c:v>1134</c:v>
                </c:pt>
                <c:pt idx="690">
                  <c:v>1134</c:v>
                </c:pt>
                <c:pt idx="691">
                  <c:v>1134</c:v>
                </c:pt>
                <c:pt idx="692">
                  <c:v>1134</c:v>
                </c:pt>
                <c:pt idx="693">
                  <c:v>1134</c:v>
                </c:pt>
                <c:pt idx="694">
                  <c:v>1134</c:v>
                </c:pt>
                <c:pt idx="695">
                  <c:v>1134</c:v>
                </c:pt>
                <c:pt idx="696">
                  <c:v>1134</c:v>
                </c:pt>
                <c:pt idx="697">
                  <c:v>1134</c:v>
                </c:pt>
                <c:pt idx="698">
                  <c:v>1134</c:v>
                </c:pt>
                <c:pt idx="699">
                  <c:v>1134</c:v>
                </c:pt>
                <c:pt idx="700">
                  <c:v>1134</c:v>
                </c:pt>
                <c:pt idx="701">
                  <c:v>1134</c:v>
                </c:pt>
                <c:pt idx="702">
                  <c:v>1134</c:v>
                </c:pt>
                <c:pt idx="703">
                  <c:v>1134</c:v>
                </c:pt>
                <c:pt idx="704">
                  <c:v>1134</c:v>
                </c:pt>
                <c:pt idx="705">
                  <c:v>1134</c:v>
                </c:pt>
                <c:pt idx="706">
                  <c:v>1134</c:v>
                </c:pt>
                <c:pt idx="707">
                  <c:v>1134</c:v>
                </c:pt>
                <c:pt idx="708">
                  <c:v>1134</c:v>
                </c:pt>
                <c:pt idx="709">
                  <c:v>1134</c:v>
                </c:pt>
                <c:pt idx="710">
                  <c:v>1134</c:v>
                </c:pt>
                <c:pt idx="711">
                  <c:v>1134</c:v>
                </c:pt>
                <c:pt idx="712">
                  <c:v>1199</c:v>
                </c:pt>
                <c:pt idx="713">
                  <c:v>1285</c:v>
                </c:pt>
                <c:pt idx="714">
                  <c:v>1322</c:v>
                </c:pt>
                <c:pt idx="715">
                  <c:v>1343</c:v>
                </c:pt>
                <c:pt idx="716">
                  <c:v>1343</c:v>
                </c:pt>
                <c:pt idx="717">
                  <c:v>1343</c:v>
                </c:pt>
                <c:pt idx="718">
                  <c:v>1377</c:v>
                </c:pt>
                <c:pt idx="719">
                  <c:v>1377</c:v>
                </c:pt>
                <c:pt idx="720">
                  <c:v>1377</c:v>
                </c:pt>
                <c:pt idx="721">
                  <c:v>1377</c:v>
                </c:pt>
                <c:pt idx="722">
                  <c:v>1377</c:v>
                </c:pt>
                <c:pt idx="723">
                  <c:v>1377</c:v>
                </c:pt>
                <c:pt idx="724">
                  <c:v>1377</c:v>
                </c:pt>
                <c:pt idx="725">
                  <c:v>1377</c:v>
                </c:pt>
                <c:pt idx="726">
                  <c:v>1377</c:v>
                </c:pt>
                <c:pt idx="727">
                  <c:v>1377</c:v>
                </c:pt>
                <c:pt idx="728">
                  <c:v>1377</c:v>
                </c:pt>
                <c:pt idx="729">
                  <c:v>1377</c:v>
                </c:pt>
                <c:pt idx="730">
                  <c:v>1377</c:v>
                </c:pt>
                <c:pt idx="731">
                  <c:v>1377</c:v>
                </c:pt>
                <c:pt idx="732">
                  <c:v>1377</c:v>
                </c:pt>
                <c:pt idx="733">
                  <c:v>1377</c:v>
                </c:pt>
                <c:pt idx="734">
                  <c:v>1377</c:v>
                </c:pt>
                <c:pt idx="735">
                  <c:v>1377</c:v>
                </c:pt>
                <c:pt idx="736">
                  <c:v>1377</c:v>
                </c:pt>
                <c:pt idx="737">
                  <c:v>1377</c:v>
                </c:pt>
                <c:pt idx="738">
                  <c:v>1377</c:v>
                </c:pt>
                <c:pt idx="739">
                  <c:v>1377</c:v>
                </c:pt>
                <c:pt idx="740">
                  <c:v>1377</c:v>
                </c:pt>
                <c:pt idx="741">
                  <c:v>1377</c:v>
                </c:pt>
                <c:pt idx="742">
                  <c:v>1377</c:v>
                </c:pt>
                <c:pt idx="743">
                  <c:v>1377</c:v>
                </c:pt>
                <c:pt idx="744">
                  <c:v>1377</c:v>
                </c:pt>
                <c:pt idx="745">
                  <c:v>1377</c:v>
                </c:pt>
                <c:pt idx="746">
                  <c:v>1377</c:v>
                </c:pt>
                <c:pt idx="747">
                  <c:v>1377</c:v>
                </c:pt>
                <c:pt idx="748">
                  <c:v>1377</c:v>
                </c:pt>
                <c:pt idx="749">
                  <c:v>1377</c:v>
                </c:pt>
                <c:pt idx="750">
                  <c:v>1377</c:v>
                </c:pt>
                <c:pt idx="751">
                  <c:v>1377</c:v>
                </c:pt>
                <c:pt idx="752">
                  <c:v>1377</c:v>
                </c:pt>
                <c:pt idx="753">
                  <c:v>1377</c:v>
                </c:pt>
                <c:pt idx="754">
                  <c:v>1377</c:v>
                </c:pt>
                <c:pt idx="755">
                  <c:v>1377</c:v>
                </c:pt>
                <c:pt idx="756">
                  <c:v>1377</c:v>
                </c:pt>
                <c:pt idx="757">
                  <c:v>1377</c:v>
                </c:pt>
                <c:pt idx="758">
                  <c:v>1377</c:v>
                </c:pt>
                <c:pt idx="759">
                  <c:v>1377</c:v>
                </c:pt>
                <c:pt idx="760">
                  <c:v>1377</c:v>
                </c:pt>
                <c:pt idx="761">
                  <c:v>1377</c:v>
                </c:pt>
                <c:pt idx="762">
                  <c:v>1377</c:v>
                </c:pt>
                <c:pt idx="763">
                  <c:v>1377</c:v>
                </c:pt>
                <c:pt idx="764">
                  <c:v>1377</c:v>
                </c:pt>
                <c:pt idx="765">
                  <c:v>1377</c:v>
                </c:pt>
                <c:pt idx="766">
                  <c:v>1377</c:v>
                </c:pt>
                <c:pt idx="767">
                  <c:v>1377</c:v>
                </c:pt>
                <c:pt idx="768">
                  <c:v>1377</c:v>
                </c:pt>
                <c:pt idx="769">
                  <c:v>1377</c:v>
                </c:pt>
                <c:pt idx="770">
                  <c:v>1377</c:v>
                </c:pt>
                <c:pt idx="771">
                  <c:v>1377</c:v>
                </c:pt>
                <c:pt idx="772">
                  <c:v>1377</c:v>
                </c:pt>
                <c:pt idx="773">
                  <c:v>1377</c:v>
                </c:pt>
                <c:pt idx="774">
                  <c:v>1377</c:v>
                </c:pt>
                <c:pt idx="775">
                  <c:v>1377</c:v>
                </c:pt>
                <c:pt idx="776">
                  <c:v>1377</c:v>
                </c:pt>
                <c:pt idx="777">
                  <c:v>1377</c:v>
                </c:pt>
                <c:pt idx="778">
                  <c:v>1377</c:v>
                </c:pt>
                <c:pt idx="779">
                  <c:v>1377</c:v>
                </c:pt>
                <c:pt idx="780">
                  <c:v>1377</c:v>
                </c:pt>
                <c:pt idx="781">
                  <c:v>1377</c:v>
                </c:pt>
                <c:pt idx="782">
                  <c:v>1377</c:v>
                </c:pt>
                <c:pt idx="783">
                  <c:v>1377</c:v>
                </c:pt>
                <c:pt idx="784">
                  <c:v>1377</c:v>
                </c:pt>
                <c:pt idx="785">
                  <c:v>1377</c:v>
                </c:pt>
                <c:pt idx="786">
                  <c:v>1377</c:v>
                </c:pt>
                <c:pt idx="787">
                  <c:v>1377</c:v>
                </c:pt>
                <c:pt idx="788">
                  <c:v>1377</c:v>
                </c:pt>
                <c:pt idx="789">
                  <c:v>1377</c:v>
                </c:pt>
                <c:pt idx="790">
                  <c:v>1377</c:v>
                </c:pt>
                <c:pt idx="791">
                  <c:v>1377</c:v>
                </c:pt>
                <c:pt idx="792">
                  <c:v>1377</c:v>
                </c:pt>
                <c:pt idx="793">
                  <c:v>1377</c:v>
                </c:pt>
                <c:pt idx="794">
                  <c:v>1377</c:v>
                </c:pt>
                <c:pt idx="795">
                  <c:v>1377</c:v>
                </c:pt>
                <c:pt idx="796">
                  <c:v>1377</c:v>
                </c:pt>
                <c:pt idx="797">
                  <c:v>1377</c:v>
                </c:pt>
                <c:pt idx="798">
                  <c:v>1377</c:v>
                </c:pt>
                <c:pt idx="799">
                  <c:v>1377</c:v>
                </c:pt>
                <c:pt idx="800">
                  <c:v>1377</c:v>
                </c:pt>
                <c:pt idx="801">
                  <c:v>1377</c:v>
                </c:pt>
                <c:pt idx="802">
                  <c:v>1377</c:v>
                </c:pt>
                <c:pt idx="803">
                  <c:v>1377</c:v>
                </c:pt>
                <c:pt idx="804">
                  <c:v>1377</c:v>
                </c:pt>
                <c:pt idx="805">
                  <c:v>1377</c:v>
                </c:pt>
                <c:pt idx="806">
                  <c:v>1377</c:v>
                </c:pt>
                <c:pt idx="807">
                  <c:v>1377</c:v>
                </c:pt>
                <c:pt idx="808">
                  <c:v>1377</c:v>
                </c:pt>
                <c:pt idx="809">
                  <c:v>1377</c:v>
                </c:pt>
                <c:pt idx="810">
                  <c:v>1377</c:v>
                </c:pt>
                <c:pt idx="811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61-4397-87F8-4618E103A398}"/>
            </c:ext>
          </c:extLst>
        </c:ser>
        <c:ser>
          <c:idx val="7"/>
          <c:order val="7"/>
          <c:tx>
            <c:strRef>
              <c:f>Pages!$I$1</c:f>
              <c:strCache>
                <c:ptCount val="1"/>
                <c:pt idx="0">
                  <c:v>Max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[0]!PagesMax2025</c:f>
              <c:numCache>
                <c:formatCode>General</c:formatCode>
                <c:ptCount val="1114"/>
                <c:pt idx="0">
                  <c:v>1377</c:v>
                </c:pt>
                <c:pt idx="1">
                  <c:v>1377</c:v>
                </c:pt>
                <c:pt idx="2">
                  <c:v>1377</c:v>
                </c:pt>
                <c:pt idx="3">
                  <c:v>1377</c:v>
                </c:pt>
                <c:pt idx="4">
                  <c:v>1377</c:v>
                </c:pt>
                <c:pt idx="5">
                  <c:v>1377</c:v>
                </c:pt>
                <c:pt idx="6">
                  <c:v>1377</c:v>
                </c:pt>
                <c:pt idx="7">
                  <c:v>1377</c:v>
                </c:pt>
                <c:pt idx="8">
                  <c:v>1377</c:v>
                </c:pt>
                <c:pt idx="9">
                  <c:v>1377</c:v>
                </c:pt>
                <c:pt idx="10">
                  <c:v>1377</c:v>
                </c:pt>
                <c:pt idx="11">
                  <c:v>1377</c:v>
                </c:pt>
                <c:pt idx="12">
                  <c:v>1377</c:v>
                </c:pt>
                <c:pt idx="13">
                  <c:v>1377</c:v>
                </c:pt>
                <c:pt idx="14">
                  <c:v>1377</c:v>
                </c:pt>
                <c:pt idx="15">
                  <c:v>1377</c:v>
                </c:pt>
                <c:pt idx="16">
                  <c:v>1377</c:v>
                </c:pt>
                <c:pt idx="17">
                  <c:v>1377</c:v>
                </c:pt>
                <c:pt idx="18">
                  <c:v>1377</c:v>
                </c:pt>
                <c:pt idx="19">
                  <c:v>1377</c:v>
                </c:pt>
                <c:pt idx="20">
                  <c:v>1377</c:v>
                </c:pt>
                <c:pt idx="21">
                  <c:v>1377</c:v>
                </c:pt>
                <c:pt idx="22">
                  <c:v>1377</c:v>
                </c:pt>
                <c:pt idx="23">
                  <c:v>1377</c:v>
                </c:pt>
                <c:pt idx="24">
                  <c:v>1377</c:v>
                </c:pt>
                <c:pt idx="25">
                  <c:v>1377</c:v>
                </c:pt>
                <c:pt idx="26">
                  <c:v>1377</c:v>
                </c:pt>
                <c:pt idx="27">
                  <c:v>1377</c:v>
                </c:pt>
                <c:pt idx="28">
                  <c:v>1377</c:v>
                </c:pt>
                <c:pt idx="29">
                  <c:v>1377</c:v>
                </c:pt>
                <c:pt idx="30">
                  <c:v>1377</c:v>
                </c:pt>
                <c:pt idx="31">
                  <c:v>1377</c:v>
                </c:pt>
                <c:pt idx="32">
                  <c:v>1377</c:v>
                </c:pt>
                <c:pt idx="33">
                  <c:v>1377</c:v>
                </c:pt>
                <c:pt idx="34">
                  <c:v>1377</c:v>
                </c:pt>
                <c:pt idx="35">
                  <c:v>1377</c:v>
                </c:pt>
                <c:pt idx="36">
                  <c:v>1377</c:v>
                </c:pt>
                <c:pt idx="37">
                  <c:v>1377</c:v>
                </c:pt>
                <c:pt idx="38">
                  <c:v>1377</c:v>
                </c:pt>
                <c:pt idx="39">
                  <c:v>1377</c:v>
                </c:pt>
                <c:pt idx="40">
                  <c:v>1377</c:v>
                </c:pt>
                <c:pt idx="41">
                  <c:v>1377</c:v>
                </c:pt>
                <c:pt idx="42">
                  <c:v>1377</c:v>
                </c:pt>
                <c:pt idx="43">
                  <c:v>1377</c:v>
                </c:pt>
                <c:pt idx="44">
                  <c:v>1377</c:v>
                </c:pt>
                <c:pt idx="45">
                  <c:v>1377</c:v>
                </c:pt>
                <c:pt idx="46">
                  <c:v>1377</c:v>
                </c:pt>
                <c:pt idx="47">
                  <c:v>1377</c:v>
                </c:pt>
                <c:pt idx="48">
                  <c:v>1377</c:v>
                </c:pt>
                <c:pt idx="49">
                  <c:v>1377</c:v>
                </c:pt>
                <c:pt idx="50">
                  <c:v>1377</c:v>
                </c:pt>
                <c:pt idx="51">
                  <c:v>1377</c:v>
                </c:pt>
                <c:pt idx="52">
                  <c:v>1377</c:v>
                </c:pt>
                <c:pt idx="53">
                  <c:v>1377</c:v>
                </c:pt>
                <c:pt idx="54">
                  <c:v>1377</c:v>
                </c:pt>
                <c:pt idx="55">
                  <c:v>1377</c:v>
                </c:pt>
                <c:pt idx="56">
                  <c:v>1377</c:v>
                </c:pt>
                <c:pt idx="57">
                  <c:v>1377</c:v>
                </c:pt>
                <c:pt idx="58">
                  <c:v>1377</c:v>
                </c:pt>
                <c:pt idx="59">
                  <c:v>1377</c:v>
                </c:pt>
                <c:pt idx="60">
                  <c:v>1377</c:v>
                </c:pt>
                <c:pt idx="61">
                  <c:v>1377</c:v>
                </c:pt>
                <c:pt idx="62">
                  <c:v>1377</c:v>
                </c:pt>
                <c:pt idx="63">
                  <c:v>1377</c:v>
                </c:pt>
                <c:pt idx="64">
                  <c:v>1377</c:v>
                </c:pt>
                <c:pt idx="65">
                  <c:v>1377</c:v>
                </c:pt>
                <c:pt idx="66">
                  <c:v>1377</c:v>
                </c:pt>
                <c:pt idx="67">
                  <c:v>1377</c:v>
                </c:pt>
                <c:pt idx="68">
                  <c:v>1377</c:v>
                </c:pt>
                <c:pt idx="69">
                  <c:v>1377</c:v>
                </c:pt>
                <c:pt idx="70">
                  <c:v>1377</c:v>
                </c:pt>
                <c:pt idx="71">
                  <c:v>1377</c:v>
                </c:pt>
                <c:pt idx="72">
                  <c:v>1377</c:v>
                </c:pt>
                <c:pt idx="73">
                  <c:v>1377</c:v>
                </c:pt>
                <c:pt idx="74">
                  <c:v>1377</c:v>
                </c:pt>
                <c:pt idx="75">
                  <c:v>1377</c:v>
                </c:pt>
                <c:pt idx="76">
                  <c:v>1377</c:v>
                </c:pt>
                <c:pt idx="77">
                  <c:v>1377</c:v>
                </c:pt>
                <c:pt idx="78">
                  <c:v>1377</c:v>
                </c:pt>
                <c:pt idx="79">
                  <c:v>1377</c:v>
                </c:pt>
                <c:pt idx="80">
                  <c:v>1377</c:v>
                </c:pt>
                <c:pt idx="81">
                  <c:v>1377</c:v>
                </c:pt>
                <c:pt idx="82">
                  <c:v>1377</c:v>
                </c:pt>
                <c:pt idx="83">
                  <c:v>1377</c:v>
                </c:pt>
                <c:pt idx="84">
                  <c:v>1377</c:v>
                </c:pt>
                <c:pt idx="85">
                  <c:v>1377</c:v>
                </c:pt>
                <c:pt idx="86">
                  <c:v>1377</c:v>
                </c:pt>
                <c:pt idx="87">
                  <c:v>1377</c:v>
                </c:pt>
                <c:pt idx="88">
                  <c:v>1377</c:v>
                </c:pt>
                <c:pt idx="89">
                  <c:v>1377</c:v>
                </c:pt>
                <c:pt idx="90">
                  <c:v>1377</c:v>
                </c:pt>
                <c:pt idx="91">
                  <c:v>1377</c:v>
                </c:pt>
                <c:pt idx="92">
                  <c:v>1377</c:v>
                </c:pt>
                <c:pt idx="93">
                  <c:v>1377</c:v>
                </c:pt>
                <c:pt idx="94">
                  <c:v>1377</c:v>
                </c:pt>
                <c:pt idx="95">
                  <c:v>1377</c:v>
                </c:pt>
                <c:pt idx="96">
                  <c:v>1377</c:v>
                </c:pt>
                <c:pt idx="97">
                  <c:v>1377</c:v>
                </c:pt>
                <c:pt idx="98">
                  <c:v>1377</c:v>
                </c:pt>
                <c:pt idx="99">
                  <c:v>1377</c:v>
                </c:pt>
                <c:pt idx="100">
                  <c:v>1377</c:v>
                </c:pt>
                <c:pt idx="101">
                  <c:v>1377</c:v>
                </c:pt>
                <c:pt idx="102">
                  <c:v>1377</c:v>
                </c:pt>
                <c:pt idx="103">
                  <c:v>1377</c:v>
                </c:pt>
                <c:pt idx="104">
                  <c:v>1377</c:v>
                </c:pt>
                <c:pt idx="105">
                  <c:v>1377</c:v>
                </c:pt>
                <c:pt idx="106">
                  <c:v>1377</c:v>
                </c:pt>
                <c:pt idx="107">
                  <c:v>1377</c:v>
                </c:pt>
                <c:pt idx="108">
                  <c:v>1377</c:v>
                </c:pt>
                <c:pt idx="109">
                  <c:v>1377</c:v>
                </c:pt>
                <c:pt idx="110">
                  <c:v>1377</c:v>
                </c:pt>
                <c:pt idx="111">
                  <c:v>1377</c:v>
                </c:pt>
                <c:pt idx="112">
                  <c:v>1377</c:v>
                </c:pt>
                <c:pt idx="113">
                  <c:v>1377</c:v>
                </c:pt>
                <c:pt idx="114">
                  <c:v>1377</c:v>
                </c:pt>
                <c:pt idx="115">
                  <c:v>1377</c:v>
                </c:pt>
                <c:pt idx="116">
                  <c:v>1377</c:v>
                </c:pt>
                <c:pt idx="117">
                  <c:v>1377</c:v>
                </c:pt>
                <c:pt idx="118">
                  <c:v>1377</c:v>
                </c:pt>
                <c:pt idx="119">
                  <c:v>1377</c:v>
                </c:pt>
                <c:pt idx="120">
                  <c:v>1377</c:v>
                </c:pt>
                <c:pt idx="121">
                  <c:v>1377</c:v>
                </c:pt>
                <c:pt idx="122">
                  <c:v>1377</c:v>
                </c:pt>
                <c:pt idx="123">
                  <c:v>1377</c:v>
                </c:pt>
                <c:pt idx="124">
                  <c:v>1377</c:v>
                </c:pt>
                <c:pt idx="125">
                  <c:v>1377</c:v>
                </c:pt>
                <c:pt idx="126">
                  <c:v>1377</c:v>
                </c:pt>
                <c:pt idx="127">
                  <c:v>1377</c:v>
                </c:pt>
                <c:pt idx="128">
                  <c:v>1377</c:v>
                </c:pt>
                <c:pt idx="129">
                  <c:v>1377</c:v>
                </c:pt>
                <c:pt idx="130">
                  <c:v>1377</c:v>
                </c:pt>
                <c:pt idx="131">
                  <c:v>1377</c:v>
                </c:pt>
                <c:pt idx="132">
                  <c:v>1377</c:v>
                </c:pt>
                <c:pt idx="133">
                  <c:v>1377</c:v>
                </c:pt>
                <c:pt idx="134">
                  <c:v>1377</c:v>
                </c:pt>
                <c:pt idx="135">
                  <c:v>1377</c:v>
                </c:pt>
                <c:pt idx="136">
                  <c:v>1377</c:v>
                </c:pt>
                <c:pt idx="137">
                  <c:v>1377</c:v>
                </c:pt>
                <c:pt idx="138">
                  <c:v>1377</c:v>
                </c:pt>
                <c:pt idx="139">
                  <c:v>1377</c:v>
                </c:pt>
                <c:pt idx="140">
                  <c:v>1377</c:v>
                </c:pt>
                <c:pt idx="141">
                  <c:v>1377</c:v>
                </c:pt>
                <c:pt idx="142">
                  <c:v>1377</c:v>
                </c:pt>
                <c:pt idx="143">
                  <c:v>1377</c:v>
                </c:pt>
                <c:pt idx="144">
                  <c:v>1377</c:v>
                </c:pt>
                <c:pt idx="145">
                  <c:v>1377</c:v>
                </c:pt>
                <c:pt idx="146">
                  <c:v>1377</c:v>
                </c:pt>
                <c:pt idx="147">
                  <c:v>1377</c:v>
                </c:pt>
                <c:pt idx="148">
                  <c:v>1377</c:v>
                </c:pt>
                <c:pt idx="149">
                  <c:v>1377</c:v>
                </c:pt>
                <c:pt idx="150">
                  <c:v>1377</c:v>
                </c:pt>
                <c:pt idx="151">
                  <c:v>1377</c:v>
                </c:pt>
                <c:pt idx="152">
                  <c:v>1377</c:v>
                </c:pt>
                <c:pt idx="153">
                  <c:v>1377</c:v>
                </c:pt>
                <c:pt idx="154">
                  <c:v>1377</c:v>
                </c:pt>
                <c:pt idx="155">
                  <c:v>1377</c:v>
                </c:pt>
                <c:pt idx="156">
                  <c:v>1377</c:v>
                </c:pt>
                <c:pt idx="157">
                  <c:v>1377</c:v>
                </c:pt>
                <c:pt idx="158">
                  <c:v>1377</c:v>
                </c:pt>
                <c:pt idx="159">
                  <c:v>1377</c:v>
                </c:pt>
                <c:pt idx="160">
                  <c:v>1377</c:v>
                </c:pt>
                <c:pt idx="161">
                  <c:v>1377</c:v>
                </c:pt>
                <c:pt idx="162">
                  <c:v>1377</c:v>
                </c:pt>
                <c:pt idx="163">
                  <c:v>1377</c:v>
                </c:pt>
                <c:pt idx="164">
                  <c:v>1377</c:v>
                </c:pt>
                <c:pt idx="165">
                  <c:v>1377</c:v>
                </c:pt>
                <c:pt idx="166">
                  <c:v>1377</c:v>
                </c:pt>
                <c:pt idx="167">
                  <c:v>1377</c:v>
                </c:pt>
                <c:pt idx="168">
                  <c:v>1377</c:v>
                </c:pt>
                <c:pt idx="169">
                  <c:v>1377</c:v>
                </c:pt>
                <c:pt idx="170">
                  <c:v>1377</c:v>
                </c:pt>
                <c:pt idx="171">
                  <c:v>1377</c:v>
                </c:pt>
                <c:pt idx="172">
                  <c:v>1377</c:v>
                </c:pt>
                <c:pt idx="173">
                  <c:v>1377</c:v>
                </c:pt>
                <c:pt idx="174">
                  <c:v>1377</c:v>
                </c:pt>
                <c:pt idx="175">
                  <c:v>1377</c:v>
                </c:pt>
                <c:pt idx="176">
                  <c:v>1377</c:v>
                </c:pt>
                <c:pt idx="177">
                  <c:v>1377</c:v>
                </c:pt>
                <c:pt idx="178">
                  <c:v>1377</c:v>
                </c:pt>
                <c:pt idx="179">
                  <c:v>1377</c:v>
                </c:pt>
                <c:pt idx="180">
                  <c:v>1377</c:v>
                </c:pt>
                <c:pt idx="181">
                  <c:v>1377</c:v>
                </c:pt>
                <c:pt idx="182">
                  <c:v>1377</c:v>
                </c:pt>
                <c:pt idx="183">
                  <c:v>1377</c:v>
                </c:pt>
                <c:pt idx="184">
                  <c:v>1377</c:v>
                </c:pt>
                <c:pt idx="185">
                  <c:v>1377</c:v>
                </c:pt>
                <c:pt idx="186">
                  <c:v>1377</c:v>
                </c:pt>
                <c:pt idx="187">
                  <c:v>1377</c:v>
                </c:pt>
                <c:pt idx="188">
                  <c:v>1377</c:v>
                </c:pt>
                <c:pt idx="189">
                  <c:v>1377</c:v>
                </c:pt>
                <c:pt idx="190">
                  <c:v>1377</c:v>
                </c:pt>
                <c:pt idx="191">
                  <c:v>1377</c:v>
                </c:pt>
                <c:pt idx="192">
                  <c:v>1377</c:v>
                </c:pt>
                <c:pt idx="193">
                  <c:v>1377</c:v>
                </c:pt>
                <c:pt idx="194">
                  <c:v>1377</c:v>
                </c:pt>
                <c:pt idx="195">
                  <c:v>1377</c:v>
                </c:pt>
                <c:pt idx="196">
                  <c:v>1377</c:v>
                </c:pt>
                <c:pt idx="197">
                  <c:v>1377</c:v>
                </c:pt>
                <c:pt idx="198">
                  <c:v>1377</c:v>
                </c:pt>
                <c:pt idx="199">
                  <c:v>1377</c:v>
                </c:pt>
                <c:pt idx="200">
                  <c:v>1377</c:v>
                </c:pt>
                <c:pt idx="201">
                  <c:v>1377</c:v>
                </c:pt>
                <c:pt idx="202">
                  <c:v>1377</c:v>
                </c:pt>
                <c:pt idx="203">
                  <c:v>1377</c:v>
                </c:pt>
                <c:pt idx="204">
                  <c:v>1377</c:v>
                </c:pt>
                <c:pt idx="205">
                  <c:v>1377</c:v>
                </c:pt>
                <c:pt idx="206">
                  <c:v>1377</c:v>
                </c:pt>
                <c:pt idx="207">
                  <c:v>1377</c:v>
                </c:pt>
                <c:pt idx="208">
                  <c:v>1377</c:v>
                </c:pt>
                <c:pt idx="209">
                  <c:v>1377</c:v>
                </c:pt>
                <c:pt idx="210">
                  <c:v>1377</c:v>
                </c:pt>
                <c:pt idx="211">
                  <c:v>1377</c:v>
                </c:pt>
                <c:pt idx="212">
                  <c:v>1377</c:v>
                </c:pt>
                <c:pt idx="213">
                  <c:v>1377</c:v>
                </c:pt>
                <c:pt idx="214">
                  <c:v>1377</c:v>
                </c:pt>
                <c:pt idx="215">
                  <c:v>1377</c:v>
                </c:pt>
                <c:pt idx="216">
                  <c:v>1377</c:v>
                </c:pt>
                <c:pt idx="217">
                  <c:v>1377</c:v>
                </c:pt>
                <c:pt idx="218">
                  <c:v>1377</c:v>
                </c:pt>
                <c:pt idx="219">
                  <c:v>1377</c:v>
                </c:pt>
                <c:pt idx="220">
                  <c:v>1377</c:v>
                </c:pt>
                <c:pt idx="221">
                  <c:v>1377</c:v>
                </c:pt>
                <c:pt idx="222">
                  <c:v>1377</c:v>
                </c:pt>
                <c:pt idx="223">
                  <c:v>1377</c:v>
                </c:pt>
                <c:pt idx="224">
                  <c:v>1377</c:v>
                </c:pt>
                <c:pt idx="225">
                  <c:v>1377</c:v>
                </c:pt>
                <c:pt idx="226">
                  <c:v>1377</c:v>
                </c:pt>
                <c:pt idx="227">
                  <c:v>1377</c:v>
                </c:pt>
                <c:pt idx="228">
                  <c:v>1377</c:v>
                </c:pt>
                <c:pt idx="229">
                  <c:v>1377</c:v>
                </c:pt>
                <c:pt idx="230">
                  <c:v>1377</c:v>
                </c:pt>
                <c:pt idx="231">
                  <c:v>1377</c:v>
                </c:pt>
                <c:pt idx="232">
                  <c:v>1377</c:v>
                </c:pt>
                <c:pt idx="233">
                  <c:v>1377</c:v>
                </c:pt>
                <c:pt idx="234">
                  <c:v>1377</c:v>
                </c:pt>
                <c:pt idx="235">
                  <c:v>1377</c:v>
                </c:pt>
                <c:pt idx="236">
                  <c:v>1377</c:v>
                </c:pt>
                <c:pt idx="237">
                  <c:v>1377</c:v>
                </c:pt>
                <c:pt idx="238">
                  <c:v>1377</c:v>
                </c:pt>
                <c:pt idx="239">
                  <c:v>1377</c:v>
                </c:pt>
                <c:pt idx="240">
                  <c:v>1377</c:v>
                </c:pt>
                <c:pt idx="241">
                  <c:v>1377</c:v>
                </c:pt>
                <c:pt idx="242">
                  <c:v>1377</c:v>
                </c:pt>
                <c:pt idx="243">
                  <c:v>1377</c:v>
                </c:pt>
                <c:pt idx="244">
                  <c:v>1377</c:v>
                </c:pt>
                <c:pt idx="245">
                  <c:v>1377</c:v>
                </c:pt>
                <c:pt idx="246">
                  <c:v>1377</c:v>
                </c:pt>
                <c:pt idx="247">
                  <c:v>1377</c:v>
                </c:pt>
                <c:pt idx="248">
                  <c:v>1377</c:v>
                </c:pt>
                <c:pt idx="249">
                  <c:v>1377</c:v>
                </c:pt>
                <c:pt idx="250">
                  <c:v>1377</c:v>
                </c:pt>
                <c:pt idx="251">
                  <c:v>1377</c:v>
                </c:pt>
                <c:pt idx="252">
                  <c:v>1377</c:v>
                </c:pt>
                <c:pt idx="253">
                  <c:v>1377</c:v>
                </c:pt>
                <c:pt idx="254">
                  <c:v>1377</c:v>
                </c:pt>
                <c:pt idx="255">
                  <c:v>1377</c:v>
                </c:pt>
                <c:pt idx="256">
                  <c:v>1377</c:v>
                </c:pt>
                <c:pt idx="257">
                  <c:v>1377</c:v>
                </c:pt>
                <c:pt idx="258">
                  <c:v>1377</c:v>
                </c:pt>
                <c:pt idx="259">
                  <c:v>1377</c:v>
                </c:pt>
                <c:pt idx="260">
                  <c:v>1377</c:v>
                </c:pt>
                <c:pt idx="261">
                  <c:v>1377</c:v>
                </c:pt>
                <c:pt idx="262">
                  <c:v>1377</c:v>
                </c:pt>
                <c:pt idx="263">
                  <c:v>1377</c:v>
                </c:pt>
                <c:pt idx="264">
                  <c:v>1377</c:v>
                </c:pt>
                <c:pt idx="265">
                  <c:v>1377</c:v>
                </c:pt>
                <c:pt idx="266">
                  <c:v>1377</c:v>
                </c:pt>
                <c:pt idx="267">
                  <c:v>1377</c:v>
                </c:pt>
                <c:pt idx="268">
                  <c:v>1377</c:v>
                </c:pt>
                <c:pt idx="269">
                  <c:v>1377</c:v>
                </c:pt>
                <c:pt idx="270">
                  <c:v>1377</c:v>
                </c:pt>
                <c:pt idx="271">
                  <c:v>1377</c:v>
                </c:pt>
                <c:pt idx="272">
                  <c:v>1377</c:v>
                </c:pt>
                <c:pt idx="273">
                  <c:v>1377</c:v>
                </c:pt>
                <c:pt idx="274">
                  <c:v>1377</c:v>
                </c:pt>
                <c:pt idx="275">
                  <c:v>1377</c:v>
                </c:pt>
                <c:pt idx="276">
                  <c:v>1377</c:v>
                </c:pt>
                <c:pt idx="277">
                  <c:v>1377</c:v>
                </c:pt>
                <c:pt idx="278">
                  <c:v>1377</c:v>
                </c:pt>
                <c:pt idx="279">
                  <c:v>1377</c:v>
                </c:pt>
                <c:pt idx="280">
                  <c:v>1377</c:v>
                </c:pt>
                <c:pt idx="281">
                  <c:v>1377</c:v>
                </c:pt>
                <c:pt idx="282">
                  <c:v>1377</c:v>
                </c:pt>
                <c:pt idx="283">
                  <c:v>1377</c:v>
                </c:pt>
                <c:pt idx="284">
                  <c:v>1377</c:v>
                </c:pt>
                <c:pt idx="285">
                  <c:v>1377</c:v>
                </c:pt>
                <c:pt idx="286">
                  <c:v>1377</c:v>
                </c:pt>
                <c:pt idx="287">
                  <c:v>1377</c:v>
                </c:pt>
                <c:pt idx="288">
                  <c:v>1377</c:v>
                </c:pt>
                <c:pt idx="289">
                  <c:v>1377</c:v>
                </c:pt>
                <c:pt idx="290">
                  <c:v>1377</c:v>
                </c:pt>
                <c:pt idx="291">
                  <c:v>1377</c:v>
                </c:pt>
                <c:pt idx="292">
                  <c:v>1377</c:v>
                </c:pt>
                <c:pt idx="293">
                  <c:v>1377</c:v>
                </c:pt>
                <c:pt idx="294">
                  <c:v>1377</c:v>
                </c:pt>
                <c:pt idx="295">
                  <c:v>1377</c:v>
                </c:pt>
                <c:pt idx="296">
                  <c:v>1377</c:v>
                </c:pt>
                <c:pt idx="297">
                  <c:v>1377</c:v>
                </c:pt>
                <c:pt idx="298">
                  <c:v>1377</c:v>
                </c:pt>
                <c:pt idx="299">
                  <c:v>1377</c:v>
                </c:pt>
                <c:pt idx="300">
                  <c:v>1377</c:v>
                </c:pt>
                <c:pt idx="301">
                  <c:v>1377</c:v>
                </c:pt>
                <c:pt idx="302">
                  <c:v>1377</c:v>
                </c:pt>
                <c:pt idx="303">
                  <c:v>1377</c:v>
                </c:pt>
                <c:pt idx="304">
                  <c:v>1377</c:v>
                </c:pt>
                <c:pt idx="305">
                  <c:v>1377</c:v>
                </c:pt>
                <c:pt idx="306">
                  <c:v>1377</c:v>
                </c:pt>
                <c:pt idx="307">
                  <c:v>1377</c:v>
                </c:pt>
                <c:pt idx="308">
                  <c:v>1377</c:v>
                </c:pt>
                <c:pt idx="309">
                  <c:v>1377</c:v>
                </c:pt>
                <c:pt idx="310">
                  <c:v>1377</c:v>
                </c:pt>
                <c:pt idx="311">
                  <c:v>1377</c:v>
                </c:pt>
                <c:pt idx="312">
                  <c:v>1377</c:v>
                </c:pt>
                <c:pt idx="313">
                  <c:v>1377</c:v>
                </c:pt>
                <c:pt idx="314">
                  <c:v>1377</c:v>
                </c:pt>
                <c:pt idx="315">
                  <c:v>1377</c:v>
                </c:pt>
                <c:pt idx="316">
                  <c:v>1377</c:v>
                </c:pt>
                <c:pt idx="317">
                  <c:v>1377</c:v>
                </c:pt>
                <c:pt idx="318">
                  <c:v>1377</c:v>
                </c:pt>
                <c:pt idx="319">
                  <c:v>1377</c:v>
                </c:pt>
                <c:pt idx="320">
                  <c:v>1377</c:v>
                </c:pt>
                <c:pt idx="321">
                  <c:v>1377</c:v>
                </c:pt>
                <c:pt idx="322">
                  <c:v>1377</c:v>
                </c:pt>
                <c:pt idx="323">
                  <c:v>1377</c:v>
                </c:pt>
                <c:pt idx="324">
                  <c:v>1377</c:v>
                </c:pt>
                <c:pt idx="325">
                  <c:v>1377</c:v>
                </c:pt>
                <c:pt idx="326">
                  <c:v>1377</c:v>
                </c:pt>
                <c:pt idx="327">
                  <c:v>1377</c:v>
                </c:pt>
                <c:pt idx="328">
                  <c:v>1377</c:v>
                </c:pt>
                <c:pt idx="329">
                  <c:v>1377</c:v>
                </c:pt>
                <c:pt idx="330">
                  <c:v>1377</c:v>
                </c:pt>
                <c:pt idx="331">
                  <c:v>1377</c:v>
                </c:pt>
                <c:pt idx="332">
                  <c:v>1377</c:v>
                </c:pt>
                <c:pt idx="333">
                  <c:v>1377</c:v>
                </c:pt>
                <c:pt idx="334">
                  <c:v>1377</c:v>
                </c:pt>
                <c:pt idx="335">
                  <c:v>1377</c:v>
                </c:pt>
                <c:pt idx="336">
                  <c:v>1377</c:v>
                </c:pt>
                <c:pt idx="337">
                  <c:v>1377</c:v>
                </c:pt>
                <c:pt idx="338">
                  <c:v>1377</c:v>
                </c:pt>
                <c:pt idx="339">
                  <c:v>1377</c:v>
                </c:pt>
                <c:pt idx="340">
                  <c:v>1377</c:v>
                </c:pt>
                <c:pt idx="341">
                  <c:v>1377</c:v>
                </c:pt>
                <c:pt idx="342">
                  <c:v>1377</c:v>
                </c:pt>
                <c:pt idx="343">
                  <c:v>1377</c:v>
                </c:pt>
                <c:pt idx="344">
                  <c:v>1377</c:v>
                </c:pt>
                <c:pt idx="345">
                  <c:v>1377</c:v>
                </c:pt>
                <c:pt idx="346">
                  <c:v>1377</c:v>
                </c:pt>
                <c:pt idx="347">
                  <c:v>1377</c:v>
                </c:pt>
                <c:pt idx="348">
                  <c:v>1377</c:v>
                </c:pt>
                <c:pt idx="349">
                  <c:v>1377</c:v>
                </c:pt>
                <c:pt idx="350">
                  <c:v>1377</c:v>
                </c:pt>
                <c:pt idx="351">
                  <c:v>1377</c:v>
                </c:pt>
                <c:pt idx="352">
                  <c:v>1377</c:v>
                </c:pt>
                <c:pt idx="353">
                  <c:v>1377</c:v>
                </c:pt>
                <c:pt idx="354">
                  <c:v>1377</c:v>
                </c:pt>
                <c:pt idx="355">
                  <c:v>1377</c:v>
                </c:pt>
                <c:pt idx="356">
                  <c:v>1377</c:v>
                </c:pt>
                <c:pt idx="357">
                  <c:v>1377</c:v>
                </c:pt>
                <c:pt idx="358">
                  <c:v>1377</c:v>
                </c:pt>
                <c:pt idx="359">
                  <c:v>1377</c:v>
                </c:pt>
                <c:pt idx="360">
                  <c:v>1377</c:v>
                </c:pt>
                <c:pt idx="361">
                  <c:v>1377</c:v>
                </c:pt>
                <c:pt idx="362">
                  <c:v>1377</c:v>
                </c:pt>
                <c:pt idx="363">
                  <c:v>1377</c:v>
                </c:pt>
                <c:pt idx="364">
                  <c:v>1377</c:v>
                </c:pt>
                <c:pt idx="365">
                  <c:v>1377</c:v>
                </c:pt>
                <c:pt idx="366">
                  <c:v>1377</c:v>
                </c:pt>
                <c:pt idx="367">
                  <c:v>1377</c:v>
                </c:pt>
                <c:pt idx="368">
                  <c:v>1377</c:v>
                </c:pt>
                <c:pt idx="369">
                  <c:v>1377</c:v>
                </c:pt>
                <c:pt idx="370">
                  <c:v>1377</c:v>
                </c:pt>
                <c:pt idx="371">
                  <c:v>1377</c:v>
                </c:pt>
                <c:pt idx="372">
                  <c:v>1377</c:v>
                </c:pt>
                <c:pt idx="373">
                  <c:v>1377</c:v>
                </c:pt>
                <c:pt idx="374">
                  <c:v>1377</c:v>
                </c:pt>
                <c:pt idx="375">
                  <c:v>1377</c:v>
                </c:pt>
                <c:pt idx="376">
                  <c:v>1377</c:v>
                </c:pt>
                <c:pt idx="377">
                  <c:v>1377</c:v>
                </c:pt>
                <c:pt idx="378">
                  <c:v>1377</c:v>
                </c:pt>
                <c:pt idx="379">
                  <c:v>1377</c:v>
                </c:pt>
                <c:pt idx="380">
                  <c:v>1377</c:v>
                </c:pt>
                <c:pt idx="381">
                  <c:v>1377</c:v>
                </c:pt>
                <c:pt idx="382">
                  <c:v>1377</c:v>
                </c:pt>
                <c:pt idx="383">
                  <c:v>1377</c:v>
                </c:pt>
                <c:pt idx="384">
                  <c:v>1377</c:v>
                </c:pt>
                <c:pt idx="385">
                  <c:v>1377</c:v>
                </c:pt>
                <c:pt idx="386">
                  <c:v>1377</c:v>
                </c:pt>
                <c:pt idx="387">
                  <c:v>1377</c:v>
                </c:pt>
                <c:pt idx="388">
                  <c:v>1377</c:v>
                </c:pt>
                <c:pt idx="389">
                  <c:v>1377</c:v>
                </c:pt>
                <c:pt idx="390">
                  <c:v>1377</c:v>
                </c:pt>
                <c:pt idx="391">
                  <c:v>1377</c:v>
                </c:pt>
                <c:pt idx="392">
                  <c:v>1377</c:v>
                </c:pt>
                <c:pt idx="393">
                  <c:v>1377</c:v>
                </c:pt>
                <c:pt idx="394">
                  <c:v>1377</c:v>
                </c:pt>
                <c:pt idx="395">
                  <c:v>1377</c:v>
                </c:pt>
                <c:pt idx="396">
                  <c:v>1377</c:v>
                </c:pt>
                <c:pt idx="397">
                  <c:v>1377</c:v>
                </c:pt>
                <c:pt idx="398">
                  <c:v>1377</c:v>
                </c:pt>
                <c:pt idx="399">
                  <c:v>1377</c:v>
                </c:pt>
                <c:pt idx="400">
                  <c:v>1377</c:v>
                </c:pt>
                <c:pt idx="401">
                  <c:v>1377</c:v>
                </c:pt>
                <c:pt idx="402">
                  <c:v>1377</c:v>
                </c:pt>
                <c:pt idx="403">
                  <c:v>1377</c:v>
                </c:pt>
                <c:pt idx="404">
                  <c:v>1377</c:v>
                </c:pt>
                <c:pt idx="405">
                  <c:v>1377</c:v>
                </c:pt>
                <c:pt idx="406">
                  <c:v>1377</c:v>
                </c:pt>
                <c:pt idx="407">
                  <c:v>1377</c:v>
                </c:pt>
                <c:pt idx="408">
                  <c:v>1377</c:v>
                </c:pt>
                <c:pt idx="409">
                  <c:v>1377</c:v>
                </c:pt>
                <c:pt idx="410">
                  <c:v>1377</c:v>
                </c:pt>
                <c:pt idx="411">
                  <c:v>1377</c:v>
                </c:pt>
                <c:pt idx="412">
                  <c:v>1377</c:v>
                </c:pt>
                <c:pt idx="413">
                  <c:v>1377</c:v>
                </c:pt>
                <c:pt idx="414">
                  <c:v>1377</c:v>
                </c:pt>
                <c:pt idx="415">
                  <c:v>1377</c:v>
                </c:pt>
                <c:pt idx="416">
                  <c:v>1377</c:v>
                </c:pt>
                <c:pt idx="417">
                  <c:v>1377</c:v>
                </c:pt>
                <c:pt idx="418">
                  <c:v>1377</c:v>
                </c:pt>
                <c:pt idx="419">
                  <c:v>1377</c:v>
                </c:pt>
                <c:pt idx="420">
                  <c:v>1377</c:v>
                </c:pt>
                <c:pt idx="421">
                  <c:v>1377</c:v>
                </c:pt>
                <c:pt idx="422">
                  <c:v>1377</c:v>
                </c:pt>
                <c:pt idx="423">
                  <c:v>1377</c:v>
                </c:pt>
                <c:pt idx="424">
                  <c:v>1377</c:v>
                </c:pt>
                <c:pt idx="425">
                  <c:v>1377</c:v>
                </c:pt>
                <c:pt idx="426">
                  <c:v>1377</c:v>
                </c:pt>
                <c:pt idx="427">
                  <c:v>1377</c:v>
                </c:pt>
                <c:pt idx="428">
                  <c:v>1377</c:v>
                </c:pt>
                <c:pt idx="429">
                  <c:v>1377</c:v>
                </c:pt>
                <c:pt idx="430">
                  <c:v>1377</c:v>
                </c:pt>
                <c:pt idx="431">
                  <c:v>1377</c:v>
                </c:pt>
                <c:pt idx="432">
                  <c:v>1377</c:v>
                </c:pt>
                <c:pt idx="433">
                  <c:v>1377</c:v>
                </c:pt>
                <c:pt idx="434">
                  <c:v>1377</c:v>
                </c:pt>
                <c:pt idx="435">
                  <c:v>1377</c:v>
                </c:pt>
                <c:pt idx="436">
                  <c:v>1377</c:v>
                </c:pt>
                <c:pt idx="437">
                  <c:v>1377</c:v>
                </c:pt>
                <c:pt idx="438">
                  <c:v>1377</c:v>
                </c:pt>
                <c:pt idx="439">
                  <c:v>1377</c:v>
                </c:pt>
                <c:pt idx="440">
                  <c:v>1377</c:v>
                </c:pt>
                <c:pt idx="441">
                  <c:v>1377</c:v>
                </c:pt>
                <c:pt idx="442">
                  <c:v>1377</c:v>
                </c:pt>
                <c:pt idx="443">
                  <c:v>1377</c:v>
                </c:pt>
                <c:pt idx="444">
                  <c:v>1377</c:v>
                </c:pt>
                <c:pt idx="445">
                  <c:v>1377</c:v>
                </c:pt>
                <c:pt idx="446">
                  <c:v>1377</c:v>
                </c:pt>
                <c:pt idx="447">
                  <c:v>1377</c:v>
                </c:pt>
                <c:pt idx="448">
                  <c:v>1377</c:v>
                </c:pt>
                <c:pt idx="449">
                  <c:v>1377</c:v>
                </c:pt>
                <c:pt idx="450">
                  <c:v>1377</c:v>
                </c:pt>
                <c:pt idx="451">
                  <c:v>1377</c:v>
                </c:pt>
                <c:pt idx="452">
                  <c:v>1377</c:v>
                </c:pt>
                <c:pt idx="453">
                  <c:v>1377</c:v>
                </c:pt>
                <c:pt idx="454">
                  <c:v>1377</c:v>
                </c:pt>
                <c:pt idx="455">
                  <c:v>1377</c:v>
                </c:pt>
                <c:pt idx="456">
                  <c:v>1377</c:v>
                </c:pt>
                <c:pt idx="457">
                  <c:v>1377</c:v>
                </c:pt>
                <c:pt idx="458">
                  <c:v>1377</c:v>
                </c:pt>
                <c:pt idx="459">
                  <c:v>1377</c:v>
                </c:pt>
                <c:pt idx="460">
                  <c:v>1377</c:v>
                </c:pt>
                <c:pt idx="461">
                  <c:v>1377</c:v>
                </c:pt>
                <c:pt idx="462">
                  <c:v>1377</c:v>
                </c:pt>
                <c:pt idx="463">
                  <c:v>1377</c:v>
                </c:pt>
                <c:pt idx="464">
                  <c:v>1377</c:v>
                </c:pt>
                <c:pt idx="465">
                  <c:v>1377</c:v>
                </c:pt>
                <c:pt idx="466">
                  <c:v>1377</c:v>
                </c:pt>
                <c:pt idx="467">
                  <c:v>1377</c:v>
                </c:pt>
                <c:pt idx="468">
                  <c:v>1377</c:v>
                </c:pt>
                <c:pt idx="469">
                  <c:v>1377</c:v>
                </c:pt>
                <c:pt idx="470">
                  <c:v>1377</c:v>
                </c:pt>
                <c:pt idx="471">
                  <c:v>1377</c:v>
                </c:pt>
                <c:pt idx="472">
                  <c:v>1377</c:v>
                </c:pt>
                <c:pt idx="473">
                  <c:v>1377</c:v>
                </c:pt>
                <c:pt idx="474">
                  <c:v>1377</c:v>
                </c:pt>
                <c:pt idx="475">
                  <c:v>1377</c:v>
                </c:pt>
                <c:pt idx="476">
                  <c:v>1377</c:v>
                </c:pt>
                <c:pt idx="477">
                  <c:v>1377</c:v>
                </c:pt>
                <c:pt idx="478">
                  <c:v>1377</c:v>
                </c:pt>
                <c:pt idx="479">
                  <c:v>1377</c:v>
                </c:pt>
                <c:pt idx="480">
                  <c:v>1377</c:v>
                </c:pt>
                <c:pt idx="481">
                  <c:v>1377</c:v>
                </c:pt>
                <c:pt idx="482">
                  <c:v>1377</c:v>
                </c:pt>
                <c:pt idx="483">
                  <c:v>1377</c:v>
                </c:pt>
                <c:pt idx="484">
                  <c:v>1377</c:v>
                </c:pt>
                <c:pt idx="485">
                  <c:v>1377</c:v>
                </c:pt>
                <c:pt idx="486">
                  <c:v>1377</c:v>
                </c:pt>
                <c:pt idx="487">
                  <c:v>1377</c:v>
                </c:pt>
                <c:pt idx="488">
                  <c:v>1377</c:v>
                </c:pt>
                <c:pt idx="489">
                  <c:v>1377</c:v>
                </c:pt>
                <c:pt idx="490">
                  <c:v>1377</c:v>
                </c:pt>
                <c:pt idx="491">
                  <c:v>1377</c:v>
                </c:pt>
                <c:pt idx="492">
                  <c:v>1377</c:v>
                </c:pt>
                <c:pt idx="493">
                  <c:v>1377</c:v>
                </c:pt>
                <c:pt idx="494">
                  <c:v>1377</c:v>
                </c:pt>
                <c:pt idx="495">
                  <c:v>1377</c:v>
                </c:pt>
                <c:pt idx="496">
                  <c:v>1377</c:v>
                </c:pt>
                <c:pt idx="497">
                  <c:v>1377</c:v>
                </c:pt>
                <c:pt idx="498">
                  <c:v>1377</c:v>
                </c:pt>
                <c:pt idx="499">
                  <c:v>1377</c:v>
                </c:pt>
                <c:pt idx="500">
                  <c:v>1377</c:v>
                </c:pt>
                <c:pt idx="501">
                  <c:v>1377</c:v>
                </c:pt>
                <c:pt idx="502">
                  <c:v>1377</c:v>
                </c:pt>
                <c:pt idx="503">
                  <c:v>1377</c:v>
                </c:pt>
                <c:pt idx="504">
                  <c:v>1377</c:v>
                </c:pt>
                <c:pt idx="505">
                  <c:v>1377</c:v>
                </c:pt>
                <c:pt idx="506">
                  <c:v>1377</c:v>
                </c:pt>
                <c:pt idx="507">
                  <c:v>1377</c:v>
                </c:pt>
                <c:pt idx="508">
                  <c:v>1377</c:v>
                </c:pt>
                <c:pt idx="509">
                  <c:v>1377</c:v>
                </c:pt>
                <c:pt idx="510">
                  <c:v>1377</c:v>
                </c:pt>
                <c:pt idx="511">
                  <c:v>1377</c:v>
                </c:pt>
                <c:pt idx="512">
                  <c:v>1377</c:v>
                </c:pt>
                <c:pt idx="513">
                  <c:v>1377</c:v>
                </c:pt>
                <c:pt idx="514">
                  <c:v>1377</c:v>
                </c:pt>
                <c:pt idx="515">
                  <c:v>1377</c:v>
                </c:pt>
                <c:pt idx="516">
                  <c:v>1377</c:v>
                </c:pt>
                <c:pt idx="517">
                  <c:v>1377</c:v>
                </c:pt>
                <c:pt idx="518">
                  <c:v>1377</c:v>
                </c:pt>
                <c:pt idx="519">
                  <c:v>1377</c:v>
                </c:pt>
                <c:pt idx="520">
                  <c:v>1377</c:v>
                </c:pt>
                <c:pt idx="521">
                  <c:v>1377</c:v>
                </c:pt>
                <c:pt idx="522">
                  <c:v>1377</c:v>
                </c:pt>
                <c:pt idx="523">
                  <c:v>1377</c:v>
                </c:pt>
                <c:pt idx="524">
                  <c:v>1377</c:v>
                </c:pt>
                <c:pt idx="525">
                  <c:v>1377</c:v>
                </c:pt>
                <c:pt idx="526">
                  <c:v>1377</c:v>
                </c:pt>
                <c:pt idx="527">
                  <c:v>1377</c:v>
                </c:pt>
                <c:pt idx="528">
                  <c:v>1377</c:v>
                </c:pt>
                <c:pt idx="529">
                  <c:v>1377</c:v>
                </c:pt>
                <c:pt idx="530">
                  <c:v>1377</c:v>
                </c:pt>
                <c:pt idx="531">
                  <c:v>1377</c:v>
                </c:pt>
                <c:pt idx="532">
                  <c:v>1377</c:v>
                </c:pt>
                <c:pt idx="533">
                  <c:v>1377</c:v>
                </c:pt>
                <c:pt idx="534">
                  <c:v>1377</c:v>
                </c:pt>
                <c:pt idx="535">
                  <c:v>1377</c:v>
                </c:pt>
                <c:pt idx="536">
                  <c:v>1377</c:v>
                </c:pt>
                <c:pt idx="537">
                  <c:v>1377</c:v>
                </c:pt>
                <c:pt idx="538">
                  <c:v>1377</c:v>
                </c:pt>
                <c:pt idx="539">
                  <c:v>1377</c:v>
                </c:pt>
                <c:pt idx="540">
                  <c:v>1377</c:v>
                </c:pt>
                <c:pt idx="541">
                  <c:v>1377</c:v>
                </c:pt>
                <c:pt idx="542">
                  <c:v>1377</c:v>
                </c:pt>
                <c:pt idx="543">
                  <c:v>1377</c:v>
                </c:pt>
                <c:pt idx="544">
                  <c:v>1377</c:v>
                </c:pt>
                <c:pt idx="545">
                  <c:v>1377</c:v>
                </c:pt>
                <c:pt idx="546">
                  <c:v>1377</c:v>
                </c:pt>
                <c:pt idx="547">
                  <c:v>1377</c:v>
                </c:pt>
                <c:pt idx="548">
                  <c:v>1377</c:v>
                </c:pt>
                <c:pt idx="549">
                  <c:v>1377</c:v>
                </c:pt>
                <c:pt idx="550">
                  <c:v>1377</c:v>
                </c:pt>
                <c:pt idx="551">
                  <c:v>1377</c:v>
                </c:pt>
                <c:pt idx="552">
                  <c:v>1377</c:v>
                </c:pt>
                <c:pt idx="553">
                  <c:v>1377</c:v>
                </c:pt>
                <c:pt idx="554">
                  <c:v>1377</c:v>
                </c:pt>
                <c:pt idx="555">
                  <c:v>1377</c:v>
                </c:pt>
                <c:pt idx="556">
                  <c:v>1377</c:v>
                </c:pt>
                <c:pt idx="557">
                  <c:v>1377</c:v>
                </c:pt>
                <c:pt idx="558">
                  <c:v>1377</c:v>
                </c:pt>
                <c:pt idx="559">
                  <c:v>1377</c:v>
                </c:pt>
                <c:pt idx="560">
                  <c:v>1377</c:v>
                </c:pt>
                <c:pt idx="561">
                  <c:v>1377</c:v>
                </c:pt>
                <c:pt idx="562">
                  <c:v>1377</c:v>
                </c:pt>
                <c:pt idx="563">
                  <c:v>1377</c:v>
                </c:pt>
                <c:pt idx="564">
                  <c:v>1377</c:v>
                </c:pt>
                <c:pt idx="565">
                  <c:v>1377</c:v>
                </c:pt>
                <c:pt idx="566">
                  <c:v>1377</c:v>
                </c:pt>
                <c:pt idx="567">
                  <c:v>1377</c:v>
                </c:pt>
                <c:pt idx="568">
                  <c:v>1377</c:v>
                </c:pt>
                <c:pt idx="569">
                  <c:v>1377</c:v>
                </c:pt>
                <c:pt idx="570">
                  <c:v>1377</c:v>
                </c:pt>
                <c:pt idx="571">
                  <c:v>1377</c:v>
                </c:pt>
                <c:pt idx="572">
                  <c:v>1377</c:v>
                </c:pt>
                <c:pt idx="573">
                  <c:v>1377</c:v>
                </c:pt>
                <c:pt idx="574">
                  <c:v>1377</c:v>
                </c:pt>
                <c:pt idx="575">
                  <c:v>1377</c:v>
                </c:pt>
                <c:pt idx="576">
                  <c:v>1377</c:v>
                </c:pt>
                <c:pt idx="577">
                  <c:v>1377</c:v>
                </c:pt>
                <c:pt idx="578">
                  <c:v>1377</c:v>
                </c:pt>
                <c:pt idx="579">
                  <c:v>1377</c:v>
                </c:pt>
                <c:pt idx="580">
                  <c:v>1377</c:v>
                </c:pt>
                <c:pt idx="581">
                  <c:v>1377</c:v>
                </c:pt>
                <c:pt idx="582">
                  <c:v>1377</c:v>
                </c:pt>
                <c:pt idx="583">
                  <c:v>1377</c:v>
                </c:pt>
                <c:pt idx="584">
                  <c:v>1377</c:v>
                </c:pt>
                <c:pt idx="585">
                  <c:v>1377</c:v>
                </c:pt>
                <c:pt idx="586">
                  <c:v>1377</c:v>
                </c:pt>
                <c:pt idx="587">
                  <c:v>1377</c:v>
                </c:pt>
                <c:pt idx="588">
                  <c:v>1377</c:v>
                </c:pt>
                <c:pt idx="589">
                  <c:v>1377</c:v>
                </c:pt>
                <c:pt idx="590">
                  <c:v>1377</c:v>
                </c:pt>
                <c:pt idx="591">
                  <c:v>1377</c:v>
                </c:pt>
                <c:pt idx="592">
                  <c:v>1377</c:v>
                </c:pt>
                <c:pt idx="593">
                  <c:v>1377</c:v>
                </c:pt>
                <c:pt idx="594">
                  <c:v>1377</c:v>
                </c:pt>
                <c:pt idx="595">
                  <c:v>1377</c:v>
                </c:pt>
                <c:pt idx="596">
                  <c:v>1377</c:v>
                </c:pt>
                <c:pt idx="597">
                  <c:v>1377</c:v>
                </c:pt>
                <c:pt idx="598">
                  <c:v>1377</c:v>
                </c:pt>
                <c:pt idx="599">
                  <c:v>1377</c:v>
                </c:pt>
                <c:pt idx="600">
                  <c:v>1377</c:v>
                </c:pt>
                <c:pt idx="601">
                  <c:v>1377</c:v>
                </c:pt>
                <c:pt idx="602">
                  <c:v>1377</c:v>
                </c:pt>
                <c:pt idx="603">
                  <c:v>1377</c:v>
                </c:pt>
                <c:pt idx="604">
                  <c:v>1377</c:v>
                </c:pt>
                <c:pt idx="605">
                  <c:v>1377</c:v>
                </c:pt>
                <c:pt idx="606">
                  <c:v>1377</c:v>
                </c:pt>
                <c:pt idx="607">
                  <c:v>1377</c:v>
                </c:pt>
                <c:pt idx="608">
                  <c:v>1377</c:v>
                </c:pt>
                <c:pt idx="609">
                  <c:v>1377</c:v>
                </c:pt>
                <c:pt idx="610">
                  <c:v>1377</c:v>
                </c:pt>
                <c:pt idx="611">
                  <c:v>1377</c:v>
                </c:pt>
                <c:pt idx="612">
                  <c:v>1377</c:v>
                </c:pt>
                <c:pt idx="613">
                  <c:v>1377</c:v>
                </c:pt>
                <c:pt idx="614">
                  <c:v>1377</c:v>
                </c:pt>
                <c:pt idx="615">
                  <c:v>1377</c:v>
                </c:pt>
                <c:pt idx="616">
                  <c:v>1377</c:v>
                </c:pt>
                <c:pt idx="617">
                  <c:v>1377</c:v>
                </c:pt>
                <c:pt idx="618">
                  <c:v>1377</c:v>
                </c:pt>
                <c:pt idx="619">
                  <c:v>1377</c:v>
                </c:pt>
                <c:pt idx="620">
                  <c:v>1377</c:v>
                </c:pt>
                <c:pt idx="621">
                  <c:v>1377</c:v>
                </c:pt>
                <c:pt idx="622">
                  <c:v>1377</c:v>
                </c:pt>
                <c:pt idx="623">
                  <c:v>1377</c:v>
                </c:pt>
                <c:pt idx="624">
                  <c:v>1377</c:v>
                </c:pt>
                <c:pt idx="625">
                  <c:v>1377</c:v>
                </c:pt>
                <c:pt idx="626">
                  <c:v>1377</c:v>
                </c:pt>
                <c:pt idx="627">
                  <c:v>1377</c:v>
                </c:pt>
                <c:pt idx="628">
                  <c:v>1377</c:v>
                </c:pt>
                <c:pt idx="629">
                  <c:v>1377</c:v>
                </c:pt>
                <c:pt idx="630">
                  <c:v>1377</c:v>
                </c:pt>
                <c:pt idx="631">
                  <c:v>1377</c:v>
                </c:pt>
                <c:pt idx="632">
                  <c:v>1377</c:v>
                </c:pt>
                <c:pt idx="633">
                  <c:v>1377</c:v>
                </c:pt>
                <c:pt idx="634">
                  <c:v>1377</c:v>
                </c:pt>
                <c:pt idx="635">
                  <c:v>1377</c:v>
                </c:pt>
                <c:pt idx="636">
                  <c:v>1377</c:v>
                </c:pt>
                <c:pt idx="637">
                  <c:v>1377</c:v>
                </c:pt>
                <c:pt idx="638">
                  <c:v>1377</c:v>
                </c:pt>
                <c:pt idx="639">
                  <c:v>1377</c:v>
                </c:pt>
                <c:pt idx="640">
                  <c:v>1377</c:v>
                </c:pt>
                <c:pt idx="641">
                  <c:v>1377</c:v>
                </c:pt>
                <c:pt idx="642">
                  <c:v>1377</c:v>
                </c:pt>
                <c:pt idx="643">
                  <c:v>1377</c:v>
                </c:pt>
                <c:pt idx="644">
                  <c:v>1377</c:v>
                </c:pt>
                <c:pt idx="645">
                  <c:v>1377</c:v>
                </c:pt>
                <c:pt idx="646">
                  <c:v>1377</c:v>
                </c:pt>
                <c:pt idx="647">
                  <c:v>1377</c:v>
                </c:pt>
                <c:pt idx="648">
                  <c:v>1377</c:v>
                </c:pt>
                <c:pt idx="649">
                  <c:v>1377</c:v>
                </c:pt>
                <c:pt idx="650">
                  <c:v>1377</c:v>
                </c:pt>
                <c:pt idx="651">
                  <c:v>1377</c:v>
                </c:pt>
                <c:pt idx="652">
                  <c:v>1377</c:v>
                </c:pt>
                <c:pt idx="653">
                  <c:v>1377</c:v>
                </c:pt>
                <c:pt idx="654">
                  <c:v>1377</c:v>
                </c:pt>
                <c:pt idx="655">
                  <c:v>1377</c:v>
                </c:pt>
                <c:pt idx="656">
                  <c:v>1377</c:v>
                </c:pt>
                <c:pt idx="657">
                  <c:v>1377</c:v>
                </c:pt>
                <c:pt idx="658">
                  <c:v>1377</c:v>
                </c:pt>
                <c:pt idx="659">
                  <c:v>1377</c:v>
                </c:pt>
                <c:pt idx="660">
                  <c:v>1377</c:v>
                </c:pt>
                <c:pt idx="661">
                  <c:v>1377</c:v>
                </c:pt>
                <c:pt idx="662">
                  <c:v>1377</c:v>
                </c:pt>
                <c:pt idx="663">
                  <c:v>1377</c:v>
                </c:pt>
                <c:pt idx="664">
                  <c:v>1377</c:v>
                </c:pt>
                <c:pt idx="665">
                  <c:v>1377</c:v>
                </c:pt>
                <c:pt idx="666">
                  <c:v>1377</c:v>
                </c:pt>
                <c:pt idx="667">
                  <c:v>1377</c:v>
                </c:pt>
                <c:pt idx="668">
                  <c:v>1377</c:v>
                </c:pt>
                <c:pt idx="669">
                  <c:v>1377</c:v>
                </c:pt>
                <c:pt idx="670">
                  <c:v>1377</c:v>
                </c:pt>
                <c:pt idx="671">
                  <c:v>1377</c:v>
                </c:pt>
                <c:pt idx="672">
                  <c:v>1377</c:v>
                </c:pt>
                <c:pt idx="673">
                  <c:v>1377</c:v>
                </c:pt>
                <c:pt idx="674">
                  <c:v>1377</c:v>
                </c:pt>
                <c:pt idx="675">
                  <c:v>1377</c:v>
                </c:pt>
                <c:pt idx="676">
                  <c:v>1377</c:v>
                </c:pt>
                <c:pt idx="677">
                  <c:v>1377</c:v>
                </c:pt>
                <c:pt idx="678">
                  <c:v>1377</c:v>
                </c:pt>
                <c:pt idx="679">
                  <c:v>1377</c:v>
                </c:pt>
                <c:pt idx="680">
                  <c:v>1377</c:v>
                </c:pt>
                <c:pt idx="681">
                  <c:v>1377</c:v>
                </c:pt>
                <c:pt idx="682">
                  <c:v>1377</c:v>
                </c:pt>
                <c:pt idx="683">
                  <c:v>1377</c:v>
                </c:pt>
                <c:pt idx="684">
                  <c:v>1377</c:v>
                </c:pt>
                <c:pt idx="685">
                  <c:v>1377</c:v>
                </c:pt>
                <c:pt idx="686">
                  <c:v>1377</c:v>
                </c:pt>
                <c:pt idx="687">
                  <c:v>1377</c:v>
                </c:pt>
                <c:pt idx="688">
                  <c:v>1377</c:v>
                </c:pt>
                <c:pt idx="689">
                  <c:v>1377</c:v>
                </c:pt>
                <c:pt idx="690">
                  <c:v>1377</c:v>
                </c:pt>
                <c:pt idx="691">
                  <c:v>1377</c:v>
                </c:pt>
                <c:pt idx="692">
                  <c:v>1377</c:v>
                </c:pt>
                <c:pt idx="693">
                  <c:v>1377</c:v>
                </c:pt>
                <c:pt idx="694">
                  <c:v>1377</c:v>
                </c:pt>
                <c:pt idx="695">
                  <c:v>1377</c:v>
                </c:pt>
                <c:pt idx="696">
                  <c:v>1377</c:v>
                </c:pt>
                <c:pt idx="697">
                  <c:v>1377</c:v>
                </c:pt>
                <c:pt idx="698">
                  <c:v>1377</c:v>
                </c:pt>
                <c:pt idx="699">
                  <c:v>1377</c:v>
                </c:pt>
                <c:pt idx="700">
                  <c:v>1377</c:v>
                </c:pt>
                <c:pt idx="701">
                  <c:v>1377</c:v>
                </c:pt>
                <c:pt idx="702">
                  <c:v>1377</c:v>
                </c:pt>
                <c:pt idx="703">
                  <c:v>1377</c:v>
                </c:pt>
                <c:pt idx="704">
                  <c:v>1377</c:v>
                </c:pt>
                <c:pt idx="705">
                  <c:v>1377</c:v>
                </c:pt>
                <c:pt idx="706">
                  <c:v>1377</c:v>
                </c:pt>
                <c:pt idx="707">
                  <c:v>1377</c:v>
                </c:pt>
                <c:pt idx="708">
                  <c:v>1377</c:v>
                </c:pt>
                <c:pt idx="709">
                  <c:v>1377</c:v>
                </c:pt>
                <c:pt idx="710">
                  <c:v>1377</c:v>
                </c:pt>
                <c:pt idx="711">
                  <c:v>1377</c:v>
                </c:pt>
                <c:pt idx="712">
                  <c:v>1377</c:v>
                </c:pt>
                <c:pt idx="713">
                  <c:v>1377</c:v>
                </c:pt>
                <c:pt idx="714">
                  <c:v>1377</c:v>
                </c:pt>
                <c:pt idx="715">
                  <c:v>1377</c:v>
                </c:pt>
                <c:pt idx="716">
                  <c:v>1377</c:v>
                </c:pt>
                <c:pt idx="717">
                  <c:v>1377</c:v>
                </c:pt>
                <c:pt idx="718">
                  <c:v>1377</c:v>
                </c:pt>
                <c:pt idx="719">
                  <c:v>1377</c:v>
                </c:pt>
                <c:pt idx="720">
                  <c:v>1377</c:v>
                </c:pt>
                <c:pt idx="721">
                  <c:v>1377</c:v>
                </c:pt>
                <c:pt idx="722">
                  <c:v>1377</c:v>
                </c:pt>
                <c:pt idx="723">
                  <c:v>1377</c:v>
                </c:pt>
                <c:pt idx="724">
                  <c:v>1377</c:v>
                </c:pt>
                <c:pt idx="725">
                  <c:v>1377</c:v>
                </c:pt>
                <c:pt idx="726">
                  <c:v>1377</c:v>
                </c:pt>
                <c:pt idx="727">
                  <c:v>1377</c:v>
                </c:pt>
                <c:pt idx="728">
                  <c:v>1377</c:v>
                </c:pt>
                <c:pt idx="729">
                  <c:v>1377</c:v>
                </c:pt>
                <c:pt idx="730">
                  <c:v>1377</c:v>
                </c:pt>
                <c:pt idx="731">
                  <c:v>1377</c:v>
                </c:pt>
                <c:pt idx="732">
                  <c:v>1377</c:v>
                </c:pt>
                <c:pt idx="733">
                  <c:v>1377</c:v>
                </c:pt>
                <c:pt idx="734">
                  <c:v>1377</c:v>
                </c:pt>
                <c:pt idx="735">
                  <c:v>1377</c:v>
                </c:pt>
                <c:pt idx="736">
                  <c:v>1377</c:v>
                </c:pt>
                <c:pt idx="737">
                  <c:v>1377</c:v>
                </c:pt>
                <c:pt idx="738">
                  <c:v>1377</c:v>
                </c:pt>
                <c:pt idx="739">
                  <c:v>1377</c:v>
                </c:pt>
                <c:pt idx="740">
                  <c:v>1377</c:v>
                </c:pt>
                <c:pt idx="741">
                  <c:v>1377</c:v>
                </c:pt>
                <c:pt idx="742">
                  <c:v>1377</c:v>
                </c:pt>
                <c:pt idx="743">
                  <c:v>1377</c:v>
                </c:pt>
                <c:pt idx="744">
                  <c:v>1377</c:v>
                </c:pt>
                <c:pt idx="745">
                  <c:v>1377</c:v>
                </c:pt>
                <c:pt idx="746">
                  <c:v>1377</c:v>
                </c:pt>
                <c:pt idx="747">
                  <c:v>1377</c:v>
                </c:pt>
                <c:pt idx="748">
                  <c:v>1377</c:v>
                </c:pt>
                <c:pt idx="749">
                  <c:v>1377</c:v>
                </c:pt>
                <c:pt idx="750">
                  <c:v>1377</c:v>
                </c:pt>
                <c:pt idx="751">
                  <c:v>1377</c:v>
                </c:pt>
                <c:pt idx="752">
                  <c:v>1377</c:v>
                </c:pt>
                <c:pt idx="753">
                  <c:v>1377</c:v>
                </c:pt>
                <c:pt idx="754">
                  <c:v>1377</c:v>
                </c:pt>
                <c:pt idx="755">
                  <c:v>1377</c:v>
                </c:pt>
                <c:pt idx="756">
                  <c:v>1377</c:v>
                </c:pt>
                <c:pt idx="757">
                  <c:v>1377</c:v>
                </c:pt>
                <c:pt idx="758">
                  <c:v>1377</c:v>
                </c:pt>
                <c:pt idx="759">
                  <c:v>1377</c:v>
                </c:pt>
                <c:pt idx="760">
                  <c:v>1377</c:v>
                </c:pt>
                <c:pt idx="761">
                  <c:v>1377</c:v>
                </c:pt>
                <c:pt idx="762">
                  <c:v>1377</c:v>
                </c:pt>
                <c:pt idx="763">
                  <c:v>1377</c:v>
                </c:pt>
                <c:pt idx="764">
                  <c:v>1377</c:v>
                </c:pt>
                <c:pt idx="765">
                  <c:v>1377</c:v>
                </c:pt>
                <c:pt idx="766">
                  <c:v>1377</c:v>
                </c:pt>
                <c:pt idx="767">
                  <c:v>1377</c:v>
                </c:pt>
                <c:pt idx="768">
                  <c:v>1377</c:v>
                </c:pt>
                <c:pt idx="769">
                  <c:v>1377</c:v>
                </c:pt>
                <c:pt idx="770">
                  <c:v>1377</c:v>
                </c:pt>
                <c:pt idx="771">
                  <c:v>1377</c:v>
                </c:pt>
                <c:pt idx="772">
                  <c:v>1377</c:v>
                </c:pt>
                <c:pt idx="773">
                  <c:v>1377</c:v>
                </c:pt>
                <c:pt idx="774">
                  <c:v>1377</c:v>
                </c:pt>
                <c:pt idx="775">
                  <c:v>1377</c:v>
                </c:pt>
                <c:pt idx="776">
                  <c:v>1377</c:v>
                </c:pt>
                <c:pt idx="777">
                  <c:v>1377</c:v>
                </c:pt>
                <c:pt idx="778">
                  <c:v>1377</c:v>
                </c:pt>
                <c:pt idx="779">
                  <c:v>1377</c:v>
                </c:pt>
                <c:pt idx="780">
                  <c:v>1377</c:v>
                </c:pt>
                <c:pt idx="781">
                  <c:v>1377</c:v>
                </c:pt>
                <c:pt idx="782">
                  <c:v>1377</c:v>
                </c:pt>
                <c:pt idx="783">
                  <c:v>1377</c:v>
                </c:pt>
                <c:pt idx="784">
                  <c:v>1377</c:v>
                </c:pt>
                <c:pt idx="785">
                  <c:v>1377</c:v>
                </c:pt>
                <c:pt idx="786">
                  <c:v>1377</c:v>
                </c:pt>
                <c:pt idx="787">
                  <c:v>1377</c:v>
                </c:pt>
                <c:pt idx="788">
                  <c:v>1377</c:v>
                </c:pt>
                <c:pt idx="789">
                  <c:v>1377</c:v>
                </c:pt>
                <c:pt idx="790">
                  <c:v>1377</c:v>
                </c:pt>
                <c:pt idx="791">
                  <c:v>1377</c:v>
                </c:pt>
                <c:pt idx="792">
                  <c:v>1377</c:v>
                </c:pt>
                <c:pt idx="793">
                  <c:v>1377</c:v>
                </c:pt>
                <c:pt idx="794">
                  <c:v>1377</c:v>
                </c:pt>
                <c:pt idx="795">
                  <c:v>1377</c:v>
                </c:pt>
                <c:pt idx="796">
                  <c:v>1377</c:v>
                </c:pt>
                <c:pt idx="797">
                  <c:v>1377</c:v>
                </c:pt>
                <c:pt idx="798">
                  <c:v>1377</c:v>
                </c:pt>
                <c:pt idx="799">
                  <c:v>1377</c:v>
                </c:pt>
                <c:pt idx="800">
                  <c:v>1377</c:v>
                </c:pt>
                <c:pt idx="801">
                  <c:v>1377</c:v>
                </c:pt>
                <c:pt idx="802">
                  <c:v>1377</c:v>
                </c:pt>
                <c:pt idx="803">
                  <c:v>1377</c:v>
                </c:pt>
                <c:pt idx="804">
                  <c:v>1377</c:v>
                </c:pt>
                <c:pt idx="805">
                  <c:v>1377</c:v>
                </c:pt>
                <c:pt idx="806">
                  <c:v>1377</c:v>
                </c:pt>
                <c:pt idx="807">
                  <c:v>1377</c:v>
                </c:pt>
                <c:pt idx="808">
                  <c:v>1377</c:v>
                </c:pt>
                <c:pt idx="809">
                  <c:v>1377</c:v>
                </c:pt>
                <c:pt idx="810">
                  <c:v>1377</c:v>
                </c:pt>
                <c:pt idx="811">
                  <c:v>1377</c:v>
                </c:pt>
                <c:pt idx="812">
                  <c:v>1377</c:v>
                </c:pt>
                <c:pt idx="813">
                  <c:v>1377</c:v>
                </c:pt>
                <c:pt idx="814">
                  <c:v>1377</c:v>
                </c:pt>
                <c:pt idx="815">
                  <c:v>1377</c:v>
                </c:pt>
                <c:pt idx="816">
                  <c:v>1377</c:v>
                </c:pt>
                <c:pt idx="817">
                  <c:v>1377</c:v>
                </c:pt>
                <c:pt idx="818">
                  <c:v>1377</c:v>
                </c:pt>
                <c:pt idx="819">
                  <c:v>1377</c:v>
                </c:pt>
                <c:pt idx="820">
                  <c:v>1377</c:v>
                </c:pt>
                <c:pt idx="821">
                  <c:v>1377</c:v>
                </c:pt>
                <c:pt idx="822">
                  <c:v>1377</c:v>
                </c:pt>
                <c:pt idx="823">
                  <c:v>1377</c:v>
                </c:pt>
                <c:pt idx="824">
                  <c:v>1377</c:v>
                </c:pt>
                <c:pt idx="825">
                  <c:v>1377</c:v>
                </c:pt>
                <c:pt idx="826">
                  <c:v>1377</c:v>
                </c:pt>
                <c:pt idx="827">
                  <c:v>1377</c:v>
                </c:pt>
                <c:pt idx="828">
                  <c:v>1377</c:v>
                </c:pt>
                <c:pt idx="829">
                  <c:v>1377</c:v>
                </c:pt>
                <c:pt idx="830">
                  <c:v>1377</c:v>
                </c:pt>
                <c:pt idx="831">
                  <c:v>1377</c:v>
                </c:pt>
                <c:pt idx="832">
                  <c:v>1377</c:v>
                </c:pt>
                <c:pt idx="833">
                  <c:v>1377</c:v>
                </c:pt>
                <c:pt idx="834">
                  <c:v>1377</c:v>
                </c:pt>
                <c:pt idx="835">
                  <c:v>1377</c:v>
                </c:pt>
                <c:pt idx="836">
                  <c:v>1377</c:v>
                </c:pt>
                <c:pt idx="837">
                  <c:v>1377</c:v>
                </c:pt>
                <c:pt idx="838">
                  <c:v>1377</c:v>
                </c:pt>
                <c:pt idx="839">
                  <c:v>1377</c:v>
                </c:pt>
                <c:pt idx="840">
                  <c:v>1377</c:v>
                </c:pt>
                <c:pt idx="841">
                  <c:v>1377</c:v>
                </c:pt>
                <c:pt idx="842">
                  <c:v>1377</c:v>
                </c:pt>
                <c:pt idx="843">
                  <c:v>1377</c:v>
                </c:pt>
                <c:pt idx="844">
                  <c:v>1377</c:v>
                </c:pt>
                <c:pt idx="845">
                  <c:v>1377</c:v>
                </c:pt>
                <c:pt idx="846">
                  <c:v>1377</c:v>
                </c:pt>
                <c:pt idx="847">
                  <c:v>1377</c:v>
                </c:pt>
                <c:pt idx="848">
                  <c:v>1377</c:v>
                </c:pt>
                <c:pt idx="849">
                  <c:v>1377</c:v>
                </c:pt>
                <c:pt idx="850">
                  <c:v>1377</c:v>
                </c:pt>
                <c:pt idx="851">
                  <c:v>1377</c:v>
                </c:pt>
                <c:pt idx="852">
                  <c:v>1377</c:v>
                </c:pt>
                <c:pt idx="853">
                  <c:v>1377</c:v>
                </c:pt>
                <c:pt idx="854">
                  <c:v>1377</c:v>
                </c:pt>
                <c:pt idx="855">
                  <c:v>1377</c:v>
                </c:pt>
                <c:pt idx="856">
                  <c:v>1377</c:v>
                </c:pt>
                <c:pt idx="857">
                  <c:v>1377</c:v>
                </c:pt>
                <c:pt idx="858">
                  <c:v>1377</c:v>
                </c:pt>
                <c:pt idx="859">
                  <c:v>1377</c:v>
                </c:pt>
                <c:pt idx="860">
                  <c:v>1377</c:v>
                </c:pt>
                <c:pt idx="861">
                  <c:v>1377</c:v>
                </c:pt>
                <c:pt idx="862">
                  <c:v>1377</c:v>
                </c:pt>
                <c:pt idx="863">
                  <c:v>1377</c:v>
                </c:pt>
                <c:pt idx="864">
                  <c:v>1377</c:v>
                </c:pt>
                <c:pt idx="865">
                  <c:v>1377</c:v>
                </c:pt>
                <c:pt idx="866">
                  <c:v>1377</c:v>
                </c:pt>
                <c:pt idx="867">
                  <c:v>1377</c:v>
                </c:pt>
                <c:pt idx="868">
                  <c:v>1377</c:v>
                </c:pt>
                <c:pt idx="869">
                  <c:v>1377</c:v>
                </c:pt>
                <c:pt idx="870">
                  <c:v>1377</c:v>
                </c:pt>
                <c:pt idx="871">
                  <c:v>1377</c:v>
                </c:pt>
                <c:pt idx="872">
                  <c:v>1377</c:v>
                </c:pt>
                <c:pt idx="873">
                  <c:v>1377</c:v>
                </c:pt>
                <c:pt idx="874">
                  <c:v>1377</c:v>
                </c:pt>
                <c:pt idx="875">
                  <c:v>1377</c:v>
                </c:pt>
                <c:pt idx="876">
                  <c:v>1377</c:v>
                </c:pt>
                <c:pt idx="877">
                  <c:v>1377</c:v>
                </c:pt>
                <c:pt idx="878">
                  <c:v>1377</c:v>
                </c:pt>
                <c:pt idx="879">
                  <c:v>1377</c:v>
                </c:pt>
                <c:pt idx="880">
                  <c:v>1377</c:v>
                </c:pt>
                <c:pt idx="881">
                  <c:v>1377</c:v>
                </c:pt>
                <c:pt idx="882">
                  <c:v>1377</c:v>
                </c:pt>
                <c:pt idx="883">
                  <c:v>1377</c:v>
                </c:pt>
                <c:pt idx="884">
                  <c:v>1377</c:v>
                </c:pt>
                <c:pt idx="885">
                  <c:v>1377</c:v>
                </c:pt>
                <c:pt idx="886">
                  <c:v>1377</c:v>
                </c:pt>
                <c:pt idx="887">
                  <c:v>1377</c:v>
                </c:pt>
                <c:pt idx="888">
                  <c:v>1377</c:v>
                </c:pt>
                <c:pt idx="889">
                  <c:v>1377</c:v>
                </c:pt>
                <c:pt idx="890">
                  <c:v>1377</c:v>
                </c:pt>
                <c:pt idx="891">
                  <c:v>1377</c:v>
                </c:pt>
                <c:pt idx="892">
                  <c:v>1377</c:v>
                </c:pt>
                <c:pt idx="893">
                  <c:v>1377</c:v>
                </c:pt>
                <c:pt idx="894">
                  <c:v>1377</c:v>
                </c:pt>
                <c:pt idx="895">
                  <c:v>1377</c:v>
                </c:pt>
                <c:pt idx="896">
                  <c:v>1377</c:v>
                </c:pt>
                <c:pt idx="897">
                  <c:v>1377</c:v>
                </c:pt>
                <c:pt idx="898">
                  <c:v>1377</c:v>
                </c:pt>
                <c:pt idx="899">
                  <c:v>1377</c:v>
                </c:pt>
                <c:pt idx="900">
                  <c:v>1377</c:v>
                </c:pt>
                <c:pt idx="901">
                  <c:v>1377</c:v>
                </c:pt>
                <c:pt idx="902">
                  <c:v>1377</c:v>
                </c:pt>
                <c:pt idx="903">
                  <c:v>1377</c:v>
                </c:pt>
                <c:pt idx="904">
                  <c:v>1377</c:v>
                </c:pt>
                <c:pt idx="905">
                  <c:v>1377</c:v>
                </c:pt>
                <c:pt idx="906">
                  <c:v>1377</c:v>
                </c:pt>
                <c:pt idx="907">
                  <c:v>1377</c:v>
                </c:pt>
                <c:pt idx="908">
                  <c:v>1377</c:v>
                </c:pt>
                <c:pt idx="909">
                  <c:v>1377</c:v>
                </c:pt>
                <c:pt idx="910">
                  <c:v>1377</c:v>
                </c:pt>
                <c:pt idx="911">
                  <c:v>1377</c:v>
                </c:pt>
                <c:pt idx="912">
                  <c:v>1377</c:v>
                </c:pt>
                <c:pt idx="913">
                  <c:v>1377</c:v>
                </c:pt>
                <c:pt idx="914">
                  <c:v>1377</c:v>
                </c:pt>
                <c:pt idx="915">
                  <c:v>1377</c:v>
                </c:pt>
                <c:pt idx="916">
                  <c:v>1377</c:v>
                </c:pt>
                <c:pt idx="917">
                  <c:v>1377</c:v>
                </c:pt>
                <c:pt idx="918">
                  <c:v>1377</c:v>
                </c:pt>
                <c:pt idx="919">
                  <c:v>1377</c:v>
                </c:pt>
                <c:pt idx="920">
                  <c:v>1377</c:v>
                </c:pt>
                <c:pt idx="921">
                  <c:v>1377</c:v>
                </c:pt>
                <c:pt idx="922">
                  <c:v>1377</c:v>
                </c:pt>
                <c:pt idx="923">
                  <c:v>1377</c:v>
                </c:pt>
                <c:pt idx="924">
                  <c:v>1377</c:v>
                </c:pt>
                <c:pt idx="925">
                  <c:v>1377</c:v>
                </c:pt>
                <c:pt idx="926">
                  <c:v>1377</c:v>
                </c:pt>
                <c:pt idx="927">
                  <c:v>1377</c:v>
                </c:pt>
                <c:pt idx="928">
                  <c:v>1377</c:v>
                </c:pt>
                <c:pt idx="929">
                  <c:v>1377</c:v>
                </c:pt>
                <c:pt idx="930">
                  <c:v>1377</c:v>
                </c:pt>
                <c:pt idx="931">
                  <c:v>1377</c:v>
                </c:pt>
                <c:pt idx="932">
                  <c:v>1377</c:v>
                </c:pt>
                <c:pt idx="933">
                  <c:v>1377</c:v>
                </c:pt>
                <c:pt idx="934">
                  <c:v>1377</c:v>
                </c:pt>
                <c:pt idx="935">
                  <c:v>1377</c:v>
                </c:pt>
                <c:pt idx="936">
                  <c:v>1377</c:v>
                </c:pt>
                <c:pt idx="937">
                  <c:v>1377</c:v>
                </c:pt>
                <c:pt idx="938">
                  <c:v>1377</c:v>
                </c:pt>
                <c:pt idx="939">
                  <c:v>1377</c:v>
                </c:pt>
                <c:pt idx="940">
                  <c:v>1377</c:v>
                </c:pt>
                <c:pt idx="941">
                  <c:v>1377</c:v>
                </c:pt>
                <c:pt idx="942">
                  <c:v>1377</c:v>
                </c:pt>
                <c:pt idx="943">
                  <c:v>1377</c:v>
                </c:pt>
                <c:pt idx="944">
                  <c:v>1377</c:v>
                </c:pt>
                <c:pt idx="945">
                  <c:v>1377</c:v>
                </c:pt>
                <c:pt idx="946">
                  <c:v>1377</c:v>
                </c:pt>
                <c:pt idx="947">
                  <c:v>1377</c:v>
                </c:pt>
                <c:pt idx="948">
                  <c:v>1377</c:v>
                </c:pt>
                <c:pt idx="949">
                  <c:v>1377</c:v>
                </c:pt>
                <c:pt idx="950">
                  <c:v>1377</c:v>
                </c:pt>
                <c:pt idx="951">
                  <c:v>1377</c:v>
                </c:pt>
                <c:pt idx="952">
                  <c:v>1377</c:v>
                </c:pt>
                <c:pt idx="953">
                  <c:v>1377</c:v>
                </c:pt>
                <c:pt idx="954">
                  <c:v>1377</c:v>
                </c:pt>
                <c:pt idx="955">
                  <c:v>1377</c:v>
                </c:pt>
                <c:pt idx="956">
                  <c:v>1377</c:v>
                </c:pt>
                <c:pt idx="957">
                  <c:v>1377</c:v>
                </c:pt>
                <c:pt idx="958">
                  <c:v>1377</c:v>
                </c:pt>
                <c:pt idx="959">
                  <c:v>1377</c:v>
                </c:pt>
                <c:pt idx="960">
                  <c:v>1377</c:v>
                </c:pt>
                <c:pt idx="961">
                  <c:v>1377</c:v>
                </c:pt>
                <c:pt idx="962">
                  <c:v>1377</c:v>
                </c:pt>
                <c:pt idx="963">
                  <c:v>1377</c:v>
                </c:pt>
                <c:pt idx="964">
                  <c:v>1377</c:v>
                </c:pt>
                <c:pt idx="965">
                  <c:v>1377</c:v>
                </c:pt>
                <c:pt idx="966">
                  <c:v>1377</c:v>
                </c:pt>
                <c:pt idx="967">
                  <c:v>1377</c:v>
                </c:pt>
                <c:pt idx="968">
                  <c:v>1377</c:v>
                </c:pt>
                <c:pt idx="969">
                  <c:v>1377</c:v>
                </c:pt>
                <c:pt idx="970">
                  <c:v>1377</c:v>
                </c:pt>
                <c:pt idx="971">
                  <c:v>1377</c:v>
                </c:pt>
                <c:pt idx="972">
                  <c:v>1377</c:v>
                </c:pt>
                <c:pt idx="973">
                  <c:v>1377</c:v>
                </c:pt>
                <c:pt idx="974">
                  <c:v>1377</c:v>
                </c:pt>
                <c:pt idx="975">
                  <c:v>1377</c:v>
                </c:pt>
                <c:pt idx="976">
                  <c:v>1377</c:v>
                </c:pt>
                <c:pt idx="977">
                  <c:v>1377</c:v>
                </c:pt>
                <c:pt idx="978">
                  <c:v>1377</c:v>
                </c:pt>
                <c:pt idx="979">
                  <c:v>1377</c:v>
                </c:pt>
                <c:pt idx="980">
                  <c:v>1377</c:v>
                </c:pt>
                <c:pt idx="981">
                  <c:v>1377</c:v>
                </c:pt>
                <c:pt idx="982">
                  <c:v>1377</c:v>
                </c:pt>
                <c:pt idx="983">
                  <c:v>1377</c:v>
                </c:pt>
                <c:pt idx="984">
                  <c:v>1377</c:v>
                </c:pt>
                <c:pt idx="985">
                  <c:v>1377</c:v>
                </c:pt>
                <c:pt idx="986">
                  <c:v>1377</c:v>
                </c:pt>
                <c:pt idx="987">
                  <c:v>1377</c:v>
                </c:pt>
                <c:pt idx="988">
                  <c:v>1377</c:v>
                </c:pt>
                <c:pt idx="989">
                  <c:v>1377</c:v>
                </c:pt>
                <c:pt idx="990">
                  <c:v>1377</c:v>
                </c:pt>
                <c:pt idx="991">
                  <c:v>1377</c:v>
                </c:pt>
                <c:pt idx="992">
                  <c:v>1377</c:v>
                </c:pt>
                <c:pt idx="993">
                  <c:v>1377</c:v>
                </c:pt>
                <c:pt idx="994">
                  <c:v>1377</c:v>
                </c:pt>
                <c:pt idx="995">
                  <c:v>1377</c:v>
                </c:pt>
                <c:pt idx="996">
                  <c:v>1377</c:v>
                </c:pt>
                <c:pt idx="997">
                  <c:v>1377</c:v>
                </c:pt>
                <c:pt idx="998">
                  <c:v>1377</c:v>
                </c:pt>
                <c:pt idx="999">
                  <c:v>1377</c:v>
                </c:pt>
                <c:pt idx="1000">
                  <c:v>1377</c:v>
                </c:pt>
                <c:pt idx="1001">
                  <c:v>1377</c:v>
                </c:pt>
                <c:pt idx="1002">
                  <c:v>1377</c:v>
                </c:pt>
                <c:pt idx="1003">
                  <c:v>1377</c:v>
                </c:pt>
                <c:pt idx="1004">
                  <c:v>1377</c:v>
                </c:pt>
                <c:pt idx="1005">
                  <c:v>1377</c:v>
                </c:pt>
                <c:pt idx="1006">
                  <c:v>1377</c:v>
                </c:pt>
                <c:pt idx="1007">
                  <c:v>1377</c:v>
                </c:pt>
                <c:pt idx="1008">
                  <c:v>1377</c:v>
                </c:pt>
                <c:pt idx="1009">
                  <c:v>1377</c:v>
                </c:pt>
                <c:pt idx="1010">
                  <c:v>1377</c:v>
                </c:pt>
                <c:pt idx="1011">
                  <c:v>1377</c:v>
                </c:pt>
                <c:pt idx="1012">
                  <c:v>1377</c:v>
                </c:pt>
                <c:pt idx="1013">
                  <c:v>1377</c:v>
                </c:pt>
                <c:pt idx="1014">
                  <c:v>1377</c:v>
                </c:pt>
                <c:pt idx="1015">
                  <c:v>1377</c:v>
                </c:pt>
                <c:pt idx="1016">
                  <c:v>1377</c:v>
                </c:pt>
                <c:pt idx="1017">
                  <c:v>1377</c:v>
                </c:pt>
                <c:pt idx="1018">
                  <c:v>1377</c:v>
                </c:pt>
                <c:pt idx="1019">
                  <c:v>1377</c:v>
                </c:pt>
                <c:pt idx="1020">
                  <c:v>1377</c:v>
                </c:pt>
                <c:pt idx="1021">
                  <c:v>1377</c:v>
                </c:pt>
                <c:pt idx="1022">
                  <c:v>1377</c:v>
                </c:pt>
                <c:pt idx="1023">
                  <c:v>1377</c:v>
                </c:pt>
                <c:pt idx="1024">
                  <c:v>1377</c:v>
                </c:pt>
                <c:pt idx="1025">
                  <c:v>1377</c:v>
                </c:pt>
                <c:pt idx="1026">
                  <c:v>1377</c:v>
                </c:pt>
                <c:pt idx="1027">
                  <c:v>1377</c:v>
                </c:pt>
                <c:pt idx="1028">
                  <c:v>1377</c:v>
                </c:pt>
                <c:pt idx="1029">
                  <c:v>1377</c:v>
                </c:pt>
                <c:pt idx="1030">
                  <c:v>1377</c:v>
                </c:pt>
                <c:pt idx="1031">
                  <c:v>1377</c:v>
                </c:pt>
                <c:pt idx="1032">
                  <c:v>1377</c:v>
                </c:pt>
                <c:pt idx="1033">
                  <c:v>1377</c:v>
                </c:pt>
                <c:pt idx="1034">
                  <c:v>1377</c:v>
                </c:pt>
                <c:pt idx="1035">
                  <c:v>1377</c:v>
                </c:pt>
                <c:pt idx="1036">
                  <c:v>1377</c:v>
                </c:pt>
                <c:pt idx="1037">
                  <c:v>1377</c:v>
                </c:pt>
                <c:pt idx="1038">
                  <c:v>1377</c:v>
                </c:pt>
                <c:pt idx="1039">
                  <c:v>1377</c:v>
                </c:pt>
                <c:pt idx="1040">
                  <c:v>1377</c:v>
                </c:pt>
                <c:pt idx="1041">
                  <c:v>1377</c:v>
                </c:pt>
                <c:pt idx="1042">
                  <c:v>1377</c:v>
                </c:pt>
                <c:pt idx="1043">
                  <c:v>1377</c:v>
                </c:pt>
                <c:pt idx="1044">
                  <c:v>1377</c:v>
                </c:pt>
                <c:pt idx="1045">
                  <c:v>1377</c:v>
                </c:pt>
                <c:pt idx="1046">
                  <c:v>1377</c:v>
                </c:pt>
                <c:pt idx="1047">
                  <c:v>1377</c:v>
                </c:pt>
                <c:pt idx="1048">
                  <c:v>1377</c:v>
                </c:pt>
                <c:pt idx="1049">
                  <c:v>1377</c:v>
                </c:pt>
                <c:pt idx="1050">
                  <c:v>1377</c:v>
                </c:pt>
                <c:pt idx="1051">
                  <c:v>1377</c:v>
                </c:pt>
                <c:pt idx="1052">
                  <c:v>1377</c:v>
                </c:pt>
                <c:pt idx="1053">
                  <c:v>1377</c:v>
                </c:pt>
                <c:pt idx="1054">
                  <c:v>1377</c:v>
                </c:pt>
                <c:pt idx="1055">
                  <c:v>1377</c:v>
                </c:pt>
                <c:pt idx="1056">
                  <c:v>1377</c:v>
                </c:pt>
                <c:pt idx="1057">
                  <c:v>1377</c:v>
                </c:pt>
                <c:pt idx="1058">
                  <c:v>1377</c:v>
                </c:pt>
                <c:pt idx="1059">
                  <c:v>1377</c:v>
                </c:pt>
                <c:pt idx="1060">
                  <c:v>1377</c:v>
                </c:pt>
                <c:pt idx="1061">
                  <c:v>1377</c:v>
                </c:pt>
                <c:pt idx="1062">
                  <c:v>1377</c:v>
                </c:pt>
                <c:pt idx="1063">
                  <c:v>1377</c:v>
                </c:pt>
                <c:pt idx="1064">
                  <c:v>1377</c:v>
                </c:pt>
                <c:pt idx="1065">
                  <c:v>1377</c:v>
                </c:pt>
                <c:pt idx="1066">
                  <c:v>1377</c:v>
                </c:pt>
                <c:pt idx="1067">
                  <c:v>1377</c:v>
                </c:pt>
                <c:pt idx="1068">
                  <c:v>1377</c:v>
                </c:pt>
                <c:pt idx="1069">
                  <c:v>1377</c:v>
                </c:pt>
                <c:pt idx="1070">
                  <c:v>1377</c:v>
                </c:pt>
                <c:pt idx="1071">
                  <c:v>1377</c:v>
                </c:pt>
                <c:pt idx="1072">
                  <c:v>1377</c:v>
                </c:pt>
                <c:pt idx="1073">
                  <c:v>1377</c:v>
                </c:pt>
                <c:pt idx="1074">
                  <c:v>1377</c:v>
                </c:pt>
                <c:pt idx="1075">
                  <c:v>1377</c:v>
                </c:pt>
                <c:pt idx="1076">
                  <c:v>1377</c:v>
                </c:pt>
                <c:pt idx="1077">
                  <c:v>1377</c:v>
                </c:pt>
                <c:pt idx="1078">
                  <c:v>1377</c:v>
                </c:pt>
                <c:pt idx="1079">
                  <c:v>1377</c:v>
                </c:pt>
                <c:pt idx="1080">
                  <c:v>1377</c:v>
                </c:pt>
                <c:pt idx="1081">
                  <c:v>1377</c:v>
                </c:pt>
                <c:pt idx="1082">
                  <c:v>1377</c:v>
                </c:pt>
                <c:pt idx="1083">
                  <c:v>1377</c:v>
                </c:pt>
                <c:pt idx="1084">
                  <c:v>1377</c:v>
                </c:pt>
                <c:pt idx="1085">
                  <c:v>1377</c:v>
                </c:pt>
                <c:pt idx="1086">
                  <c:v>1377</c:v>
                </c:pt>
                <c:pt idx="1087">
                  <c:v>1377</c:v>
                </c:pt>
                <c:pt idx="1088">
                  <c:v>1377</c:v>
                </c:pt>
                <c:pt idx="1089">
                  <c:v>1377</c:v>
                </c:pt>
                <c:pt idx="1090">
                  <c:v>1377</c:v>
                </c:pt>
                <c:pt idx="1091">
                  <c:v>1377</c:v>
                </c:pt>
                <c:pt idx="1092">
                  <c:v>1377</c:v>
                </c:pt>
                <c:pt idx="1093">
                  <c:v>1377</c:v>
                </c:pt>
                <c:pt idx="1094">
                  <c:v>1377</c:v>
                </c:pt>
                <c:pt idx="1095">
                  <c:v>1377</c:v>
                </c:pt>
                <c:pt idx="1096">
                  <c:v>1377</c:v>
                </c:pt>
                <c:pt idx="1097">
                  <c:v>1377</c:v>
                </c:pt>
                <c:pt idx="1098">
                  <c:v>1377</c:v>
                </c:pt>
                <c:pt idx="1099">
                  <c:v>1377</c:v>
                </c:pt>
                <c:pt idx="1100">
                  <c:v>1377</c:v>
                </c:pt>
                <c:pt idx="1101">
                  <c:v>1377</c:v>
                </c:pt>
                <c:pt idx="1102">
                  <c:v>1377</c:v>
                </c:pt>
                <c:pt idx="1103">
                  <c:v>1377</c:v>
                </c:pt>
                <c:pt idx="1104">
                  <c:v>1377</c:v>
                </c:pt>
                <c:pt idx="1105">
                  <c:v>1377</c:v>
                </c:pt>
                <c:pt idx="1106">
                  <c:v>1377</c:v>
                </c:pt>
                <c:pt idx="1107">
                  <c:v>1377</c:v>
                </c:pt>
                <c:pt idx="1108">
                  <c:v>1377</c:v>
                </c:pt>
                <c:pt idx="1109">
                  <c:v>1377</c:v>
                </c:pt>
                <c:pt idx="1110">
                  <c:v>1377</c:v>
                </c:pt>
                <c:pt idx="1111">
                  <c:v>1377</c:v>
                </c:pt>
                <c:pt idx="1112">
                  <c:v>1377</c:v>
                </c:pt>
                <c:pt idx="1113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61-4397-87F8-4618E103A398}"/>
            </c:ext>
          </c:extLst>
        </c:ser>
        <c:ser>
          <c:idx val="4"/>
          <c:order val="8"/>
          <c:tx>
            <c:strRef>
              <c:f>Pages!$J$1</c:f>
              <c:strCache>
                <c:ptCount val="1"/>
                <c:pt idx="0">
                  <c:v>Cumulative 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[0]!PagesCum2026All</c:f>
              <c:numCache>
                <c:formatCode>General</c:formatCode>
                <c:ptCount val="1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141</c:v>
                </c:pt>
                <c:pt idx="818">
                  <c:v>156</c:v>
                </c:pt>
                <c:pt idx="819">
                  <c:v>170</c:v>
                </c:pt>
                <c:pt idx="820">
                  <c:v>170</c:v>
                </c:pt>
                <c:pt idx="821">
                  <c:v>170</c:v>
                </c:pt>
                <c:pt idx="822">
                  <c:v>170</c:v>
                </c:pt>
                <c:pt idx="823">
                  <c:v>174</c:v>
                </c:pt>
                <c:pt idx="824">
                  <c:v>186</c:v>
                </c:pt>
                <c:pt idx="825">
                  <c:v>341</c:v>
                </c:pt>
                <c:pt idx="826">
                  <c:v>341</c:v>
                </c:pt>
                <c:pt idx="827">
                  <c:v>341</c:v>
                </c:pt>
                <c:pt idx="828">
                  <c:v>341</c:v>
                </c:pt>
                <c:pt idx="829">
                  <c:v>341</c:v>
                </c:pt>
                <c:pt idx="830">
                  <c:v>341</c:v>
                </c:pt>
                <c:pt idx="831">
                  <c:v>341</c:v>
                </c:pt>
                <c:pt idx="832">
                  <c:v>341</c:v>
                </c:pt>
                <c:pt idx="833">
                  <c:v>341</c:v>
                </c:pt>
                <c:pt idx="834">
                  <c:v>341</c:v>
                </c:pt>
                <c:pt idx="835">
                  <c:v>341</c:v>
                </c:pt>
                <c:pt idx="836">
                  <c:v>341</c:v>
                </c:pt>
                <c:pt idx="837">
                  <c:v>341</c:v>
                </c:pt>
                <c:pt idx="838">
                  <c:v>341</c:v>
                </c:pt>
                <c:pt idx="839">
                  <c:v>341</c:v>
                </c:pt>
                <c:pt idx="840">
                  <c:v>341</c:v>
                </c:pt>
                <c:pt idx="841">
                  <c:v>341</c:v>
                </c:pt>
                <c:pt idx="842">
                  <c:v>341</c:v>
                </c:pt>
                <c:pt idx="843">
                  <c:v>341</c:v>
                </c:pt>
                <c:pt idx="844">
                  <c:v>341</c:v>
                </c:pt>
                <c:pt idx="845">
                  <c:v>341</c:v>
                </c:pt>
                <c:pt idx="846">
                  <c:v>341</c:v>
                </c:pt>
                <c:pt idx="847">
                  <c:v>341</c:v>
                </c:pt>
                <c:pt idx="848">
                  <c:v>341</c:v>
                </c:pt>
                <c:pt idx="849">
                  <c:v>341</c:v>
                </c:pt>
                <c:pt idx="850">
                  <c:v>341</c:v>
                </c:pt>
                <c:pt idx="851">
                  <c:v>341</c:v>
                </c:pt>
                <c:pt idx="852">
                  <c:v>341</c:v>
                </c:pt>
                <c:pt idx="853">
                  <c:v>341</c:v>
                </c:pt>
                <c:pt idx="854">
                  <c:v>341</c:v>
                </c:pt>
                <c:pt idx="855">
                  <c:v>341</c:v>
                </c:pt>
                <c:pt idx="856">
                  <c:v>341</c:v>
                </c:pt>
                <c:pt idx="857">
                  <c:v>341</c:v>
                </c:pt>
                <c:pt idx="858">
                  <c:v>341</c:v>
                </c:pt>
                <c:pt idx="859">
                  <c:v>341</c:v>
                </c:pt>
                <c:pt idx="860">
                  <c:v>341</c:v>
                </c:pt>
                <c:pt idx="861">
                  <c:v>341</c:v>
                </c:pt>
                <c:pt idx="862">
                  <c:v>341</c:v>
                </c:pt>
                <c:pt idx="863">
                  <c:v>341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341</c:v>
                </c:pt>
                <c:pt idx="889">
                  <c:v>341</c:v>
                </c:pt>
                <c:pt idx="890">
                  <c:v>341</c:v>
                </c:pt>
                <c:pt idx="891">
                  <c:v>341</c:v>
                </c:pt>
                <c:pt idx="892">
                  <c:v>495.5</c:v>
                </c:pt>
                <c:pt idx="893">
                  <c:v>600</c:v>
                </c:pt>
                <c:pt idx="894">
                  <c:v>720</c:v>
                </c:pt>
                <c:pt idx="895">
                  <c:v>815</c:v>
                </c:pt>
                <c:pt idx="896">
                  <c:v>824</c:v>
                </c:pt>
                <c:pt idx="897">
                  <c:v>824</c:v>
                </c:pt>
                <c:pt idx="898">
                  <c:v>849</c:v>
                </c:pt>
                <c:pt idx="899">
                  <c:v>938</c:v>
                </c:pt>
                <c:pt idx="900">
                  <c:v>977</c:v>
                </c:pt>
                <c:pt idx="901">
                  <c:v>1004</c:v>
                </c:pt>
                <c:pt idx="902">
                  <c:v>1096</c:v>
                </c:pt>
                <c:pt idx="903">
                  <c:v>1144</c:v>
                </c:pt>
                <c:pt idx="904">
                  <c:v>1255</c:v>
                </c:pt>
                <c:pt idx="905">
                  <c:v>1265</c:v>
                </c:pt>
                <c:pt idx="906">
                  <c:v>1265</c:v>
                </c:pt>
                <c:pt idx="907">
                  <c:v>1265</c:v>
                </c:pt>
                <c:pt idx="908">
                  <c:v>1265</c:v>
                </c:pt>
                <c:pt idx="909">
                  <c:v>1265</c:v>
                </c:pt>
                <c:pt idx="910">
                  <c:v>1265</c:v>
                </c:pt>
                <c:pt idx="911">
                  <c:v>1265</c:v>
                </c:pt>
                <c:pt idx="912">
                  <c:v>1265</c:v>
                </c:pt>
                <c:pt idx="913">
                  <c:v>1265</c:v>
                </c:pt>
                <c:pt idx="914">
                  <c:v>1265</c:v>
                </c:pt>
                <c:pt idx="915">
                  <c:v>1341</c:v>
                </c:pt>
                <c:pt idx="916">
                  <c:v>1388</c:v>
                </c:pt>
                <c:pt idx="917">
                  <c:v>1411</c:v>
                </c:pt>
                <c:pt idx="918">
                  <c:v>1411</c:v>
                </c:pt>
                <c:pt idx="919">
                  <c:v>1411</c:v>
                </c:pt>
                <c:pt idx="920">
                  <c:v>1411</c:v>
                </c:pt>
                <c:pt idx="921">
                  <c:v>1524</c:v>
                </c:pt>
                <c:pt idx="922">
                  <c:v>1579</c:v>
                </c:pt>
                <c:pt idx="923">
                  <c:v>1579</c:v>
                </c:pt>
                <c:pt idx="924">
                  <c:v>1589</c:v>
                </c:pt>
                <c:pt idx="925">
                  <c:v>1589</c:v>
                </c:pt>
                <c:pt idx="926">
                  <c:v>1589</c:v>
                </c:pt>
                <c:pt idx="927">
                  <c:v>1589</c:v>
                </c:pt>
                <c:pt idx="928">
                  <c:v>1589</c:v>
                </c:pt>
                <c:pt idx="929">
                  <c:v>1589</c:v>
                </c:pt>
                <c:pt idx="930">
                  <c:v>1589</c:v>
                </c:pt>
                <c:pt idx="931">
                  <c:v>1589</c:v>
                </c:pt>
                <c:pt idx="932">
                  <c:v>1589</c:v>
                </c:pt>
                <c:pt idx="933">
                  <c:v>1589</c:v>
                </c:pt>
                <c:pt idx="934">
                  <c:v>1589</c:v>
                </c:pt>
                <c:pt idx="935">
                  <c:v>1589</c:v>
                </c:pt>
                <c:pt idx="936">
                  <c:v>1589</c:v>
                </c:pt>
                <c:pt idx="937">
                  <c:v>1589</c:v>
                </c:pt>
                <c:pt idx="938">
                  <c:v>1589</c:v>
                </c:pt>
                <c:pt idx="939">
                  <c:v>1589</c:v>
                </c:pt>
                <c:pt idx="940">
                  <c:v>1589</c:v>
                </c:pt>
                <c:pt idx="941">
                  <c:v>1589</c:v>
                </c:pt>
                <c:pt idx="942">
                  <c:v>1589</c:v>
                </c:pt>
                <c:pt idx="943">
                  <c:v>1589</c:v>
                </c:pt>
                <c:pt idx="944">
                  <c:v>1589</c:v>
                </c:pt>
                <c:pt idx="945">
                  <c:v>1589</c:v>
                </c:pt>
                <c:pt idx="946">
                  <c:v>1589</c:v>
                </c:pt>
                <c:pt idx="947">
                  <c:v>1589</c:v>
                </c:pt>
                <c:pt idx="948">
                  <c:v>1589</c:v>
                </c:pt>
                <c:pt idx="949">
                  <c:v>1589</c:v>
                </c:pt>
                <c:pt idx="950">
                  <c:v>1589</c:v>
                </c:pt>
                <c:pt idx="951">
                  <c:v>1589</c:v>
                </c:pt>
                <c:pt idx="952">
                  <c:v>1589</c:v>
                </c:pt>
                <c:pt idx="953">
                  <c:v>1589</c:v>
                </c:pt>
                <c:pt idx="954">
                  <c:v>1589</c:v>
                </c:pt>
                <c:pt idx="955">
                  <c:v>1589</c:v>
                </c:pt>
                <c:pt idx="956">
                  <c:v>1589</c:v>
                </c:pt>
                <c:pt idx="957">
                  <c:v>1589</c:v>
                </c:pt>
                <c:pt idx="958">
                  <c:v>1589</c:v>
                </c:pt>
                <c:pt idx="959">
                  <c:v>1589</c:v>
                </c:pt>
                <c:pt idx="960">
                  <c:v>1589</c:v>
                </c:pt>
                <c:pt idx="961">
                  <c:v>1589</c:v>
                </c:pt>
                <c:pt idx="962">
                  <c:v>1589</c:v>
                </c:pt>
                <c:pt idx="963">
                  <c:v>1589</c:v>
                </c:pt>
                <c:pt idx="964">
                  <c:v>1589</c:v>
                </c:pt>
                <c:pt idx="965">
                  <c:v>1589</c:v>
                </c:pt>
                <c:pt idx="966">
                  <c:v>1589</c:v>
                </c:pt>
                <c:pt idx="967">
                  <c:v>1589</c:v>
                </c:pt>
                <c:pt idx="968">
                  <c:v>1589</c:v>
                </c:pt>
                <c:pt idx="969">
                  <c:v>1589</c:v>
                </c:pt>
                <c:pt idx="970">
                  <c:v>1589</c:v>
                </c:pt>
                <c:pt idx="971">
                  <c:v>1589</c:v>
                </c:pt>
                <c:pt idx="972">
                  <c:v>1589</c:v>
                </c:pt>
                <c:pt idx="973">
                  <c:v>1589</c:v>
                </c:pt>
                <c:pt idx="974">
                  <c:v>1589</c:v>
                </c:pt>
                <c:pt idx="975">
                  <c:v>1589</c:v>
                </c:pt>
                <c:pt idx="976">
                  <c:v>1589</c:v>
                </c:pt>
                <c:pt idx="977">
                  <c:v>1589</c:v>
                </c:pt>
                <c:pt idx="978">
                  <c:v>1589</c:v>
                </c:pt>
                <c:pt idx="979">
                  <c:v>1589</c:v>
                </c:pt>
                <c:pt idx="980">
                  <c:v>1589</c:v>
                </c:pt>
                <c:pt idx="981">
                  <c:v>1589</c:v>
                </c:pt>
                <c:pt idx="982">
                  <c:v>1589</c:v>
                </c:pt>
                <c:pt idx="983">
                  <c:v>1589</c:v>
                </c:pt>
                <c:pt idx="984">
                  <c:v>1589</c:v>
                </c:pt>
                <c:pt idx="985">
                  <c:v>1589</c:v>
                </c:pt>
                <c:pt idx="986">
                  <c:v>1589</c:v>
                </c:pt>
                <c:pt idx="987">
                  <c:v>1589</c:v>
                </c:pt>
                <c:pt idx="988">
                  <c:v>1589</c:v>
                </c:pt>
                <c:pt idx="989">
                  <c:v>1589</c:v>
                </c:pt>
                <c:pt idx="990">
                  <c:v>1589</c:v>
                </c:pt>
                <c:pt idx="991">
                  <c:v>1589</c:v>
                </c:pt>
                <c:pt idx="992">
                  <c:v>1589</c:v>
                </c:pt>
                <c:pt idx="993">
                  <c:v>1589</c:v>
                </c:pt>
                <c:pt idx="994">
                  <c:v>1589</c:v>
                </c:pt>
                <c:pt idx="995">
                  <c:v>1589</c:v>
                </c:pt>
                <c:pt idx="996">
                  <c:v>1589</c:v>
                </c:pt>
                <c:pt idx="997">
                  <c:v>1589</c:v>
                </c:pt>
                <c:pt idx="998">
                  <c:v>1589</c:v>
                </c:pt>
                <c:pt idx="999">
                  <c:v>1589</c:v>
                </c:pt>
                <c:pt idx="1000">
                  <c:v>1589</c:v>
                </c:pt>
                <c:pt idx="1001">
                  <c:v>1589</c:v>
                </c:pt>
                <c:pt idx="1002">
                  <c:v>1589</c:v>
                </c:pt>
                <c:pt idx="1003">
                  <c:v>1589</c:v>
                </c:pt>
                <c:pt idx="1004">
                  <c:v>1589</c:v>
                </c:pt>
                <c:pt idx="1005">
                  <c:v>1589</c:v>
                </c:pt>
                <c:pt idx="1006">
                  <c:v>1589</c:v>
                </c:pt>
                <c:pt idx="1007">
                  <c:v>1589</c:v>
                </c:pt>
                <c:pt idx="1008">
                  <c:v>1589</c:v>
                </c:pt>
                <c:pt idx="1009">
                  <c:v>1589</c:v>
                </c:pt>
                <c:pt idx="1010">
                  <c:v>1589</c:v>
                </c:pt>
                <c:pt idx="1011">
                  <c:v>1589</c:v>
                </c:pt>
                <c:pt idx="1012">
                  <c:v>1589</c:v>
                </c:pt>
                <c:pt idx="1013">
                  <c:v>1589</c:v>
                </c:pt>
                <c:pt idx="1014">
                  <c:v>1589</c:v>
                </c:pt>
                <c:pt idx="1015">
                  <c:v>1589</c:v>
                </c:pt>
                <c:pt idx="1016">
                  <c:v>1589</c:v>
                </c:pt>
                <c:pt idx="1017">
                  <c:v>1589</c:v>
                </c:pt>
                <c:pt idx="1018">
                  <c:v>1589</c:v>
                </c:pt>
                <c:pt idx="1019">
                  <c:v>1589</c:v>
                </c:pt>
                <c:pt idx="1020">
                  <c:v>1589</c:v>
                </c:pt>
                <c:pt idx="1021">
                  <c:v>1589</c:v>
                </c:pt>
                <c:pt idx="1022">
                  <c:v>1589</c:v>
                </c:pt>
                <c:pt idx="1023">
                  <c:v>1589</c:v>
                </c:pt>
                <c:pt idx="1024">
                  <c:v>1589</c:v>
                </c:pt>
                <c:pt idx="1025">
                  <c:v>1589</c:v>
                </c:pt>
                <c:pt idx="1026">
                  <c:v>1589</c:v>
                </c:pt>
                <c:pt idx="1027">
                  <c:v>1589</c:v>
                </c:pt>
                <c:pt idx="1028">
                  <c:v>1589</c:v>
                </c:pt>
                <c:pt idx="1029">
                  <c:v>1589</c:v>
                </c:pt>
                <c:pt idx="1030">
                  <c:v>1589</c:v>
                </c:pt>
                <c:pt idx="1031">
                  <c:v>1589</c:v>
                </c:pt>
                <c:pt idx="1032">
                  <c:v>1589</c:v>
                </c:pt>
                <c:pt idx="1033">
                  <c:v>1589</c:v>
                </c:pt>
                <c:pt idx="1034">
                  <c:v>1589</c:v>
                </c:pt>
                <c:pt idx="1035">
                  <c:v>1589</c:v>
                </c:pt>
                <c:pt idx="1036">
                  <c:v>1589</c:v>
                </c:pt>
                <c:pt idx="1037">
                  <c:v>1589</c:v>
                </c:pt>
                <c:pt idx="1038">
                  <c:v>1589</c:v>
                </c:pt>
                <c:pt idx="1039">
                  <c:v>1589</c:v>
                </c:pt>
                <c:pt idx="1040">
                  <c:v>1589</c:v>
                </c:pt>
                <c:pt idx="1041">
                  <c:v>1589</c:v>
                </c:pt>
                <c:pt idx="1042">
                  <c:v>1589</c:v>
                </c:pt>
                <c:pt idx="1043">
                  <c:v>1589</c:v>
                </c:pt>
                <c:pt idx="1044">
                  <c:v>1589</c:v>
                </c:pt>
                <c:pt idx="1045">
                  <c:v>1589</c:v>
                </c:pt>
                <c:pt idx="1046">
                  <c:v>1589</c:v>
                </c:pt>
                <c:pt idx="1047">
                  <c:v>1589</c:v>
                </c:pt>
                <c:pt idx="1048">
                  <c:v>1589</c:v>
                </c:pt>
                <c:pt idx="1049">
                  <c:v>1589</c:v>
                </c:pt>
                <c:pt idx="1050">
                  <c:v>1589</c:v>
                </c:pt>
                <c:pt idx="1051">
                  <c:v>1589</c:v>
                </c:pt>
                <c:pt idx="1052">
                  <c:v>1621</c:v>
                </c:pt>
                <c:pt idx="1053">
                  <c:v>1621</c:v>
                </c:pt>
                <c:pt idx="1054">
                  <c:v>1633.5</c:v>
                </c:pt>
                <c:pt idx="1055">
                  <c:v>1633.5</c:v>
                </c:pt>
                <c:pt idx="1056">
                  <c:v>1633.5</c:v>
                </c:pt>
                <c:pt idx="1057">
                  <c:v>1633.5</c:v>
                </c:pt>
                <c:pt idx="1058">
                  <c:v>1633.5</c:v>
                </c:pt>
                <c:pt idx="1059">
                  <c:v>1633.5</c:v>
                </c:pt>
                <c:pt idx="1060">
                  <c:v>1633.5</c:v>
                </c:pt>
                <c:pt idx="1061">
                  <c:v>1633.5</c:v>
                </c:pt>
                <c:pt idx="1062">
                  <c:v>1683</c:v>
                </c:pt>
                <c:pt idx="1063">
                  <c:v>1736</c:v>
                </c:pt>
                <c:pt idx="1064">
                  <c:v>1784</c:v>
                </c:pt>
                <c:pt idx="1065">
                  <c:v>1827</c:v>
                </c:pt>
                <c:pt idx="1066">
                  <c:v>1827</c:v>
                </c:pt>
                <c:pt idx="1067">
                  <c:v>1913</c:v>
                </c:pt>
                <c:pt idx="1068">
                  <c:v>2042</c:v>
                </c:pt>
                <c:pt idx="1069">
                  <c:v>2166</c:v>
                </c:pt>
                <c:pt idx="1070">
                  <c:v>2340</c:v>
                </c:pt>
                <c:pt idx="1071">
                  <c:v>2363</c:v>
                </c:pt>
                <c:pt idx="1072">
                  <c:v>2363</c:v>
                </c:pt>
                <c:pt idx="1073">
                  <c:v>2363</c:v>
                </c:pt>
                <c:pt idx="1074">
                  <c:v>2394</c:v>
                </c:pt>
                <c:pt idx="1075">
                  <c:v>2394</c:v>
                </c:pt>
                <c:pt idx="1076">
                  <c:v>2497</c:v>
                </c:pt>
                <c:pt idx="1077">
                  <c:v>2497</c:v>
                </c:pt>
                <c:pt idx="1078">
                  <c:v>2497</c:v>
                </c:pt>
                <c:pt idx="1079">
                  <c:v>2497</c:v>
                </c:pt>
                <c:pt idx="1080">
                  <c:v>2497</c:v>
                </c:pt>
                <c:pt idx="1081">
                  <c:v>2497</c:v>
                </c:pt>
                <c:pt idx="1082">
                  <c:v>2497</c:v>
                </c:pt>
                <c:pt idx="1083">
                  <c:v>2563</c:v>
                </c:pt>
                <c:pt idx="1084">
                  <c:v>2602</c:v>
                </c:pt>
                <c:pt idx="1085">
                  <c:v>2602</c:v>
                </c:pt>
                <c:pt idx="1086">
                  <c:v>2602</c:v>
                </c:pt>
                <c:pt idx="1087">
                  <c:v>2602</c:v>
                </c:pt>
                <c:pt idx="1088">
                  <c:v>2709</c:v>
                </c:pt>
                <c:pt idx="1089">
                  <c:v>2709</c:v>
                </c:pt>
                <c:pt idx="1090">
                  <c:v>2709</c:v>
                </c:pt>
                <c:pt idx="1091">
                  <c:v>2709</c:v>
                </c:pt>
                <c:pt idx="1092">
                  <c:v>2709</c:v>
                </c:pt>
                <c:pt idx="1093">
                  <c:v>2709</c:v>
                </c:pt>
                <c:pt idx="1094">
                  <c:v>2709</c:v>
                </c:pt>
                <c:pt idx="1095">
                  <c:v>2709</c:v>
                </c:pt>
                <c:pt idx="1096">
                  <c:v>2709</c:v>
                </c:pt>
                <c:pt idx="1097">
                  <c:v>2709</c:v>
                </c:pt>
                <c:pt idx="1098">
                  <c:v>2709</c:v>
                </c:pt>
                <c:pt idx="1099">
                  <c:v>2709</c:v>
                </c:pt>
                <c:pt idx="1100">
                  <c:v>2709</c:v>
                </c:pt>
                <c:pt idx="1101">
                  <c:v>2709</c:v>
                </c:pt>
                <c:pt idx="1102">
                  <c:v>2709</c:v>
                </c:pt>
                <c:pt idx="1103">
                  <c:v>2709</c:v>
                </c:pt>
                <c:pt idx="1104">
                  <c:v>2709</c:v>
                </c:pt>
                <c:pt idx="1105">
                  <c:v>2709</c:v>
                </c:pt>
                <c:pt idx="1106">
                  <c:v>2709</c:v>
                </c:pt>
                <c:pt idx="1107">
                  <c:v>2709</c:v>
                </c:pt>
                <c:pt idx="1108">
                  <c:v>2709</c:v>
                </c:pt>
                <c:pt idx="1109">
                  <c:v>2709</c:v>
                </c:pt>
                <c:pt idx="1110">
                  <c:v>2709</c:v>
                </c:pt>
                <c:pt idx="1111">
                  <c:v>2894</c:v>
                </c:pt>
                <c:pt idx="1112">
                  <c:v>2997</c:v>
                </c:pt>
                <c:pt idx="1113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361-4397-87F8-4618E103A398}"/>
            </c:ext>
          </c:extLst>
        </c:ser>
        <c:ser>
          <c:idx val="8"/>
          <c:order val="9"/>
          <c:tx>
            <c:strRef>
              <c:f>Pages!$K$1</c:f>
              <c:strCache>
                <c:ptCount val="1"/>
                <c:pt idx="0">
                  <c:v>Max 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[0]!PagesMax2026</c:f>
              <c:numCache>
                <c:formatCode>General</c:formatCode>
                <c:ptCount val="1114"/>
                <c:pt idx="0">
                  <c:v>3102</c:v>
                </c:pt>
                <c:pt idx="1">
                  <c:v>3102</c:v>
                </c:pt>
                <c:pt idx="2">
                  <c:v>3102</c:v>
                </c:pt>
                <c:pt idx="3">
                  <c:v>3102</c:v>
                </c:pt>
                <c:pt idx="4">
                  <c:v>3102</c:v>
                </c:pt>
                <c:pt idx="5">
                  <c:v>3102</c:v>
                </c:pt>
                <c:pt idx="6">
                  <c:v>3102</c:v>
                </c:pt>
                <c:pt idx="7">
                  <c:v>3102</c:v>
                </c:pt>
                <c:pt idx="8">
                  <c:v>3102</c:v>
                </c:pt>
                <c:pt idx="9">
                  <c:v>3102</c:v>
                </c:pt>
                <c:pt idx="10">
                  <c:v>3102</c:v>
                </c:pt>
                <c:pt idx="11">
                  <c:v>3102</c:v>
                </c:pt>
                <c:pt idx="12">
                  <c:v>3102</c:v>
                </c:pt>
                <c:pt idx="13">
                  <c:v>3102</c:v>
                </c:pt>
                <c:pt idx="14">
                  <c:v>3102</c:v>
                </c:pt>
                <c:pt idx="15">
                  <c:v>3102</c:v>
                </c:pt>
                <c:pt idx="16">
                  <c:v>3102</c:v>
                </c:pt>
                <c:pt idx="17">
                  <c:v>3102</c:v>
                </c:pt>
                <c:pt idx="18">
                  <c:v>3102</c:v>
                </c:pt>
                <c:pt idx="19">
                  <c:v>3102</c:v>
                </c:pt>
                <c:pt idx="20">
                  <c:v>3102</c:v>
                </c:pt>
                <c:pt idx="21">
                  <c:v>3102</c:v>
                </c:pt>
                <c:pt idx="22">
                  <c:v>3102</c:v>
                </c:pt>
                <c:pt idx="23">
                  <c:v>3102</c:v>
                </c:pt>
                <c:pt idx="24">
                  <c:v>3102</c:v>
                </c:pt>
                <c:pt idx="25">
                  <c:v>3102</c:v>
                </c:pt>
                <c:pt idx="26">
                  <c:v>3102</c:v>
                </c:pt>
                <c:pt idx="27">
                  <c:v>3102</c:v>
                </c:pt>
                <c:pt idx="28">
                  <c:v>3102</c:v>
                </c:pt>
                <c:pt idx="29">
                  <c:v>3102</c:v>
                </c:pt>
                <c:pt idx="30">
                  <c:v>3102</c:v>
                </c:pt>
                <c:pt idx="31">
                  <c:v>3102</c:v>
                </c:pt>
                <c:pt idx="32">
                  <c:v>3102</c:v>
                </c:pt>
                <c:pt idx="33">
                  <c:v>3102</c:v>
                </c:pt>
                <c:pt idx="34">
                  <c:v>3102</c:v>
                </c:pt>
                <c:pt idx="35">
                  <c:v>3102</c:v>
                </c:pt>
                <c:pt idx="36">
                  <c:v>3102</c:v>
                </c:pt>
                <c:pt idx="37">
                  <c:v>3102</c:v>
                </c:pt>
                <c:pt idx="38">
                  <c:v>3102</c:v>
                </c:pt>
                <c:pt idx="39">
                  <c:v>3102</c:v>
                </c:pt>
                <c:pt idx="40">
                  <c:v>3102</c:v>
                </c:pt>
                <c:pt idx="41">
                  <c:v>3102</c:v>
                </c:pt>
                <c:pt idx="42">
                  <c:v>3102</c:v>
                </c:pt>
                <c:pt idx="43">
                  <c:v>3102</c:v>
                </c:pt>
                <c:pt idx="44">
                  <c:v>3102</c:v>
                </c:pt>
                <c:pt idx="45">
                  <c:v>3102</c:v>
                </c:pt>
                <c:pt idx="46">
                  <c:v>3102</c:v>
                </c:pt>
                <c:pt idx="47">
                  <c:v>3102</c:v>
                </c:pt>
                <c:pt idx="48">
                  <c:v>3102</c:v>
                </c:pt>
                <c:pt idx="49">
                  <c:v>3102</c:v>
                </c:pt>
                <c:pt idx="50">
                  <c:v>3102</c:v>
                </c:pt>
                <c:pt idx="51">
                  <c:v>3102</c:v>
                </c:pt>
                <c:pt idx="52">
                  <c:v>3102</c:v>
                </c:pt>
                <c:pt idx="53">
                  <c:v>3102</c:v>
                </c:pt>
                <c:pt idx="54">
                  <c:v>3102</c:v>
                </c:pt>
                <c:pt idx="55">
                  <c:v>3102</c:v>
                </c:pt>
                <c:pt idx="56">
                  <c:v>3102</c:v>
                </c:pt>
                <c:pt idx="57">
                  <c:v>3102</c:v>
                </c:pt>
                <c:pt idx="58">
                  <c:v>3102</c:v>
                </c:pt>
                <c:pt idx="59">
                  <c:v>3102</c:v>
                </c:pt>
                <c:pt idx="60">
                  <c:v>3102</c:v>
                </c:pt>
                <c:pt idx="61">
                  <c:v>3102</c:v>
                </c:pt>
                <c:pt idx="62">
                  <c:v>3102</c:v>
                </c:pt>
                <c:pt idx="63">
                  <c:v>3102</c:v>
                </c:pt>
                <c:pt idx="64">
                  <c:v>3102</c:v>
                </c:pt>
                <c:pt idx="65">
                  <c:v>3102</c:v>
                </c:pt>
                <c:pt idx="66">
                  <c:v>3102</c:v>
                </c:pt>
                <c:pt idx="67">
                  <c:v>3102</c:v>
                </c:pt>
                <c:pt idx="68">
                  <c:v>3102</c:v>
                </c:pt>
                <c:pt idx="69">
                  <c:v>3102</c:v>
                </c:pt>
                <c:pt idx="70">
                  <c:v>3102</c:v>
                </c:pt>
                <c:pt idx="71">
                  <c:v>3102</c:v>
                </c:pt>
                <c:pt idx="72">
                  <c:v>3102</c:v>
                </c:pt>
                <c:pt idx="73">
                  <c:v>3102</c:v>
                </c:pt>
                <c:pt idx="74">
                  <c:v>3102</c:v>
                </c:pt>
                <c:pt idx="75">
                  <c:v>3102</c:v>
                </c:pt>
                <c:pt idx="76">
                  <c:v>3102</c:v>
                </c:pt>
                <c:pt idx="77">
                  <c:v>3102</c:v>
                </c:pt>
                <c:pt idx="78">
                  <c:v>3102</c:v>
                </c:pt>
                <c:pt idx="79">
                  <c:v>3102</c:v>
                </c:pt>
                <c:pt idx="80">
                  <c:v>3102</c:v>
                </c:pt>
                <c:pt idx="81">
                  <c:v>3102</c:v>
                </c:pt>
                <c:pt idx="82">
                  <c:v>3102</c:v>
                </c:pt>
                <c:pt idx="83">
                  <c:v>3102</c:v>
                </c:pt>
                <c:pt idx="84">
                  <c:v>3102</c:v>
                </c:pt>
                <c:pt idx="85">
                  <c:v>3102</c:v>
                </c:pt>
                <c:pt idx="86">
                  <c:v>3102</c:v>
                </c:pt>
                <c:pt idx="87">
                  <c:v>3102</c:v>
                </c:pt>
                <c:pt idx="88">
                  <c:v>3102</c:v>
                </c:pt>
                <c:pt idx="89">
                  <c:v>3102</c:v>
                </c:pt>
                <c:pt idx="90">
                  <c:v>3102</c:v>
                </c:pt>
                <c:pt idx="91">
                  <c:v>3102</c:v>
                </c:pt>
                <c:pt idx="92">
                  <c:v>3102</c:v>
                </c:pt>
                <c:pt idx="93">
                  <c:v>3102</c:v>
                </c:pt>
                <c:pt idx="94">
                  <c:v>3102</c:v>
                </c:pt>
                <c:pt idx="95">
                  <c:v>3102</c:v>
                </c:pt>
                <c:pt idx="96">
                  <c:v>3102</c:v>
                </c:pt>
                <c:pt idx="97">
                  <c:v>3102</c:v>
                </c:pt>
                <c:pt idx="98">
                  <c:v>3102</c:v>
                </c:pt>
                <c:pt idx="99">
                  <c:v>3102</c:v>
                </c:pt>
                <c:pt idx="100">
                  <c:v>3102</c:v>
                </c:pt>
                <c:pt idx="101">
                  <c:v>3102</c:v>
                </c:pt>
                <c:pt idx="102">
                  <c:v>3102</c:v>
                </c:pt>
                <c:pt idx="103">
                  <c:v>3102</c:v>
                </c:pt>
                <c:pt idx="104">
                  <c:v>3102</c:v>
                </c:pt>
                <c:pt idx="105">
                  <c:v>3102</c:v>
                </c:pt>
                <c:pt idx="106">
                  <c:v>3102</c:v>
                </c:pt>
                <c:pt idx="107">
                  <c:v>3102</c:v>
                </c:pt>
                <c:pt idx="108">
                  <c:v>3102</c:v>
                </c:pt>
                <c:pt idx="109">
                  <c:v>3102</c:v>
                </c:pt>
                <c:pt idx="110">
                  <c:v>3102</c:v>
                </c:pt>
                <c:pt idx="111">
                  <c:v>3102</c:v>
                </c:pt>
                <c:pt idx="112">
                  <c:v>3102</c:v>
                </c:pt>
                <c:pt idx="113">
                  <c:v>3102</c:v>
                </c:pt>
                <c:pt idx="114">
                  <c:v>3102</c:v>
                </c:pt>
                <c:pt idx="115">
                  <c:v>3102</c:v>
                </c:pt>
                <c:pt idx="116">
                  <c:v>3102</c:v>
                </c:pt>
                <c:pt idx="117">
                  <c:v>3102</c:v>
                </c:pt>
                <c:pt idx="118">
                  <c:v>3102</c:v>
                </c:pt>
                <c:pt idx="119">
                  <c:v>3102</c:v>
                </c:pt>
                <c:pt idx="120">
                  <c:v>3102</c:v>
                </c:pt>
                <c:pt idx="121">
                  <c:v>3102</c:v>
                </c:pt>
                <c:pt idx="122">
                  <c:v>3102</c:v>
                </c:pt>
                <c:pt idx="123">
                  <c:v>3102</c:v>
                </c:pt>
                <c:pt idx="124">
                  <c:v>3102</c:v>
                </c:pt>
                <c:pt idx="125">
                  <c:v>3102</c:v>
                </c:pt>
                <c:pt idx="126">
                  <c:v>3102</c:v>
                </c:pt>
                <c:pt idx="127">
                  <c:v>3102</c:v>
                </c:pt>
                <c:pt idx="128">
                  <c:v>3102</c:v>
                </c:pt>
                <c:pt idx="129">
                  <c:v>3102</c:v>
                </c:pt>
                <c:pt idx="130">
                  <c:v>3102</c:v>
                </c:pt>
                <c:pt idx="131">
                  <c:v>3102</c:v>
                </c:pt>
                <c:pt idx="132">
                  <c:v>3102</c:v>
                </c:pt>
                <c:pt idx="133">
                  <c:v>3102</c:v>
                </c:pt>
                <c:pt idx="134">
                  <c:v>3102</c:v>
                </c:pt>
                <c:pt idx="135">
                  <c:v>3102</c:v>
                </c:pt>
                <c:pt idx="136">
                  <c:v>3102</c:v>
                </c:pt>
                <c:pt idx="137">
                  <c:v>3102</c:v>
                </c:pt>
                <c:pt idx="138">
                  <c:v>3102</c:v>
                </c:pt>
                <c:pt idx="139">
                  <c:v>3102</c:v>
                </c:pt>
                <c:pt idx="140">
                  <c:v>3102</c:v>
                </c:pt>
                <c:pt idx="141">
                  <c:v>3102</c:v>
                </c:pt>
                <c:pt idx="142">
                  <c:v>3102</c:v>
                </c:pt>
                <c:pt idx="143">
                  <c:v>3102</c:v>
                </c:pt>
                <c:pt idx="144">
                  <c:v>3102</c:v>
                </c:pt>
                <c:pt idx="145">
                  <c:v>3102</c:v>
                </c:pt>
                <c:pt idx="146">
                  <c:v>3102</c:v>
                </c:pt>
                <c:pt idx="147">
                  <c:v>3102</c:v>
                </c:pt>
                <c:pt idx="148">
                  <c:v>3102</c:v>
                </c:pt>
                <c:pt idx="149">
                  <c:v>3102</c:v>
                </c:pt>
                <c:pt idx="150">
                  <c:v>3102</c:v>
                </c:pt>
                <c:pt idx="151">
                  <c:v>3102</c:v>
                </c:pt>
                <c:pt idx="152">
                  <c:v>3102</c:v>
                </c:pt>
                <c:pt idx="153">
                  <c:v>3102</c:v>
                </c:pt>
                <c:pt idx="154">
                  <c:v>3102</c:v>
                </c:pt>
                <c:pt idx="155">
                  <c:v>3102</c:v>
                </c:pt>
                <c:pt idx="156">
                  <c:v>3102</c:v>
                </c:pt>
                <c:pt idx="157">
                  <c:v>3102</c:v>
                </c:pt>
                <c:pt idx="158">
                  <c:v>3102</c:v>
                </c:pt>
                <c:pt idx="159">
                  <c:v>3102</c:v>
                </c:pt>
                <c:pt idx="160">
                  <c:v>3102</c:v>
                </c:pt>
                <c:pt idx="161">
                  <c:v>3102</c:v>
                </c:pt>
                <c:pt idx="162">
                  <c:v>3102</c:v>
                </c:pt>
                <c:pt idx="163">
                  <c:v>3102</c:v>
                </c:pt>
                <c:pt idx="164">
                  <c:v>3102</c:v>
                </c:pt>
                <c:pt idx="165">
                  <c:v>3102</c:v>
                </c:pt>
                <c:pt idx="166">
                  <c:v>3102</c:v>
                </c:pt>
                <c:pt idx="167">
                  <c:v>3102</c:v>
                </c:pt>
                <c:pt idx="168">
                  <c:v>3102</c:v>
                </c:pt>
                <c:pt idx="169">
                  <c:v>3102</c:v>
                </c:pt>
                <c:pt idx="170">
                  <c:v>3102</c:v>
                </c:pt>
                <c:pt idx="171">
                  <c:v>3102</c:v>
                </c:pt>
                <c:pt idx="172">
                  <c:v>3102</c:v>
                </c:pt>
                <c:pt idx="173">
                  <c:v>3102</c:v>
                </c:pt>
                <c:pt idx="174">
                  <c:v>3102</c:v>
                </c:pt>
                <c:pt idx="175">
                  <c:v>3102</c:v>
                </c:pt>
                <c:pt idx="176">
                  <c:v>3102</c:v>
                </c:pt>
                <c:pt idx="177">
                  <c:v>3102</c:v>
                </c:pt>
                <c:pt idx="178">
                  <c:v>3102</c:v>
                </c:pt>
                <c:pt idx="179">
                  <c:v>3102</c:v>
                </c:pt>
                <c:pt idx="180">
                  <c:v>3102</c:v>
                </c:pt>
                <c:pt idx="181">
                  <c:v>3102</c:v>
                </c:pt>
                <c:pt idx="182">
                  <c:v>3102</c:v>
                </c:pt>
                <c:pt idx="183">
                  <c:v>3102</c:v>
                </c:pt>
                <c:pt idx="184">
                  <c:v>3102</c:v>
                </c:pt>
                <c:pt idx="185">
                  <c:v>3102</c:v>
                </c:pt>
                <c:pt idx="186">
                  <c:v>3102</c:v>
                </c:pt>
                <c:pt idx="187">
                  <c:v>3102</c:v>
                </c:pt>
                <c:pt idx="188">
                  <c:v>3102</c:v>
                </c:pt>
                <c:pt idx="189">
                  <c:v>3102</c:v>
                </c:pt>
                <c:pt idx="190">
                  <c:v>3102</c:v>
                </c:pt>
                <c:pt idx="191">
                  <c:v>3102</c:v>
                </c:pt>
                <c:pt idx="192">
                  <c:v>3102</c:v>
                </c:pt>
                <c:pt idx="193">
                  <c:v>3102</c:v>
                </c:pt>
                <c:pt idx="194">
                  <c:v>3102</c:v>
                </c:pt>
                <c:pt idx="195">
                  <c:v>3102</c:v>
                </c:pt>
                <c:pt idx="196">
                  <c:v>3102</c:v>
                </c:pt>
                <c:pt idx="197">
                  <c:v>3102</c:v>
                </c:pt>
                <c:pt idx="198">
                  <c:v>3102</c:v>
                </c:pt>
                <c:pt idx="199">
                  <c:v>3102</c:v>
                </c:pt>
                <c:pt idx="200">
                  <c:v>3102</c:v>
                </c:pt>
                <c:pt idx="201">
                  <c:v>3102</c:v>
                </c:pt>
                <c:pt idx="202">
                  <c:v>3102</c:v>
                </c:pt>
                <c:pt idx="203">
                  <c:v>3102</c:v>
                </c:pt>
                <c:pt idx="204">
                  <c:v>3102</c:v>
                </c:pt>
                <c:pt idx="205">
                  <c:v>3102</c:v>
                </c:pt>
                <c:pt idx="206">
                  <c:v>3102</c:v>
                </c:pt>
                <c:pt idx="207">
                  <c:v>3102</c:v>
                </c:pt>
                <c:pt idx="208">
                  <c:v>3102</c:v>
                </c:pt>
                <c:pt idx="209">
                  <c:v>3102</c:v>
                </c:pt>
                <c:pt idx="210">
                  <c:v>3102</c:v>
                </c:pt>
                <c:pt idx="211">
                  <c:v>3102</c:v>
                </c:pt>
                <c:pt idx="212">
                  <c:v>3102</c:v>
                </c:pt>
                <c:pt idx="213">
                  <c:v>3102</c:v>
                </c:pt>
                <c:pt idx="214">
                  <c:v>3102</c:v>
                </c:pt>
                <c:pt idx="215">
                  <c:v>3102</c:v>
                </c:pt>
                <c:pt idx="216">
                  <c:v>3102</c:v>
                </c:pt>
                <c:pt idx="217">
                  <c:v>3102</c:v>
                </c:pt>
                <c:pt idx="218">
                  <c:v>3102</c:v>
                </c:pt>
                <c:pt idx="219">
                  <c:v>3102</c:v>
                </c:pt>
                <c:pt idx="220">
                  <c:v>3102</c:v>
                </c:pt>
                <c:pt idx="221">
                  <c:v>3102</c:v>
                </c:pt>
                <c:pt idx="222">
                  <c:v>3102</c:v>
                </c:pt>
                <c:pt idx="223">
                  <c:v>3102</c:v>
                </c:pt>
                <c:pt idx="224">
                  <c:v>3102</c:v>
                </c:pt>
                <c:pt idx="225">
                  <c:v>3102</c:v>
                </c:pt>
                <c:pt idx="226">
                  <c:v>3102</c:v>
                </c:pt>
                <c:pt idx="227">
                  <c:v>3102</c:v>
                </c:pt>
                <c:pt idx="228">
                  <c:v>3102</c:v>
                </c:pt>
                <c:pt idx="229">
                  <c:v>3102</c:v>
                </c:pt>
                <c:pt idx="230">
                  <c:v>3102</c:v>
                </c:pt>
                <c:pt idx="231">
                  <c:v>3102</c:v>
                </c:pt>
                <c:pt idx="232">
                  <c:v>3102</c:v>
                </c:pt>
                <c:pt idx="233">
                  <c:v>3102</c:v>
                </c:pt>
                <c:pt idx="234">
                  <c:v>3102</c:v>
                </c:pt>
                <c:pt idx="235">
                  <c:v>3102</c:v>
                </c:pt>
                <c:pt idx="236">
                  <c:v>3102</c:v>
                </c:pt>
                <c:pt idx="237">
                  <c:v>3102</c:v>
                </c:pt>
                <c:pt idx="238">
                  <c:v>3102</c:v>
                </c:pt>
                <c:pt idx="239">
                  <c:v>3102</c:v>
                </c:pt>
                <c:pt idx="240">
                  <c:v>3102</c:v>
                </c:pt>
                <c:pt idx="241">
                  <c:v>3102</c:v>
                </c:pt>
                <c:pt idx="242">
                  <c:v>3102</c:v>
                </c:pt>
                <c:pt idx="243">
                  <c:v>3102</c:v>
                </c:pt>
                <c:pt idx="244">
                  <c:v>3102</c:v>
                </c:pt>
                <c:pt idx="245">
                  <c:v>3102</c:v>
                </c:pt>
                <c:pt idx="246">
                  <c:v>3102</c:v>
                </c:pt>
                <c:pt idx="247">
                  <c:v>3102</c:v>
                </c:pt>
                <c:pt idx="248">
                  <c:v>3102</c:v>
                </c:pt>
                <c:pt idx="249">
                  <c:v>3102</c:v>
                </c:pt>
                <c:pt idx="250">
                  <c:v>3102</c:v>
                </c:pt>
                <c:pt idx="251">
                  <c:v>3102</c:v>
                </c:pt>
                <c:pt idx="252">
                  <c:v>3102</c:v>
                </c:pt>
                <c:pt idx="253">
                  <c:v>3102</c:v>
                </c:pt>
                <c:pt idx="254">
                  <c:v>3102</c:v>
                </c:pt>
                <c:pt idx="255">
                  <c:v>3102</c:v>
                </c:pt>
                <c:pt idx="256">
                  <c:v>3102</c:v>
                </c:pt>
                <c:pt idx="257">
                  <c:v>3102</c:v>
                </c:pt>
                <c:pt idx="258">
                  <c:v>3102</c:v>
                </c:pt>
                <c:pt idx="259">
                  <c:v>3102</c:v>
                </c:pt>
                <c:pt idx="260">
                  <c:v>3102</c:v>
                </c:pt>
                <c:pt idx="261">
                  <c:v>3102</c:v>
                </c:pt>
                <c:pt idx="262">
                  <c:v>3102</c:v>
                </c:pt>
                <c:pt idx="263">
                  <c:v>3102</c:v>
                </c:pt>
                <c:pt idx="264">
                  <c:v>3102</c:v>
                </c:pt>
                <c:pt idx="265">
                  <c:v>3102</c:v>
                </c:pt>
                <c:pt idx="266">
                  <c:v>3102</c:v>
                </c:pt>
                <c:pt idx="267">
                  <c:v>3102</c:v>
                </c:pt>
                <c:pt idx="268">
                  <c:v>3102</c:v>
                </c:pt>
                <c:pt idx="269">
                  <c:v>3102</c:v>
                </c:pt>
                <c:pt idx="270">
                  <c:v>3102</c:v>
                </c:pt>
                <c:pt idx="271">
                  <c:v>3102</c:v>
                </c:pt>
                <c:pt idx="272">
                  <c:v>3102</c:v>
                </c:pt>
                <c:pt idx="273">
                  <c:v>3102</c:v>
                </c:pt>
                <c:pt idx="274">
                  <c:v>3102</c:v>
                </c:pt>
                <c:pt idx="275">
                  <c:v>3102</c:v>
                </c:pt>
                <c:pt idx="276">
                  <c:v>3102</c:v>
                </c:pt>
                <c:pt idx="277">
                  <c:v>3102</c:v>
                </c:pt>
                <c:pt idx="278">
                  <c:v>3102</c:v>
                </c:pt>
                <c:pt idx="279">
                  <c:v>3102</c:v>
                </c:pt>
                <c:pt idx="280">
                  <c:v>3102</c:v>
                </c:pt>
                <c:pt idx="281">
                  <c:v>3102</c:v>
                </c:pt>
                <c:pt idx="282">
                  <c:v>3102</c:v>
                </c:pt>
                <c:pt idx="283">
                  <c:v>3102</c:v>
                </c:pt>
                <c:pt idx="284">
                  <c:v>3102</c:v>
                </c:pt>
                <c:pt idx="285">
                  <c:v>3102</c:v>
                </c:pt>
                <c:pt idx="286">
                  <c:v>3102</c:v>
                </c:pt>
                <c:pt idx="287">
                  <c:v>3102</c:v>
                </c:pt>
                <c:pt idx="288">
                  <c:v>3102</c:v>
                </c:pt>
                <c:pt idx="289">
                  <c:v>3102</c:v>
                </c:pt>
                <c:pt idx="290">
                  <c:v>3102</c:v>
                </c:pt>
                <c:pt idx="291">
                  <c:v>3102</c:v>
                </c:pt>
                <c:pt idx="292">
                  <c:v>3102</c:v>
                </c:pt>
                <c:pt idx="293">
                  <c:v>3102</c:v>
                </c:pt>
                <c:pt idx="294">
                  <c:v>3102</c:v>
                </c:pt>
                <c:pt idx="295">
                  <c:v>3102</c:v>
                </c:pt>
                <c:pt idx="296">
                  <c:v>3102</c:v>
                </c:pt>
                <c:pt idx="297">
                  <c:v>3102</c:v>
                </c:pt>
                <c:pt idx="298">
                  <c:v>3102</c:v>
                </c:pt>
                <c:pt idx="299">
                  <c:v>3102</c:v>
                </c:pt>
                <c:pt idx="300">
                  <c:v>3102</c:v>
                </c:pt>
                <c:pt idx="301">
                  <c:v>3102</c:v>
                </c:pt>
                <c:pt idx="302">
                  <c:v>3102</c:v>
                </c:pt>
                <c:pt idx="303">
                  <c:v>3102</c:v>
                </c:pt>
                <c:pt idx="304">
                  <c:v>3102</c:v>
                </c:pt>
                <c:pt idx="305">
                  <c:v>3102</c:v>
                </c:pt>
                <c:pt idx="306">
                  <c:v>3102</c:v>
                </c:pt>
                <c:pt idx="307">
                  <c:v>3102</c:v>
                </c:pt>
                <c:pt idx="308">
                  <c:v>3102</c:v>
                </c:pt>
                <c:pt idx="309">
                  <c:v>3102</c:v>
                </c:pt>
                <c:pt idx="310">
                  <c:v>3102</c:v>
                </c:pt>
                <c:pt idx="311">
                  <c:v>3102</c:v>
                </c:pt>
                <c:pt idx="312">
                  <c:v>3102</c:v>
                </c:pt>
                <c:pt idx="313">
                  <c:v>3102</c:v>
                </c:pt>
                <c:pt idx="314">
                  <c:v>3102</c:v>
                </c:pt>
                <c:pt idx="315">
                  <c:v>3102</c:v>
                </c:pt>
                <c:pt idx="316">
                  <c:v>3102</c:v>
                </c:pt>
                <c:pt idx="317">
                  <c:v>3102</c:v>
                </c:pt>
                <c:pt idx="318">
                  <c:v>3102</c:v>
                </c:pt>
                <c:pt idx="319">
                  <c:v>3102</c:v>
                </c:pt>
                <c:pt idx="320">
                  <c:v>3102</c:v>
                </c:pt>
                <c:pt idx="321">
                  <c:v>3102</c:v>
                </c:pt>
                <c:pt idx="322">
                  <c:v>3102</c:v>
                </c:pt>
                <c:pt idx="323">
                  <c:v>3102</c:v>
                </c:pt>
                <c:pt idx="324">
                  <c:v>3102</c:v>
                </c:pt>
                <c:pt idx="325">
                  <c:v>3102</c:v>
                </c:pt>
                <c:pt idx="326">
                  <c:v>3102</c:v>
                </c:pt>
                <c:pt idx="327">
                  <c:v>3102</c:v>
                </c:pt>
                <c:pt idx="328">
                  <c:v>3102</c:v>
                </c:pt>
                <c:pt idx="329">
                  <c:v>3102</c:v>
                </c:pt>
                <c:pt idx="330">
                  <c:v>3102</c:v>
                </c:pt>
                <c:pt idx="331">
                  <c:v>3102</c:v>
                </c:pt>
                <c:pt idx="332">
                  <c:v>3102</c:v>
                </c:pt>
                <c:pt idx="333">
                  <c:v>3102</c:v>
                </c:pt>
                <c:pt idx="334">
                  <c:v>3102</c:v>
                </c:pt>
                <c:pt idx="335">
                  <c:v>3102</c:v>
                </c:pt>
                <c:pt idx="336">
                  <c:v>3102</c:v>
                </c:pt>
                <c:pt idx="337">
                  <c:v>3102</c:v>
                </c:pt>
                <c:pt idx="338">
                  <c:v>3102</c:v>
                </c:pt>
                <c:pt idx="339">
                  <c:v>3102</c:v>
                </c:pt>
                <c:pt idx="340">
                  <c:v>3102</c:v>
                </c:pt>
                <c:pt idx="341">
                  <c:v>3102</c:v>
                </c:pt>
                <c:pt idx="342">
                  <c:v>3102</c:v>
                </c:pt>
                <c:pt idx="343">
                  <c:v>3102</c:v>
                </c:pt>
                <c:pt idx="344">
                  <c:v>3102</c:v>
                </c:pt>
                <c:pt idx="345">
                  <c:v>3102</c:v>
                </c:pt>
                <c:pt idx="346">
                  <c:v>3102</c:v>
                </c:pt>
                <c:pt idx="347">
                  <c:v>3102</c:v>
                </c:pt>
                <c:pt idx="348">
                  <c:v>3102</c:v>
                </c:pt>
                <c:pt idx="349">
                  <c:v>3102</c:v>
                </c:pt>
                <c:pt idx="350">
                  <c:v>3102</c:v>
                </c:pt>
                <c:pt idx="351">
                  <c:v>3102</c:v>
                </c:pt>
                <c:pt idx="352">
                  <c:v>3102</c:v>
                </c:pt>
                <c:pt idx="353">
                  <c:v>3102</c:v>
                </c:pt>
                <c:pt idx="354">
                  <c:v>3102</c:v>
                </c:pt>
                <c:pt idx="355">
                  <c:v>3102</c:v>
                </c:pt>
                <c:pt idx="356">
                  <c:v>3102</c:v>
                </c:pt>
                <c:pt idx="357">
                  <c:v>3102</c:v>
                </c:pt>
                <c:pt idx="358">
                  <c:v>3102</c:v>
                </c:pt>
                <c:pt idx="359">
                  <c:v>3102</c:v>
                </c:pt>
                <c:pt idx="360">
                  <c:v>3102</c:v>
                </c:pt>
                <c:pt idx="361">
                  <c:v>3102</c:v>
                </c:pt>
                <c:pt idx="362">
                  <c:v>3102</c:v>
                </c:pt>
                <c:pt idx="363">
                  <c:v>3102</c:v>
                </c:pt>
                <c:pt idx="364">
                  <c:v>3102</c:v>
                </c:pt>
                <c:pt idx="365">
                  <c:v>3102</c:v>
                </c:pt>
                <c:pt idx="366">
                  <c:v>3102</c:v>
                </c:pt>
                <c:pt idx="367">
                  <c:v>3102</c:v>
                </c:pt>
                <c:pt idx="368">
                  <c:v>3102</c:v>
                </c:pt>
                <c:pt idx="369">
                  <c:v>3102</c:v>
                </c:pt>
                <c:pt idx="370">
                  <c:v>3102</c:v>
                </c:pt>
                <c:pt idx="371">
                  <c:v>3102</c:v>
                </c:pt>
                <c:pt idx="372">
                  <c:v>3102</c:v>
                </c:pt>
                <c:pt idx="373">
                  <c:v>3102</c:v>
                </c:pt>
                <c:pt idx="374">
                  <c:v>3102</c:v>
                </c:pt>
                <c:pt idx="375">
                  <c:v>3102</c:v>
                </c:pt>
                <c:pt idx="376">
                  <c:v>3102</c:v>
                </c:pt>
                <c:pt idx="377">
                  <c:v>3102</c:v>
                </c:pt>
                <c:pt idx="378">
                  <c:v>3102</c:v>
                </c:pt>
                <c:pt idx="379">
                  <c:v>3102</c:v>
                </c:pt>
                <c:pt idx="380">
                  <c:v>3102</c:v>
                </c:pt>
                <c:pt idx="381">
                  <c:v>3102</c:v>
                </c:pt>
                <c:pt idx="382">
                  <c:v>3102</c:v>
                </c:pt>
                <c:pt idx="383">
                  <c:v>3102</c:v>
                </c:pt>
                <c:pt idx="384">
                  <c:v>3102</c:v>
                </c:pt>
                <c:pt idx="385">
                  <c:v>3102</c:v>
                </c:pt>
                <c:pt idx="386">
                  <c:v>3102</c:v>
                </c:pt>
                <c:pt idx="387">
                  <c:v>3102</c:v>
                </c:pt>
                <c:pt idx="388">
                  <c:v>3102</c:v>
                </c:pt>
                <c:pt idx="389">
                  <c:v>3102</c:v>
                </c:pt>
                <c:pt idx="390">
                  <c:v>3102</c:v>
                </c:pt>
                <c:pt idx="391">
                  <c:v>3102</c:v>
                </c:pt>
                <c:pt idx="392">
                  <c:v>3102</c:v>
                </c:pt>
                <c:pt idx="393">
                  <c:v>3102</c:v>
                </c:pt>
                <c:pt idx="394">
                  <c:v>3102</c:v>
                </c:pt>
                <c:pt idx="395">
                  <c:v>3102</c:v>
                </c:pt>
                <c:pt idx="396">
                  <c:v>3102</c:v>
                </c:pt>
                <c:pt idx="397">
                  <c:v>3102</c:v>
                </c:pt>
                <c:pt idx="398">
                  <c:v>3102</c:v>
                </c:pt>
                <c:pt idx="399">
                  <c:v>3102</c:v>
                </c:pt>
                <c:pt idx="400">
                  <c:v>3102</c:v>
                </c:pt>
                <c:pt idx="401">
                  <c:v>3102</c:v>
                </c:pt>
                <c:pt idx="402">
                  <c:v>3102</c:v>
                </c:pt>
                <c:pt idx="403">
                  <c:v>3102</c:v>
                </c:pt>
                <c:pt idx="404">
                  <c:v>3102</c:v>
                </c:pt>
                <c:pt idx="405">
                  <c:v>3102</c:v>
                </c:pt>
                <c:pt idx="406">
                  <c:v>3102</c:v>
                </c:pt>
                <c:pt idx="407">
                  <c:v>3102</c:v>
                </c:pt>
                <c:pt idx="408">
                  <c:v>3102</c:v>
                </c:pt>
                <c:pt idx="409">
                  <c:v>3102</c:v>
                </c:pt>
                <c:pt idx="410">
                  <c:v>3102</c:v>
                </c:pt>
                <c:pt idx="411">
                  <c:v>3102</c:v>
                </c:pt>
                <c:pt idx="412">
                  <c:v>3102</c:v>
                </c:pt>
                <c:pt idx="413">
                  <c:v>3102</c:v>
                </c:pt>
                <c:pt idx="414">
                  <c:v>3102</c:v>
                </c:pt>
                <c:pt idx="415">
                  <c:v>3102</c:v>
                </c:pt>
                <c:pt idx="416">
                  <c:v>3102</c:v>
                </c:pt>
                <c:pt idx="417">
                  <c:v>3102</c:v>
                </c:pt>
                <c:pt idx="418">
                  <c:v>3102</c:v>
                </c:pt>
                <c:pt idx="419">
                  <c:v>3102</c:v>
                </c:pt>
                <c:pt idx="420">
                  <c:v>3102</c:v>
                </c:pt>
                <c:pt idx="421">
                  <c:v>3102</c:v>
                </c:pt>
                <c:pt idx="422">
                  <c:v>3102</c:v>
                </c:pt>
                <c:pt idx="423">
                  <c:v>3102</c:v>
                </c:pt>
                <c:pt idx="424">
                  <c:v>3102</c:v>
                </c:pt>
                <c:pt idx="425">
                  <c:v>3102</c:v>
                </c:pt>
                <c:pt idx="426">
                  <c:v>3102</c:v>
                </c:pt>
                <c:pt idx="427">
                  <c:v>3102</c:v>
                </c:pt>
                <c:pt idx="428">
                  <c:v>3102</c:v>
                </c:pt>
                <c:pt idx="429">
                  <c:v>3102</c:v>
                </c:pt>
                <c:pt idx="430">
                  <c:v>3102</c:v>
                </c:pt>
                <c:pt idx="431">
                  <c:v>3102</c:v>
                </c:pt>
                <c:pt idx="432">
                  <c:v>3102</c:v>
                </c:pt>
                <c:pt idx="433">
                  <c:v>3102</c:v>
                </c:pt>
                <c:pt idx="434">
                  <c:v>3102</c:v>
                </c:pt>
                <c:pt idx="435">
                  <c:v>3102</c:v>
                </c:pt>
                <c:pt idx="436">
                  <c:v>3102</c:v>
                </c:pt>
                <c:pt idx="437">
                  <c:v>3102</c:v>
                </c:pt>
                <c:pt idx="438">
                  <c:v>3102</c:v>
                </c:pt>
                <c:pt idx="439">
                  <c:v>3102</c:v>
                </c:pt>
                <c:pt idx="440">
                  <c:v>3102</c:v>
                </c:pt>
                <c:pt idx="441">
                  <c:v>3102</c:v>
                </c:pt>
                <c:pt idx="442">
                  <c:v>3102</c:v>
                </c:pt>
                <c:pt idx="443">
                  <c:v>3102</c:v>
                </c:pt>
                <c:pt idx="444">
                  <c:v>3102</c:v>
                </c:pt>
                <c:pt idx="445">
                  <c:v>3102</c:v>
                </c:pt>
                <c:pt idx="446">
                  <c:v>3102</c:v>
                </c:pt>
                <c:pt idx="447">
                  <c:v>3102</c:v>
                </c:pt>
                <c:pt idx="448">
                  <c:v>3102</c:v>
                </c:pt>
                <c:pt idx="449">
                  <c:v>3102</c:v>
                </c:pt>
                <c:pt idx="450">
                  <c:v>3102</c:v>
                </c:pt>
                <c:pt idx="451">
                  <c:v>3102</c:v>
                </c:pt>
                <c:pt idx="452">
                  <c:v>3102</c:v>
                </c:pt>
                <c:pt idx="453">
                  <c:v>3102</c:v>
                </c:pt>
                <c:pt idx="454">
                  <c:v>3102</c:v>
                </c:pt>
                <c:pt idx="455">
                  <c:v>3102</c:v>
                </c:pt>
                <c:pt idx="456">
                  <c:v>3102</c:v>
                </c:pt>
                <c:pt idx="457">
                  <c:v>3102</c:v>
                </c:pt>
                <c:pt idx="458">
                  <c:v>3102</c:v>
                </c:pt>
                <c:pt idx="459">
                  <c:v>3102</c:v>
                </c:pt>
                <c:pt idx="460">
                  <c:v>3102</c:v>
                </c:pt>
                <c:pt idx="461">
                  <c:v>3102</c:v>
                </c:pt>
                <c:pt idx="462">
                  <c:v>3102</c:v>
                </c:pt>
                <c:pt idx="463">
                  <c:v>3102</c:v>
                </c:pt>
                <c:pt idx="464">
                  <c:v>3102</c:v>
                </c:pt>
                <c:pt idx="465">
                  <c:v>3102</c:v>
                </c:pt>
                <c:pt idx="466">
                  <c:v>3102</c:v>
                </c:pt>
                <c:pt idx="467">
                  <c:v>3102</c:v>
                </c:pt>
                <c:pt idx="468">
                  <c:v>3102</c:v>
                </c:pt>
                <c:pt idx="469">
                  <c:v>3102</c:v>
                </c:pt>
                <c:pt idx="470">
                  <c:v>3102</c:v>
                </c:pt>
                <c:pt idx="471">
                  <c:v>3102</c:v>
                </c:pt>
                <c:pt idx="472">
                  <c:v>3102</c:v>
                </c:pt>
                <c:pt idx="473">
                  <c:v>3102</c:v>
                </c:pt>
                <c:pt idx="474">
                  <c:v>3102</c:v>
                </c:pt>
                <c:pt idx="475">
                  <c:v>3102</c:v>
                </c:pt>
                <c:pt idx="476">
                  <c:v>3102</c:v>
                </c:pt>
                <c:pt idx="477">
                  <c:v>3102</c:v>
                </c:pt>
                <c:pt idx="478">
                  <c:v>3102</c:v>
                </c:pt>
                <c:pt idx="479">
                  <c:v>3102</c:v>
                </c:pt>
                <c:pt idx="480">
                  <c:v>3102</c:v>
                </c:pt>
                <c:pt idx="481">
                  <c:v>3102</c:v>
                </c:pt>
                <c:pt idx="482">
                  <c:v>3102</c:v>
                </c:pt>
                <c:pt idx="483">
                  <c:v>3102</c:v>
                </c:pt>
                <c:pt idx="484">
                  <c:v>3102</c:v>
                </c:pt>
                <c:pt idx="485">
                  <c:v>3102</c:v>
                </c:pt>
                <c:pt idx="486">
                  <c:v>3102</c:v>
                </c:pt>
                <c:pt idx="487">
                  <c:v>3102</c:v>
                </c:pt>
                <c:pt idx="488">
                  <c:v>3102</c:v>
                </c:pt>
                <c:pt idx="489">
                  <c:v>3102</c:v>
                </c:pt>
                <c:pt idx="490">
                  <c:v>3102</c:v>
                </c:pt>
                <c:pt idx="491">
                  <c:v>3102</c:v>
                </c:pt>
                <c:pt idx="492">
                  <c:v>3102</c:v>
                </c:pt>
                <c:pt idx="493">
                  <c:v>3102</c:v>
                </c:pt>
                <c:pt idx="494">
                  <c:v>3102</c:v>
                </c:pt>
                <c:pt idx="495">
                  <c:v>3102</c:v>
                </c:pt>
                <c:pt idx="496">
                  <c:v>3102</c:v>
                </c:pt>
                <c:pt idx="497">
                  <c:v>3102</c:v>
                </c:pt>
                <c:pt idx="498">
                  <c:v>3102</c:v>
                </c:pt>
                <c:pt idx="499">
                  <c:v>3102</c:v>
                </c:pt>
                <c:pt idx="500">
                  <c:v>3102</c:v>
                </c:pt>
                <c:pt idx="501">
                  <c:v>3102</c:v>
                </c:pt>
                <c:pt idx="502">
                  <c:v>3102</c:v>
                </c:pt>
                <c:pt idx="503">
                  <c:v>3102</c:v>
                </c:pt>
                <c:pt idx="504">
                  <c:v>3102</c:v>
                </c:pt>
                <c:pt idx="505">
                  <c:v>3102</c:v>
                </c:pt>
                <c:pt idx="506">
                  <c:v>3102</c:v>
                </c:pt>
                <c:pt idx="507">
                  <c:v>3102</c:v>
                </c:pt>
                <c:pt idx="508">
                  <c:v>3102</c:v>
                </c:pt>
                <c:pt idx="509">
                  <c:v>3102</c:v>
                </c:pt>
                <c:pt idx="510">
                  <c:v>3102</c:v>
                </c:pt>
                <c:pt idx="511">
                  <c:v>3102</c:v>
                </c:pt>
                <c:pt idx="512">
                  <c:v>3102</c:v>
                </c:pt>
                <c:pt idx="513">
                  <c:v>3102</c:v>
                </c:pt>
                <c:pt idx="514">
                  <c:v>3102</c:v>
                </c:pt>
                <c:pt idx="515">
                  <c:v>3102</c:v>
                </c:pt>
                <c:pt idx="516">
                  <c:v>3102</c:v>
                </c:pt>
                <c:pt idx="517">
                  <c:v>3102</c:v>
                </c:pt>
                <c:pt idx="518">
                  <c:v>3102</c:v>
                </c:pt>
                <c:pt idx="519">
                  <c:v>3102</c:v>
                </c:pt>
                <c:pt idx="520">
                  <c:v>3102</c:v>
                </c:pt>
                <c:pt idx="521">
                  <c:v>3102</c:v>
                </c:pt>
                <c:pt idx="522">
                  <c:v>3102</c:v>
                </c:pt>
                <c:pt idx="523">
                  <c:v>3102</c:v>
                </c:pt>
                <c:pt idx="524">
                  <c:v>3102</c:v>
                </c:pt>
                <c:pt idx="525">
                  <c:v>3102</c:v>
                </c:pt>
                <c:pt idx="526">
                  <c:v>3102</c:v>
                </c:pt>
                <c:pt idx="527">
                  <c:v>3102</c:v>
                </c:pt>
                <c:pt idx="528">
                  <c:v>3102</c:v>
                </c:pt>
                <c:pt idx="529">
                  <c:v>3102</c:v>
                </c:pt>
                <c:pt idx="530">
                  <c:v>3102</c:v>
                </c:pt>
                <c:pt idx="531">
                  <c:v>3102</c:v>
                </c:pt>
                <c:pt idx="532">
                  <c:v>3102</c:v>
                </c:pt>
                <c:pt idx="533">
                  <c:v>3102</c:v>
                </c:pt>
                <c:pt idx="534">
                  <c:v>3102</c:v>
                </c:pt>
                <c:pt idx="535">
                  <c:v>3102</c:v>
                </c:pt>
                <c:pt idx="536">
                  <c:v>3102</c:v>
                </c:pt>
                <c:pt idx="537">
                  <c:v>3102</c:v>
                </c:pt>
                <c:pt idx="538">
                  <c:v>3102</c:v>
                </c:pt>
                <c:pt idx="539">
                  <c:v>3102</c:v>
                </c:pt>
                <c:pt idx="540">
                  <c:v>3102</c:v>
                </c:pt>
                <c:pt idx="541">
                  <c:v>3102</c:v>
                </c:pt>
                <c:pt idx="542">
                  <c:v>3102</c:v>
                </c:pt>
                <c:pt idx="543">
                  <c:v>3102</c:v>
                </c:pt>
                <c:pt idx="544">
                  <c:v>3102</c:v>
                </c:pt>
                <c:pt idx="545">
                  <c:v>3102</c:v>
                </c:pt>
                <c:pt idx="546">
                  <c:v>3102</c:v>
                </c:pt>
                <c:pt idx="547">
                  <c:v>3102</c:v>
                </c:pt>
                <c:pt idx="548">
                  <c:v>3102</c:v>
                </c:pt>
                <c:pt idx="549">
                  <c:v>3102</c:v>
                </c:pt>
                <c:pt idx="550">
                  <c:v>3102</c:v>
                </c:pt>
                <c:pt idx="551">
                  <c:v>3102</c:v>
                </c:pt>
                <c:pt idx="552">
                  <c:v>3102</c:v>
                </c:pt>
                <c:pt idx="553">
                  <c:v>3102</c:v>
                </c:pt>
                <c:pt idx="554">
                  <c:v>3102</c:v>
                </c:pt>
                <c:pt idx="555">
                  <c:v>3102</c:v>
                </c:pt>
                <c:pt idx="556">
                  <c:v>3102</c:v>
                </c:pt>
                <c:pt idx="557">
                  <c:v>3102</c:v>
                </c:pt>
                <c:pt idx="558">
                  <c:v>3102</c:v>
                </c:pt>
                <c:pt idx="559">
                  <c:v>3102</c:v>
                </c:pt>
                <c:pt idx="560">
                  <c:v>3102</c:v>
                </c:pt>
                <c:pt idx="561">
                  <c:v>3102</c:v>
                </c:pt>
                <c:pt idx="562">
                  <c:v>3102</c:v>
                </c:pt>
                <c:pt idx="563">
                  <c:v>3102</c:v>
                </c:pt>
                <c:pt idx="564">
                  <c:v>3102</c:v>
                </c:pt>
                <c:pt idx="565">
                  <c:v>3102</c:v>
                </c:pt>
                <c:pt idx="566">
                  <c:v>3102</c:v>
                </c:pt>
                <c:pt idx="567">
                  <c:v>3102</c:v>
                </c:pt>
                <c:pt idx="568">
                  <c:v>3102</c:v>
                </c:pt>
                <c:pt idx="569">
                  <c:v>3102</c:v>
                </c:pt>
                <c:pt idx="570">
                  <c:v>3102</c:v>
                </c:pt>
                <c:pt idx="571">
                  <c:v>3102</c:v>
                </c:pt>
                <c:pt idx="572">
                  <c:v>3102</c:v>
                </c:pt>
                <c:pt idx="573">
                  <c:v>3102</c:v>
                </c:pt>
                <c:pt idx="574">
                  <c:v>3102</c:v>
                </c:pt>
                <c:pt idx="575">
                  <c:v>3102</c:v>
                </c:pt>
                <c:pt idx="576">
                  <c:v>3102</c:v>
                </c:pt>
                <c:pt idx="577">
                  <c:v>3102</c:v>
                </c:pt>
                <c:pt idx="578">
                  <c:v>3102</c:v>
                </c:pt>
                <c:pt idx="579">
                  <c:v>3102</c:v>
                </c:pt>
                <c:pt idx="580">
                  <c:v>3102</c:v>
                </c:pt>
                <c:pt idx="581">
                  <c:v>3102</c:v>
                </c:pt>
                <c:pt idx="582">
                  <c:v>3102</c:v>
                </c:pt>
                <c:pt idx="583">
                  <c:v>3102</c:v>
                </c:pt>
                <c:pt idx="584">
                  <c:v>3102</c:v>
                </c:pt>
                <c:pt idx="585">
                  <c:v>3102</c:v>
                </c:pt>
                <c:pt idx="586">
                  <c:v>3102</c:v>
                </c:pt>
                <c:pt idx="587">
                  <c:v>3102</c:v>
                </c:pt>
                <c:pt idx="588">
                  <c:v>3102</c:v>
                </c:pt>
                <c:pt idx="589">
                  <c:v>3102</c:v>
                </c:pt>
                <c:pt idx="590">
                  <c:v>3102</c:v>
                </c:pt>
                <c:pt idx="591">
                  <c:v>3102</c:v>
                </c:pt>
                <c:pt idx="592">
                  <c:v>3102</c:v>
                </c:pt>
                <c:pt idx="593">
                  <c:v>3102</c:v>
                </c:pt>
                <c:pt idx="594">
                  <c:v>3102</c:v>
                </c:pt>
                <c:pt idx="595">
                  <c:v>3102</c:v>
                </c:pt>
                <c:pt idx="596">
                  <c:v>3102</c:v>
                </c:pt>
                <c:pt idx="597">
                  <c:v>3102</c:v>
                </c:pt>
                <c:pt idx="598">
                  <c:v>3102</c:v>
                </c:pt>
                <c:pt idx="599">
                  <c:v>3102</c:v>
                </c:pt>
                <c:pt idx="600">
                  <c:v>3102</c:v>
                </c:pt>
                <c:pt idx="601">
                  <c:v>3102</c:v>
                </c:pt>
                <c:pt idx="602">
                  <c:v>3102</c:v>
                </c:pt>
                <c:pt idx="603">
                  <c:v>3102</c:v>
                </c:pt>
                <c:pt idx="604">
                  <c:v>3102</c:v>
                </c:pt>
                <c:pt idx="605">
                  <c:v>3102</c:v>
                </c:pt>
                <c:pt idx="606">
                  <c:v>3102</c:v>
                </c:pt>
                <c:pt idx="607">
                  <c:v>3102</c:v>
                </c:pt>
                <c:pt idx="608">
                  <c:v>3102</c:v>
                </c:pt>
                <c:pt idx="609">
                  <c:v>3102</c:v>
                </c:pt>
                <c:pt idx="610">
                  <c:v>3102</c:v>
                </c:pt>
                <c:pt idx="611">
                  <c:v>3102</c:v>
                </c:pt>
                <c:pt idx="612">
                  <c:v>3102</c:v>
                </c:pt>
                <c:pt idx="613">
                  <c:v>3102</c:v>
                </c:pt>
                <c:pt idx="614">
                  <c:v>3102</c:v>
                </c:pt>
                <c:pt idx="615">
                  <c:v>3102</c:v>
                </c:pt>
                <c:pt idx="616">
                  <c:v>3102</c:v>
                </c:pt>
                <c:pt idx="617">
                  <c:v>3102</c:v>
                </c:pt>
                <c:pt idx="618">
                  <c:v>3102</c:v>
                </c:pt>
                <c:pt idx="619">
                  <c:v>3102</c:v>
                </c:pt>
                <c:pt idx="620">
                  <c:v>3102</c:v>
                </c:pt>
                <c:pt idx="621">
                  <c:v>3102</c:v>
                </c:pt>
                <c:pt idx="622">
                  <c:v>3102</c:v>
                </c:pt>
                <c:pt idx="623">
                  <c:v>3102</c:v>
                </c:pt>
                <c:pt idx="624">
                  <c:v>3102</c:v>
                </c:pt>
                <c:pt idx="625">
                  <c:v>3102</c:v>
                </c:pt>
                <c:pt idx="626">
                  <c:v>3102</c:v>
                </c:pt>
                <c:pt idx="627">
                  <c:v>3102</c:v>
                </c:pt>
                <c:pt idx="628">
                  <c:v>3102</c:v>
                </c:pt>
                <c:pt idx="629">
                  <c:v>3102</c:v>
                </c:pt>
                <c:pt idx="630">
                  <c:v>3102</c:v>
                </c:pt>
                <c:pt idx="631">
                  <c:v>3102</c:v>
                </c:pt>
                <c:pt idx="632">
                  <c:v>3102</c:v>
                </c:pt>
                <c:pt idx="633">
                  <c:v>3102</c:v>
                </c:pt>
                <c:pt idx="634">
                  <c:v>3102</c:v>
                </c:pt>
                <c:pt idx="635">
                  <c:v>3102</c:v>
                </c:pt>
                <c:pt idx="636">
                  <c:v>3102</c:v>
                </c:pt>
                <c:pt idx="637">
                  <c:v>3102</c:v>
                </c:pt>
                <c:pt idx="638">
                  <c:v>3102</c:v>
                </c:pt>
                <c:pt idx="639">
                  <c:v>3102</c:v>
                </c:pt>
                <c:pt idx="640">
                  <c:v>3102</c:v>
                </c:pt>
                <c:pt idx="641">
                  <c:v>3102</c:v>
                </c:pt>
                <c:pt idx="642">
                  <c:v>3102</c:v>
                </c:pt>
                <c:pt idx="643">
                  <c:v>3102</c:v>
                </c:pt>
                <c:pt idx="644">
                  <c:v>3102</c:v>
                </c:pt>
                <c:pt idx="645">
                  <c:v>3102</c:v>
                </c:pt>
                <c:pt idx="646">
                  <c:v>3102</c:v>
                </c:pt>
                <c:pt idx="647">
                  <c:v>3102</c:v>
                </c:pt>
                <c:pt idx="648">
                  <c:v>3102</c:v>
                </c:pt>
                <c:pt idx="649">
                  <c:v>3102</c:v>
                </c:pt>
                <c:pt idx="650">
                  <c:v>3102</c:v>
                </c:pt>
                <c:pt idx="651">
                  <c:v>3102</c:v>
                </c:pt>
                <c:pt idx="652">
                  <c:v>3102</c:v>
                </c:pt>
                <c:pt idx="653">
                  <c:v>3102</c:v>
                </c:pt>
                <c:pt idx="654">
                  <c:v>3102</c:v>
                </c:pt>
                <c:pt idx="655">
                  <c:v>3102</c:v>
                </c:pt>
                <c:pt idx="656">
                  <c:v>3102</c:v>
                </c:pt>
                <c:pt idx="657">
                  <c:v>3102</c:v>
                </c:pt>
                <c:pt idx="658">
                  <c:v>3102</c:v>
                </c:pt>
                <c:pt idx="659">
                  <c:v>3102</c:v>
                </c:pt>
                <c:pt idx="660">
                  <c:v>3102</c:v>
                </c:pt>
                <c:pt idx="661">
                  <c:v>3102</c:v>
                </c:pt>
                <c:pt idx="662">
                  <c:v>3102</c:v>
                </c:pt>
                <c:pt idx="663">
                  <c:v>3102</c:v>
                </c:pt>
                <c:pt idx="664">
                  <c:v>3102</c:v>
                </c:pt>
                <c:pt idx="665">
                  <c:v>3102</c:v>
                </c:pt>
                <c:pt idx="666">
                  <c:v>3102</c:v>
                </c:pt>
                <c:pt idx="667">
                  <c:v>3102</c:v>
                </c:pt>
                <c:pt idx="668">
                  <c:v>3102</c:v>
                </c:pt>
                <c:pt idx="669">
                  <c:v>3102</c:v>
                </c:pt>
                <c:pt idx="670">
                  <c:v>3102</c:v>
                </c:pt>
                <c:pt idx="671">
                  <c:v>3102</c:v>
                </c:pt>
                <c:pt idx="672">
                  <c:v>3102</c:v>
                </c:pt>
                <c:pt idx="673">
                  <c:v>3102</c:v>
                </c:pt>
                <c:pt idx="674">
                  <c:v>3102</c:v>
                </c:pt>
                <c:pt idx="675">
                  <c:v>3102</c:v>
                </c:pt>
                <c:pt idx="676">
                  <c:v>3102</c:v>
                </c:pt>
                <c:pt idx="677">
                  <c:v>3102</c:v>
                </c:pt>
                <c:pt idx="678">
                  <c:v>3102</c:v>
                </c:pt>
                <c:pt idx="679">
                  <c:v>3102</c:v>
                </c:pt>
                <c:pt idx="680">
                  <c:v>3102</c:v>
                </c:pt>
                <c:pt idx="681">
                  <c:v>3102</c:v>
                </c:pt>
                <c:pt idx="682">
                  <c:v>3102</c:v>
                </c:pt>
                <c:pt idx="683">
                  <c:v>3102</c:v>
                </c:pt>
                <c:pt idx="684">
                  <c:v>3102</c:v>
                </c:pt>
                <c:pt idx="685">
                  <c:v>3102</c:v>
                </c:pt>
                <c:pt idx="686">
                  <c:v>3102</c:v>
                </c:pt>
                <c:pt idx="687">
                  <c:v>3102</c:v>
                </c:pt>
                <c:pt idx="688">
                  <c:v>3102</c:v>
                </c:pt>
                <c:pt idx="689">
                  <c:v>3102</c:v>
                </c:pt>
                <c:pt idx="690">
                  <c:v>3102</c:v>
                </c:pt>
                <c:pt idx="691">
                  <c:v>3102</c:v>
                </c:pt>
                <c:pt idx="692">
                  <c:v>3102</c:v>
                </c:pt>
                <c:pt idx="693">
                  <c:v>3102</c:v>
                </c:pt>
                <c:pt idx="694">
                  <c:v>3102</c:v>
                </c:pt>
                <c:pt idx="695">
                  <c:v>3102</c:v>
                </c:pt>
                <c:pt idx="696">
                  <c:v>3102</c:v>
                </c:pt>
                <c:pt idx="697">
                  <c:v>3102</c:v>
                </c:pt>
                <c:pt idx="698">
                  <c:v>3102</c:v>
                </c:pt>
                <c:pt idx="699">
                  <c:v>3102</c:v>
                </c:pt>
                <c:pt idx="700">
                  <c:v>3102</c:v>
                </c:pt>
                <c:pt idx="701">
                  <c:v>3102</c:v>
                </c:pt>
                <c:pt idx="702">
                  <c:v>3102</c:v>
                </c:pt>
                <c:pt idx="703">
                  <c:v>3102</c:v>
                </c:pt>
                <c:pt idx="704">
                  <c:v>3102</c:v>
                </c:pt>
                <c:pt idx="705">
                  <c:v>3102</c:v>
                </c:pt>
                <c:pt idx="706">
                  <c:v>3102</c:v>
                </c:pt>
                <c:pt idx="707">
                  <c:v>3102</c:v>
                </c:pt>
                <c:pt idx="708">
                  <c:v>3102</c:v>
                </c:pt>
                <c:pt idx="709">
                  <c:v>3102</c:v>
                </c:pt>
                <c:pt idx="710">
                  <c:v>3102</c:v>
                </c:pt>
                <c:pt idx="711">
                  <c:v>3102</c:v>
                </c:pt>
                <c:pt idx="712">
                  <c:v>3102</c:v>
                </c:pt>
                <c:pt idx="713">
                  <c:v>3102</c:v>
                </c:pt>
                <c:pt idx="714">
                  <c:v>3102</c:v>
                </c:pt>
                <c:pt idx="715">
                  <c:v>3102</c:v>
                </c:pt>
                <c:pt idx="716">
                  <c:v>3102</c:v>
                </c:pt>
                <c:pt idx="717">
                  <c:v>3102</c:v>
                </c:pt>
                <c:pt idx="718">
                  <c:v>3102</c:v>
                </c:pt>
                <c:pt idx="719">
                  <c:v>3102</c:v>
                </c:pt>
                <c:pt idx="720">
                  <c:v>3102</c:v>
                </c:pt>
                <c:pt idx="721">
                  <c:v>3102</c:v>
                </c:pt>
                <c:pt idx="722">
                  <c:v>3102</c:v>
                </c:pt>
                <c:pt idx="723">
                  <c:v>3102</c:v>
                </c:pt>
                <c:pt idx="724">
                  <c:v>3102</c:v>
                </c:pt>
                <c:pt idx="725">
                  <c:v>3102</c:v>
                </c:pt>
                <c:pt idx="726">
                  <c:v>3102</c:v>
                </c:pt>
                <c:pt idx="727">
                  <c:v>3102</c:v>
                </c:pt>
                <c:pt idx="728">
                  <c:v>3102</c:v>
                </c:pt>
                <c:pt idx="729">
                  <c:v>3102</c:v>
                </c:pt>
                <c:pt idx="730">
                  <c:v>3102</c:v>
                </c:pt>
                <c:pt idx="731">
                  <c:v>3102</c:v>
                </c:pt>
                <c:pt idx="732">
                  <c:v>3102</c:v>
                </c:pt>
                <c:pt idx="733">
                  <c:v>3102</c:v>
                </c:pt>
                <c:pt idx="734">
                  <c:v>3102</c:v>
                </c:pt>
                <c:pt idx="735">
                  <c:v>3102</c:v>
                </c:pt>
                <c:pt idx="736">
                  <c:v>3102</c:v>
                </c:pt>
                <c:pt idx="737">
                  <c:v>3102</c:v>
                </c:pt>
                <c:pt idx="738">
                  <c:v>3102</c:v>
                </c:pt>
                <c:pt idx="739">
                  <c:v>3102</c:v>
                </c:pt>
                <c:pt idx="740">
                  <c:v>3102</c:v>
                </c:pt>
                <c:pt idx="741">
                  <c:v>3102</c:v>
                </c:pt>
                <c:pt idx="742">
                  <c:v>3102</c:v>
                </c:pt>
                <c:pt idx="743">
                  <c:v>3102</c:v>
                </c:pt>
                <c:pt idx="744">
                  <c:v>3102</c:v>
                </c:pt>
                <c:pt idx="745">
                  <c:v>3102</c:v>
                </c:pt>
                <c:pt idx="746">
                  <c:v>3102</c:v>
                </c:pt>
                <c:pt idx="747">
                  <c:v>3102</c:v>
                </c:pt>
                <c:pt idx="748">
                  <c:v>3102</c:v>
                </c:pt>
                <c:pt idx="749">
                  <c:v>3102</c:v>
                </c:pt>
                <c:pt idx="750">
                  <c:v>3102</c:v>
                </c:pt>
                <c:pt idx="751">
                  <c:v>3102</c:v>
                </c:pt>
                <c:pt idx="752">
                  <c:v>3102</c:v>
                </c:pt>
                <c:pt idx="753">
                  <c:v>3102</c:v>
                </c:pt>
                <c:pt idx="754">
                  <c:v>3102</c:v>
                </c:pt>
                <c:pt idx="755">
                  <c:v>3102</c:v>
                </c:pt>
                <c:pt idx="756">
                  <c:v>3102</c:v>
                </c:pt>
                <c:pt idx="757">
                  <c:v>3102</c:v>
                </c:pt>
                <c:pt idx="758">
                  <c:v>3102</c:v>
                </c:pt>
                <c:pt idx="759">
                  <c:v>3102</c:v>
                </c:pt>
                <c:pt idx="760">
                  <c:v>3102</c:v>
                </c:pt>
                <c:pt idx="761">
                  <c:v>3102</c:v>
                </c:pt>
                <c:pt idx="762">
                  <c:v>3102</c:v>
                </c:pt>
                <c:pt idx="763">
                  <c:v>3102</c:v>
                </c:pt>
                <c:pt idx="764">
                  <c:v>3102</c:v>
                </c:pt>
                <c:pt idx="765">
                  <c:v>3102</c:v>
                </c:pt>
                <c:pt idx="766">
                  <c:v>3102</c:v>
                </c:pt>
                <c:pt idx="767">
                  <c:v>3102</c:v>
                </c:pt>
                <c:pt idx="768">
                  <c:v>3102</c:v>
                </c:pt>
                <c:pt idx="769">
                  <c:v>3102</c:v>
                </c:pt>
                <c:pt idx="770">
                  <c:v>3102</c:v>
                </c:pt>
                <c:pt idx="771">
                  <c:v>3102</c:v>
                </c:pt>
                <c:pt idx="772">
                  <c:v>3102</c:v>
                </c:pt>
                <c:pt idx="773">
                  <c:v>3102</c:v>
                </c:pt>
                <c:pt idx="774">
                  <c:v>3102</c:v>
                </c:pt>
                <c:pt idx="775">
                  <c:v>3102</c:v>
                </c:pt>
                <c:pt idx="776">
                  <c:v>3102</c:v>
                </c:pt>
                <c:pt idx="777">
                  <c:v>3102</c:v>
                </c:pt>
                <c:pt idx="778">
                  <c:v>3102</c:v>
                </c:pt>
                <c:pt idx="779">
                  <c:v>3102</c:v>
                </c:pt>
                <c:pt idx="780">
                  <c:v>3102</c:v>
                </c:pt>
                <c:pt idx="781">
                  <c:v>3102</c:v>
                </c:pt>
                <c:pt idx="782">
                  <c:v>3102</c:v>
                </c:pt>
                <c:pt idx="783">
                  <c:v>3102</c:v>
                </c:pt>
                <c:pt idx="784">
                  <c:v>3102</c:v>
                </c:pt>
                <c:pt idx="785">
                  <c:v>3102</c:v>
                </c:pt>
                <c:pt idx="786">
                  <c:v>3102</c:v>
                </c:pt>
                <c:pt idx="787">
                  <c:v>3102</c:v>
                </c:pt>
                <c:pt idx="788">
                  <c:v>3102</c:v>
                </c:pt>
                <c:pt idx="789">
                  <c:v>3102</c:v>
                </c:pt>
                <c:pt idx="790">
                  <c:v>3102</c:v>
                </c:pt>
                <c:pt idx="791">
                  <c:v>3102</c:v>
                </c:pt>
                <c:pt idx="792">
                  <c:v>3102</c:v>
                </c:pt>
                <c:pt idx="793">
                  <c:v>3102</c:v>
                </c:pt>
                <c:pt idx="794">
                  <c:v>3102</c:v>
                </c:pt>
                <c:pt idx="795">
                  <c:v>3102</c:v>
                </c:pt>
                <c:pt idx="796">
                  <c:v>3102</c:v>
                </c:pt>
                <c:pt idx="797">
                  <c:v>3102</c:v>
                </c:pt>
                <c:pt idx="798">
                  <c:v>3102</c:v>
                </c:pt>
                <c:pt idx="799">
                  <c:v>3102</c:v>
                </c:pt>
                <c:pt idx="800">
                  <c:v>3102</c:v>
                </c:pt>
                <c:pt idx="801">
                  <c:v>3102</c:v>
                </c:pt>
                <c:pt idx="802">
                  <c:v>3102</c:v>
                </c:pt>
                <c:pt idx="803">
                  <c:v>3102</c:v>
                </c:pt>
                <c:pt idx="804">
                  <c:v>3102</c:v>
                </c:pt>
                <c:pt idx="805">
                  <c:v>3102</c:v>
                </c:pt>
                <c:pt idx="806">
                  <c:v>3102</c:v>
                </c:pt>
                <c:pt idx="807">
                  <c:v>3102</c:v>
                </c:pt>
                <c:pt idx="808">
                  <c:v>3102</c:v>
                </c:pt>
                <c:pt idx="809">
                  <c:v>3102</c:v>
                </c:pt>
                <c:pt idx="810">
                  <c:v>3102</c:v>
                </c:pt>
                <c:pt idx="811">
                  <c:v>3102</c:v>
                </c:pt>
                <c:pt idx="812">
                  <c:v>3102</c:v>
                </c:pt>
                <c:pt idx="813">
                  <c:v>3102</c:v>
                </c:pt>
                <c:pt idx="814">
                  <c:v>3102</c:v>
                </c:pt>
                <c:pt idx="815">
                  <c:v>3102</c:v>
                </c:pt>
                <c:pt idx="816">
                  <c:v>3102</c:v>
                </c:pt>
                <c:pt idx="817">
                  <c:v>3102</c:v>
                </c:pt>
                <c:pt idx="818">
                  <c:v>3102</c:v>
                </c:pt>
                <c:pt idx="819">
                  <c:v>3102</c:v>
                </c:pt>
                <c:pt idx="820">
                  <c:v>3102</c:v>
                </c:pt>
                <c:pt idx="821">
                  <c:v>3102</c:v>
                </c:pt>
                <c:pt idx="822">
                  <c:v>3102</c:v>
                </c:pt>
                <c:pt idx="823">
                  <c:v>3102</c:v>
                </c:pt>
                <c:pt idx="824">
                  <c:v>3102</c:v>
                </c:pt>
                <c:pt idx="825">
                  <c:v>3102</c:v>
                </c:pt>
                <c:pt idx="826">
                  <c:v>3102</c:v>
                </c:pt>
                <c:pt idx="827">
                  <c:v>3102</c:v>
                </c:pt>
                <c:pt idx="828">
                  <c:v>3102</c:v>
                </c:pt>
                <c:pt idx="829">
                  <c:v>3102</c:v>
                </c:pt>
                <c:pt idx="830">
                  <c:v>3102</c:v>
                </c:pt>
                <c:pt idx="831">
                  <c:v>3102</c:v>
                </c:pt>
                <c:pt idx="832">
                  <c:v>3102</c:v>
                </c:pt>
                <c:pt idx="833">
                  <c:v>3102</c:v>
                </c:pt>
                <c:pt idx="834">
                  <c:v>3102</c:v>
                </c:pt>
                <c:pt idx="835">
                  <c:v>3102</c:v>
                </c:pt>
                <c:pt idx="836">
                  <c:v>3102</c:v>
                </c:pt>
                <c:pt idx="837">
                  <c:v>3102</c:v>
                </c:pt>
                <c:pt idx="838">
                  <c:v>3102</c:v>
                </c:pt>
                <c:pt idx="839">
                  <c:v>3102</c:v>
                </c:pt>
                <c:pt idx="840">
                  <c:v>3102</c:v>
                </c:pt>
                <c:pt idx="841">
                  <c:v>3102</c:v>
                </c:pt>
                <c:pt idx="842">
                  <c:v>3102</c:v>
                </c:pt>
                <c:pt idx="843">
                  <c:v>3102</c:v>
                </c:pt>
                <c:pt idx="844">
                  <c:v>3102</c:v>
                </c:pt>
                <c:pt idx="845">
                  <c:v>3102</c:v>
                </c:pt>
                <c:pt idx="846">
                  <c:v>3102</c:v>
                </c:pt>
                <c:pt idx="847">
                  <c:v>3102</c:v>
                </c:pt>
                <c:pt idx="848">
                  <c:v>3102</c:v>
                </c:pt>
                <c:pt idx="849">
                  <c:v>3102</c:v>
                </c:pt>
                <c:pt idx="850">
                  <c:v>3102</c:v>
                </c:pt>
                <c:pt idx="851">
                  <c:v>3102</c:v>
                </c:pt>
                <c:pt idx="852">
                  <c:v>3102</c:v>
                </c:pt>
                <c:pt idx="853">
                  <c:v>3102</c:v>
                </c:pt>
                <c:pt idx="854">
                  <c:v>3102</c:v>
                </c:pt>
                <c:pt idx="855">
                  <c:v>3102</c:v>
                </c:pt>
                <c:pt idx="856">
                  <c:v>3102</c:v>
                </c:pt>
                <c:pt idx="857">
                  <c:v>3102</c:v>
                </c:pt>
                <c:pt idx="858">
                  <c:v>3102</c:v>
                </c:pt>
                <c:pt idx="859">
                  <c:v>3102</c:v>
                </c:pt>
                <c:pt idx="860">
                  <c:v>3102</c:v>
                </c:pt>
                <c:pt idx="861">
                  <c:v>3102</c:v>
                </c:pt>
                <c:pt idx="862">
                  <c:v>3102</c:v>
                </c:pt>
                <c:pt idx="863">
                  <c:v>3102</c:v>
                </c:pt>
                <c:pt idx="864">
                  <c:v>3102</c:v>
                </c:pt>
                <c:pt idx="865">
                  <c:v>3102</c:v>
                </c:pt>
                <c:pt idx="866">
                  <c:v>3102</c:v>
                </c:pt>
                <c:pt idx="867">
                  <c:v>3102</c:v>
                </c:pt>
                <c:pt idx="868">
                  <c:v>3102</c:v>
                </c:pt>
                <c:pt idx="869">
                  <c:v>3102</c:v>
                </c:pt>
                <c:pt idx="870">
                  <c:v>3102</c:v>
                </c:pt>
                <c:pt idx="871">
                  <c:v>3102</c:v>
                </c:pt>
                <c:pt idx="872">
                  <c:v>3102</c:v>
                </c:pt>
                <c:pt idx="873">
                  <c:v>3102</c:v>
                </c:pt>
                <c:pt idx="874">
                  <c:v>3102</c:v>
                </c:pt>
                <c:pt idx="875">
                  <c:v>3102</c:v>
                </c:pt>
                <c:pt idx="876">
                  <c:v>3102</c:v>
                </c:pt>
                <c:pt idx="877">
                  <c:v>3102</c:v>
                </c:pt>
                <c:pt idx="878">
                  <c:v>3102</c:v>
                </c:pt>
                <c:pt idx="879">
                  <c:v>3102</c:v>
                </c:pt>
                <c:pt idx="880">
                  <c:v>3102</c:v>
                </c:pt>
                <c:pt idx="881">
                  <c:v>3102</c:v>
                </c:pt>
                <c:pt idx="882">
                  <c:v>3102</c:v>
                </c:pt>
                <c:pt idx="883">
                  <c:v>3102</c:v>
                </c:pt>
                <c:pt idx="884">
                  <c:v>3102</c:v>
                </c:pt>
                <c:pt idx="885">
                  <c:v>3102</c:v>
                </c:pt>
                <c:pt idx="886">
                  <c:v>3102</c:v>
                </c:pt>
                <c:pt idx="887">
                  <c:v>3102</c:v>
                </c:pt>
                <c:pt idx="888">
                  <c:v>3102</c:v>
                </c:pt>
                <c:pt idx="889">
                  <c:v>3102</c:v>
                </c:pt>
                <c:pt idx="890">
                  <c:v>3102</c:v>
                </c:pt>
                <c:pt idx="891">
                  <c:v>3102</c:v>
                </c:pt>
                <c:pt idx="892">
                  <c:v>3102</c:v>
                </c:pt>
                <c:pt idx="893">
                  <c:v>3102</c:v>
                </c:pt>
                <c:pt idx="894">
                  <c:v>3102</c:v>
                </c:pt>
                <c:pt idx="895">
                  <c:v>3102</c:v>
                </c:pt>
                <c:pt idx="896">
                  <c:v>3102</c:v>
                </c:pt>
                <c:pt idx="897">
                  <c:v>3102</c:v>
                </c:pt>
                <c:pt idx="898">
                  <c:v>3102</c:v>
                </c:pt>
                <c:pt idx="899">
                  <c:v>3102</c:v>
                </c:pt>
                <c:pt idx="900">
                  <c:v>3102</c:v>
                </c:pt>
                <c:pt idx="901">
                  <c:v>3102</c:v>
                </c:pt>
                <c:pt idx="902">
                  <c:v>3102</c:v>
                </c:pt>
                <c:pt idx="903">
                  <c:v>3102</c:v>
                </c:pt>
                <c:pt idx="904">
                  <c:v>3102</c:v>
                </c:pt>
                <c:pt idx="905">
                  <c:v>3102</c:v>
                </c:pt>
                <c:pt idx="906">
                  <c:v>3102</c:v>
                </c:pt>
                <c:pt idx="907">
                  <c:v>3102</c:v>
                </c:pt>
                <c:pt idx="908">
                  <c:v>3102</c:v>
                </c:pt>
                <c:pt idx="909">
                  <c:v>3102</c:v>
                </c:pt>
                <c:pt idx="910">
                  <c:v>3102</c:v>
                </c:pt>
                <c:pt idx="911">
                  <c:v>3102</c:v>
                </c:pt>
                <c:pt idx="912">
                  <c:v>3102</c:v>
                </c:pt>
                <c:pt idx="913">
                  <c:v>3102</c:v>
                </c:pt>
                <c:pt idx="914">
                  <c:v>3102</c:v>
                </c:pt>
                <c:pt idx="915">
                  <c:v>3102</c:v>
                </c:pt>
                <c:pt idx="916">
                  <c:v>3102</c:v>
                </c:pt>
                <c:pt idx="917">
                  <c:v>3102</c:v>
                </c:pt>
                <c:pt idx="918">
                  <c:v>3102</c:v>
                </c:pt>
                <c:pt idx="919">
                  <c:v>3102</c:v>
                </c:pt>
                <c:pt idx="920">
                  <c:v>3102</c:v>
                </c:pt>
                <c:pt idx="921">
                  <c:v>3102</c:v>
                </c:pt>
                <c:pt idx="922">
                  <c:v>3102</c:v>
                </c:pt>
                <c:pt idx="923">
                  <c:v>3102</c:v>
                </c:pt>
                <c:pt idx="924">
                  <c:v>3102</c:v>
                </c:pt>
                <c:pt idx="925">
                  <c:v>3102</c:v>
                </c:pt>
                <c:pt idx="926">
                  <c:v>3102</c:v>
                </c:pt>
                <c:pt idx="927">
                  <c:v>3102</c:v>
                </c:pt>
                <c:pt idx="928">
                  <c:v>3102</c:v>
                </c:pt>
                <c:pt idx="929">
                  <c:v>3102</c:v>
                </c:pt>
                <c:pt idx="930">
                  <c:v>3102</c:v>
                </c:pt>
                <c:pt idx="931">
                  <c:v>3102</c:v>
                </c:pt>
                <c:pt idx="932">
                  <c:v>3102</c:v>
                </c:pt>
                <c:pt idx="933">
                  <c:v>3102</c:v>
                </c:pt>
                <c:pt idx="934">
                  <c:v>3102</c:v>
                </c:pt>
                <c:pt idx="935">
                  <c:v>3102</c:v>
                </c:pt>
                <c:pt idx="936">
                  <c:v>3102</c:v>
                </c:pt>
                <c:pt idx="937">
                  <c:v>3102</c:v>
                </c:pt>
                <c:pt idx="938">
                  <c:v>3102</c:v>
                </c:pt>
                <c:pt idx="939">
                  <c:v>3102</c:v>
                </c:pt>
                <c:pt idx="940">
                  <c:v>3102</c:v>
                </c:pt>
                <c:pt idx="941">
                  <c:v>3102</c:v>
                </c:pt>
                <c:pt idx="942">
                  <c:v>3102</c:v>
                </c:pt>
                <c:pt idx="943">
                  <c:v>3102</c:v>
                </c:pt>
                <c:pt idx="944">
                  <c:v>3102</c:v>
                </c:pt>
                <c:pt idx="945">
                  <c:v>3102</c:v>
                </c:pt>
                <c:pt idx="946">
                  <c:v>3102</c:v>
                </c:pt>
                <c:pt idx="947">
                  <c:v>3102</c:v>
                </c:pt>
                <c:pt idx="948">
                  <c:v>3102</c:v>
                </c:pt>
                <c:pt idx="949">
                  <c:v>3102</c:v>
                </c:pt>
                <c:pt idx="950">
                  <c:v>3102</c:v>
                </c:pt>
                <c:pt idx="951">
                  <c:v>3102</c:v>
                </c:pt>
                <c:pt idx="952">
                  <c:v>3102</c:v>
                </c:pt>
                <c:pt idx="953">
                  <c:v>3102</c:v>
                </c:pt>
                <c:pt idx="954">
                  <c:v>3102</c:v>
                </c:pt>
                <c:pt idx="955">
                  <c:v>3102</c:v>
                </c:pt>
                <c:pt idx="956">
                  <c:v>3102</c:v>
                </c:pt>
                <c:pt idx="957">
                  <c:v>3102</c:v>
                </c:pt>
                <c:pt idx="958">
                  <c:v>3102</c:v>
                </c:pt>
                <c:pt idx="959">
                  <c:v>3102</c:v>
                </c:pt>
                <c:pt idx="960">
                  <c:v>3102</c:v>
                </c:pt>
                <c:pt idx="961">
                  <c:v>3102</c:v>
                </c:pt>
                <c:pt idx="962">
                  <c:v>3102</c:v>
                </c:pt>
                <c:pt idx="963">
                  <c:v>3102</c:v>
                </c:pt>
                <c:pt idx="964">
                  <c:v>3102</c:v>
                </c:pt>
                <c:pt idx="965">
                  <c:v>3102</c:v>
                </c:pt>
                <c:pt idx="966">
                  <c:v>3102</c:v>
                </c:pt>
                <c:pt idx="967">
                  <c:v>3102</c:v>
                </c:pt>
                <c:pt idx="968">
                  <c:v>3102</c:v>
                </c:pt>
                <c:pt idx="969">
                  <c:v>3102</c:v>
                </c:pt>
                <c:pt idx="970">
                  <c:v>3102</c:v>
                </c:pt>
                <c:pt idx="971">
                  <c:v>3102</c:v>
                </c:pt>
                <c:pt idx="972">
                  <c:v>3102</c:v>
                </c:pt>
                <c:pt idx="973">
                  <c:v>3102</c:v>
                </c:pt>
                <c:pt idx="974">
                  <c:v>3102</c:v>
                </c:pt>
                <c:pt idx="975">
                  <c:v>3102</c:v>
                </c:pt>
                <c:pt idx="976">
                  <c:v>3102</c:v>
                </c:pt>
                <c:pt idx="977">
                  <c:v>3102</c:v>
                </c:pt>
                <c:pt idx="978">
                  <c:v>3102</c:v>
                </c:pt>
                <c:pt idx="979">
                  <c:v>3102</c:v>
                </c:pt>
                <c:pt idx="980">
                  <c:v>3102</c:v>
                </c:pt>
                <c:pt idx="981">
                  <c:v>3102</c:v>
                </c:pt>
                <c:pt idx="982">
                  <c:v>3102</c:v>
                </c:pt>
                <c:pt idx="983">
                  <c:v>3102</c:v>
                </c:pt>
                <c:pt idx="984">
                  <c:v>3102</c:v>
                </c:pt>
                <c:pt idx="985">
                  <c:v>3102</c:v>
                </c:pt>
                <c:pt idx="986">
                  <c:v>3102</c:v>
                </c:pt>
                <c:pt idx="987">
                  <c:v>3102</c:v>
                </c:pt>
                <c:pt idx="988">
                  <c:v>3102</c:v>
                </c:pt>
                <c:pt idx="989">
                  <c:v>3102</c:v>
                </c:pt>
                <c:pt idx="990">
                  <c:v>3102</c:v>
                </c:pt>
                <c:pt idx="991">
                  <c:v>3102</c:v>
                </c:pt>
                <c:pt idx="992">
                  <c:v>3102</c:v>
                </c:pt>
                <c:pt idx="993">
                  <c:v>3102</c:v>
                </c:pt>
                <c:pt idx="994">
                  <c:v>3102</c:v>
                </c:pt>
                <c:pt idx="995">
                  <c:v>3102</c:v>
                </c:pt>
                <c:pt idx="996">
                  <c:v>3102</c:v>
                </c:pt>
                <c:pt idx="997">
                  <c:v>3102</c:v>
                </c:pt>
                <c:pt idx="998">
                  <c:v>3102</c:v>
                </c:pt>
                <c:pt idx="999">
                  <c:v>3102</c:v>
                </c:pt>
                <c:pt idx="1000">
                  <c:v>3102</c:v>
                </c:pt>
                <c:pt idx="1001">
                  <c:v>3102</c:v>
                </c:pt>
                <c:pt idx="1002">
                  <c:v>3102</c:v>
                </c:pt>
                <c:pt idx="1003">
                  <c:v>3102</c:v>
                </c:pt>
                <c:pt idx="1004">
                  <c:v>3102</c:v>
                </c:pt>
                <c:pt idx="1005">
                  <c:v>3102</c:v>
                </c:pt>
                <c:pt idx="1006">
                  <c:v>3102</c:v>
                </c:pt>
                <c:pt idx="1007">
                  <c:v>3102</c:v>
                </c:pt>
                <c:pt idx="1008">
                  <c:v>3102</c:v>
                </c:pt>
                <c:pt idx="1009">
                  <c:v>3102</c:v>
                </c:pt>
                <c:pt idx="1010">
                  <c:v>3102</c:v>
                </c:pt>
                <c:pt idx="1011">
                  <c:v>3102</c:v>
                </c:pt>
                <c:pt idx="1012">
                  <c:v>3102</c:v>
                </c:pt>
                <c:pt idx="1013">
                  <c:v>3102</c:v>
                </c:pt>
                <c:pt idx="1014">
                  <c:v>3102</c:v>
                </c:pt>
                <c:pt idx="1015">
                  <c:v>3102</c:v>
                </c:pt>
                <c:pt idx="1016">
                  <c:v>3102</c:v>
                </c:pt>
                <c:pt idx="1017">
                  <c:v>3102</c:v>
                </c:pt>
                <c:pt idx="1018">
                  <c:v>3102</c:v>
                </c:pt>
                <c:pt idx="1019">
                  <c:v>3102</c:v>
                </c:pt>
                <c:pt idx="1020">
                  <c:v>3102</c:v>
                </c:pt>
                <c:pt idx="1021">
                  <c:v>3102</c:v>
                </c:pt>
                <c:pt idx="1022">
                  <c:v>3102</c:v>
                </c:pt>
                <c:pt idx="1023">
                  <c:v>3102</c:v>
                </c:pt>
                <c:pt idx="1024">
                  <c:v>3102</c:v>
                </c:pt>
                <c:pt idx="1025">
                  <c:v>3102</c:v>
                </c:pt>
                <c:pt idx="1026">
                  <c:v>3102</c:v>
                </c:pt>
                <c:pt idx="1027">
                  <c:v>3102</c:v>
                </c:pt>
                <c:pt idx="1028">
                  <c:v>3102</c:v>
                </c:pt>
                <c:pt idx="1029">
                  <c:v>3102</c:v>
                </c:pt>
                <c:pt idx="1030">
                  <c:v>3102</c:v>
                </c:pt>
                <c:pt idx="1031">
                  <c:v>3102</c:v>
                </c:pt>
                <c:pt idx="1032">
                  <c:v>3102</c:v>
                </c:pt>
                <c:pt idx="1033">
                  <c:v>3102</c:v>
                </c:pt>
                <c:pt idx="1034">
                  <c:v>3102</c:v>
                </c:pt>
                <c:pt idx="1035">
                  <c:v>3102</c:v>
                </c:pt>
                <c:pt idx="1036">
                  <c:v>3102</c:v>
                </c:pt>
                <c:pt idx="1037">
                  <c:v>3102</c:v>
                </c:pt>
                <c:pt idx="1038">
                  <c:v>3102</c:v>
                </c:pt>
                <c:pt idx="1039">
                  <c:v>3102</c:v>
                </c:pt>
                <c:pt idx="1040">
                  <c:v>3102</c:v>
                </c:pt>
                <c:pt idx="1041">
                  <c:v>3102</c:v>
                </c:pt>
                <c:pt idx="1042">
                  <c:v>3102</c:v>
                </c:pt>
                <c:pt idx="1043">
                  <c:v>3102</c:v>
                </c:pt>
                <c:pt idx="1044">
                  <c:v>3102</c:v>
                </c:pt>
                <c:pt idx="1045">
                  <c:v>3102</c:v>
                </c:pt>
                <c:pt idx="1046">
                  <c:v>3102</c:v>
                </c:pt>
                <c:pt idx="1047">
                  <c:v>3102</c:v>
                </c:pt>
                <c:pt idx="1048">
                  <c:v>3102</c:v>
                </c:pt>
                <c:pt idx="1049">
                  <c:v>3102</c:v>
                </c:pt>
                <c:pt idx="1050">
                  <c:v>3102</c:v>
                </c:pt>
                <c:pt idx="1051">
                  <c:v>3102</c:v>
                </c:pt>
                <c:pt idx="1052">
                  <c:v>3102</c:v>
                </c:pt>
                <c:pt idx="1053">
                  <c:v>3102</c:v>
                </c:pt>
                <c:pt idx="1054">
                  <c:v>3102</c:v>
                </c:pt>
                <c:pt idx="1055">
                  <c:v>3102</c:v>
                </c:pt>
                <c:pt idx="1056">
                  <c:v>3102</c:v>
                </c:pt>
                <c:pt idx="1057">
                  <c:v>3102</c:v>
                </c:pt>
                <c:pt idx="1058">
                  <c:v>3102</c:v>
                </c:pt>
                <c:pt idx="1059">
                  <c:v>3102</c:v>
                </c:pt>
                <c:pt idx="1060">
                  <c:v>3102</c:v>
                </c:pt>
                <c:pt idx="1061">
                  <c:v>3102</c:v>
                </c:pt>
                <c:pt idx="1062">
                  <c:v>3102</c:v>
                </c:pt>
                <c:pt idx="1063">
                  <c:v>3102</c:v>
                </c:pt>
                <c:pt idx="1064">
                  <c:v>3102</c:v>
                </c:pt>
                <c:pt idx="1065">
                  <c:v>3102</c:v>
                </c:pt>
                <c:pt idx="1066">
                  <c:v>3102</c:v>
                </c:pt>
                <c:pt idx="1067">
                  <c:v>3102</c:v>
                </c:pt>
                <c:pt idx="1068">
                  <c:v>3102</c:v>
                </c:pt>
                <c:pt idx="1069">
                  <c:v>3102</c:v>
                </c:pt>
                <c:pt idx="1070">
                  <c:v>3102</c:v>
                </c:pt>
                <c:pt idx="1071">
                  <c:v>3102</c:v>
                </c:pt>
                <c:pt idx="1072">
                  <c:v>3102</c:v>
                </c:pt>
                <c:pt idx="1073">
                  <c:v>3102</c:v>
                </c:pt>
                <c:pt idx="1074">
                  <c:v>3102</c:v>
                </c:pt>
                <c:pt idx="1075">
                  <c:v>3102</c:v>
                </c:pt>
                <c:pt idx="1076">
                  <c:v>3102</c:v>
                </c:pt>
                <c:pt idx="1077">
                  <c:v>3102</c:v>
                </c:pt>
                <c:pt idx="1078">
                  <c:v>3102</c:v>
                </c:pt>
                <c:pt idx="1079">
                  <c:v>3102</c:v>
                </c:pt>
                <c:pt idx="1080">
                  <c:v>3102</c:v>
                </c:pt>
                <c:pt idx="1081">
                  <c:v>3102</c:v>
                </c:pt>
                <c:pt idx="1082">
                  <c:v>3102</c:v>
                </c:pt>
                <c:pt idx="1083">
                  <c:v>3102</c:v>
                </c:pt>
                <c:pt idx="1084">
                  <c:v>3102</c:v>
                </c:pt>
                <c:pt idx="1085">
                  <c:v>3102</c:v>
                </c:pt>
                <c:pt idx="1086">
                  <c:v>3102</c:v>
                </c:pt>
                <c:pt idx="1087">
                  <c:v>3102</c:v>
                </c:pt>
                <c:pt idx="1088">
                  <c:v>3102</c:v>
                </c:pt>
                <c:pt idx="1089">
                  <c:v>3102</c:v>
                </c:pt>
                <c:pt idx="1090">
                  <c:v>3102</c:v>
                </c:pt>
                <c:pt idx="1091">
                  <c:v>3102</c:v>
                </c:pt>
                <c:pt idx="1092">
                  <c:v>3102</c:v>
                </c:pt>
                <c:pt idx="1093">
                  <c:v>3102</c:v>
                </c:pt>
                <c:pt idx="1094">
                  <c:v>3102</c:v>
                </c:pt>
                <c:pt idx="1095">
                  <c:v>3102</c:v>
                </c:pt>
                <c:pt idx="1096">
                  <c:v>3102</c:v>
                </c:pt>
                <c:pt idx="1097">
                  <c:v>3102</c:v>
                </c:pt>
                <c:pt idx="1098">
                  <c:v>3102</c:v>
                </c:pt>
                <c:pt idx="1099">
                  <c:v>3102</c:v>
                </c:pt>
                <c:pt idx="1100">
                  <c:v>3102</c:v>
                </c:pt>
                <c:pt idx="1101">
                  <c:v>3102</c:v>
                </c:pt>
                <c:pt idx="1102">
                  <c:v>3102</c:v>
                </c:pt>
                <c:pt idx="1103">
                  <c:v>3102</c:v>
                </c:pt>
                <c:pt idx="1104">
                  <c:v>3102</c:v>
                </c:pt>
                <c:pt idx="1105">
                  <c:v>3102</c:v>
                </c:pt>
                <c:pt idx="1106">
                  <c:v>3102</c:v>
                </c:pt>
                <c:pt idx="1107">
                  <c:v>3102</c:v>
                </c:pt>
                <c:pt idx="1108">
                  <c:v>3102</c:v>
                </c:pt>
                <c:pt idx="1109">
                  <c:v>3102</c:v>
                </c:pt>
                <c:pt idx="1110">
                  <c:v>3102</c:v>
                </c:pt>
                <c:pt idx="1111">
                  <c:v>3102</c:v>
                </c:pt>
                <c:pt idx="1112">
                  <c:v>3102</c:v>
                </c:pt>
                <c:pt idx="1113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61-4397-87F8-4618E103A398}"/>
            </c:ext>
          </c:extLst>
        </c:ser>
        <c:ser>
          <c:idx val="10"/>
          <c:order val="10"/>
          <c:tx>
            <c:v>Cumulative 2027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C361-4397-87F8-4618E103A398}"/>
            </c:ext>
          </c:extLst>
        </c:ser>
        <c:ser>
          <c:idx val="11"/>
          <c:order val="11"/>
          <c:tx>
            <c:v>Max 2027</c:v>
          </c:tx>
          <c:spPr>
            <a:ln w="285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C361-4397-87F8-4618E103A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Day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</c:valAx>
      <c:valAx>
        <c:axId val="540095055"/>
        <c:scaling>
          <c:orientation val="minMax"/>
          <c:max val="15000"/>
          <c:min val="0"/>
        </c:scaling>
        <c:delete val="0"/>
        <c:axPos val="r"/>
        <c:majorGridlines>
          <c:spPr>
            <a:ln w="9525" cap="flat" cmpd="sng" algn="ctr">
              <a:solidFill>
                <a:srgbClr val="997300">
                  <a:alpha val="50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Cumulative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  <c:majorUnit val="2500"/>
      </c:valAx>
      <c:cat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Pages!$B$1</c:f>
              <c:strCache>
                <c:ptCount val="1"/>
                <c:pt idx="0">
                  <c:v>Day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[0]!PagesDayTotalAll</c:f>
              <c:numCache>
                <c:formatCode>General</c:formatCode>
                <c:ptCount val="1114"/>
                <c:pt idx="0">
                  <c:v>129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</c:v>
                </c:pt>
                <c:pt idx="12">
                  <c:v>102</c:v>
                </c:pt>
                <c:pt idx="13">
                  <c:v>95</c:v>
                </c:pt>
                <c:pt idx="14">
                  <c:v>128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76</c:v>
                </c:pt>
                <c:pt idx="20">
                  <c:v>166</c:v>
                </c:pt>
                <c:pt idx="21">
                  <c:v>139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129</c:v>
                </c:pt>
                <c:pt idx="27">
                  <c:v>42</c:v>
                </c:pt>
                <c:pt idx="28">
                  <c:v>88</c:v>
                </c:pt>
                <c:pt idx="29">
                  <c:v>63</c:v>
                </c:pt>
                <c:pt idx="30">
                  <c:v>0</c:v>
                </c:pt>
                <c:pt idx="31">
                  <c:v>54</c:v>
                </c:pt>
                <c:pt idx="32">
                  <c:v>121</c:v>
                </c:pt>
                <c:pt idx="33">
                  <c:v>62</c:v>
                </c:pt>
                <c:pt idx="34">
                  <c:v>47</c:v>
                </c:pt>
                <c:pt idx="35">
                  <c:v>101</c:v>
                </c:pt>
                <c:pt idx="36">
                  <c:v>200</c:v>
                </c:pt>
                <c:pt idx="37">
                  <c:v>144</c:v>
                </c:pt>
                <c:pt idx="38">
                  <c:v>71</c:v>
                </c:pt>
                <c:pt idx="39">
                  <c:v>100</c:v>
                </c:pt>
                <c:pt idx="40">
                  <c:v>15</c:v>
                </c:pt>
                <c:pt idx="41">
                  <c:v>72</c:v>
                </c:pt>
                <c:pt idx="42">
                  <c:v>0</c:v>
                </c:pt>
                <c:pt idx="43">
                  <c:v>44</c:v>
                </c:pt>
                <c:pt idx="44">
                  <c:v>22</c:v>
                </c:pt>
                <c:pt idx="45">
                  <c:v>76</c:v>
                </c:pt>
                <c:pt idx="46">
                  <c:v>89</c:v>
                </c:pt>
                <c:pt idx="47">
                  <c:v>0</c:v>
                </c:pt>
                <c:pt idx="48">
                  <c:v>63</c:v>
                </c:pt>
                <c:pt idx="49">
                  <c:v>179</c:v>
                </c:pt>
                <c:pt idx="50">
                  <c:v>44</c:v>
                </c:pt>
                <c:pt idx="51">
                  <c:v>0</c:v>
                </c:pt>
                <c:pt idx="52">
                  <c:v>114</c:v>
                </c:pt>
                <c:pt idx="53">
                  <c:v>0</c:v>
                </c:pt>
                <c:pt idx="54">
                  <c:v>263</c:v>
                </c:pt>
                <c:pt idx="55">
                  <c:v>42</c:v>
                </c:pt>
                <c:pt idx="56">
                  <c:v>103</c:v>
                </c:pt>
                <c:pt idx="57">
                  <c:v>62</c:v>
                </c:pt>
                <c:pt idx="58">
                  <c:v>0</c:v>
                </c:pt>
                <c:pt idx="59">
                  <c:v>0</c:v>
                </c:pt>
                <c:pt idx="60">
                  <c:v>127</c:v>
                </c:pt>
                <c:pt idx="61">
                  <c:v>34</c:v>
                </c:pt>
                <c:pt idx="62">
                  <c:v>0</c:v>
                </c:pt>
                <c:pt idx="63">
                  <c:v>26</c:v>
                </c:pt>
                <c:pt idx="64">
                  <c:v>48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21</c:v>
                </c:pt>
                <c:pt idx="73">
                  <c:v>39</c:v>
                </c:pt>
                <c:pt idx="74">
                  <c:v>89</c:v>
                </c:pt>
                <c:pt idx="75">
                  <c:v>30</c:v>
                </c:pt>
                <c:pt idx="76">
                  <c:v>20</c:v>
                </c:pt>
                <c:pt idx="77">
                  <c:v>50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153</c:v>
                </c:pt>
                <c:pt idx="83">
                  <c:v>139</c:v>
                </c:pt>
                <c:pt idx="84">
                  <c:v>36</c:v>
                </c:pt>
                <c:pt idx="85">
                  <c:v>20</c:v>
                </c:pt>
                <c:pt idx="86">
                  <c:v>0</c:v>
                </c:pt>
                <c:pt idx="87">
                  <c:v>0</c:v>
                </c:pt>
                <c:pt idx="88">
                  <c:v>27</c:v>
                </c:pt>
                <c:pt idx="89">
                  <c:v>19</c:v>
                </c:pt>
                <c:pt idx="90">
                  <c:v>0</c:v>
                </c:pt>
                <c:pt idx="91">
                  <c:v>0</c:v>
                </c:pt>
                <c:pt idx="92">
                  <c:v>36</c:v>
                </c:pt>
                <c:pt idx="93">
                  <c:v>0</c:v>
                </c:pt>
                <c:pt idx="94">
                  <c:v>51</c:v>
                </c:pt>
                <c:pt idx="95">
                  <c:v>37</c:v>
                </c:pt>
                <c:pt idx="96">
                  <c:v>41</c:v>
                </c:pt>
                <c:pt idx="97">
                  <c:v>88</c:v>
                </c:pt>
                <c:pt idx="98">
                  <c:v>54</c:v>
                </c:pt>
                <c:pt idx="99">
                  <c:v>0</c:v>
                </c:pt>
                <c:pt idx="100">
                  <c:v>0</c:v>
                </c:pt>
                <c:pt idx="101">
                  <c:v>114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>
                  <c:v>0</c:v>
                </c:pt>
                <c:pt idx="108">
                  <c:v>16</c:v>
                </c:pt>
                <c:pt idx="109">
                  <c:v>72</c:v>
                </c:pt>
                <c:pt idx="110">
                  <c:v>78</c:v>
                </c:pt>
                <c:pt idx="111">
                  <c:v>218</c:v>
                </c:pt>
                <c:pt idx="112">
                  <c:v>0</c:v>
                </c:pt>
                <c:pt idx="113">
                  <c:v>0</c:v>
                </c:pt>
                <c:pt idx="114">
                  <c:v>37</c:v>
                </c:pt>
                <c:pt idx="115">
                  <c:v>0</c:v>
                </c:pt>
                <c:pt idx="116">
                  <c:v>207</c:v>
                </c:pt>
                <c:pt idx="117">
                  <c:v>0</c:v>
                </c:pt>
                <c:pt idx="118">
                  <c:v>42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33</c:v>
                </c:pt>
                <c:pt idx="124">
                  <c:v>43</c:v>
                </c:pt>
                <c:pt idx="125">
                  <c:v>65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77</c:v>
                </c:pt>
                <c:pt idx="143">
                  <c:v>0</c:v>
                </c:pt>
                <c:pt idx="144">
                  <c:v>21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56</c:v>
                </c:pt>
                <c:pt idx="165">
                  <c:v>0</c:v>
                </c:pt>
                <c:pt idx="166">
                  <c:v>0</c:v>
                </c:pt>
                <c:pt idx="167">
                  <c:v>49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75</c:v>
                </c:pt>
                <c:pt idx="172">
                  <c:v>43</c:v>
                </c:pt>
                <c:pt idx="173">
                  <c:v>0</c:v>
                </c:pt>
                <c:pt idx="174">
                  <c:v>83</c:v>
                </c:pt>
                <c:pt idx="175">
                  <c:v>0</c:v>
                </c:pt>
                <c:pt idx="176">
                  <c:v>31</c:v>
                </c:pt>
                <c:pt idx="177">
                  <c:v>25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112</c:v>
                </c:pt>
                <c:pt idx="194">
                  <c:v>44</c:v>
                </c:pt>
                <c:pt idx="195">
                  <c:v>37</c:v>
                </c:pt>
                <c:pt idx="196">
                  <c:v>104</c:v>
                </c:pt>
                <c:pt idx="197">
                  <c:v>79</c:v>
                </c:pt>
                <c:pt idx="198">
                  <c:v>64</c:v>
                </c:pt>
                <c:pt idx="199">
                  <c:v>64</c:v>
                </c:pt>
                <c:pt idx="200">
                  <c:v>81</c:v>
                </c:pt>
                <c:pt idx="201">
                  <c:v>54</c:v>
                </c:pt>
                <c:pt idx="202">
                  <c:v>39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44</c:v>
                </c:pt>
                <c:pt idx="208">
                  <c:v>24</c:v>
                </c:pt>
                <c:pt idx="209">
                  <c:v>1</c:v>
                </c:pt>
                <c:pt idx="210">
                  <c:v>22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51</c:v>
                </c:pt>
                <c:pt idx="215">
                  <c:v>120</c:v>
                </c:pt>
                <c:pt idx="216">
                  <c:v>85</c:v>
                </c:pt>
                <c:pt idx="217">
                  <c:v>210</c:v>
                </c:pt>
                <c:pt idx="218">
                  <c:v>46</c:v>
                </c:pt>
                <c:pt idx="219">
                  <c:v>83</c:v>
                </c:pt>
                <c:pt idx="220">
                  <c:v>84</c:v>
                </c:pt>
                <c:pt idx="221">
                  <c:v>140</c:v>
                </c:pt>
                <c:pt idx="222">
                  <c:v>98</c:v>
                </c:pt>
                <c:pt idx="223">
                  <c:v>27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3</c:v>
                </c:pt>
                <c:pt idx="230">
                  <c:v>75</c:v>
                </c:pt>
                <c:pt idx="231">
                  <c:v>0</c:v>
                </c:pt>
                <c:pt idx="232">
                  <c:v>111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5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37</c:v>
                </c:pt>
                <c:pt idx="299">
                  <c:v>0</c:v>
                </c:pt>
                <c:pt idx="300">
                  <c:v>32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46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35</c:v>
                </c:pt>
                <c:pt idx="320">
                  <c:v>20</c:v>
                </c:pt>
                <c:pt idx="321">
                  <c:v>59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127</c:v>
                </c:pt>
                <c:pt idx="326">
                  <c:v>22</c:v>
                </c:pt>
                <c:pt idx="327">
                  <c:v>70</c:v>
                </c:pt>
                <c:pt idx="328">
                  <c:v>62</c:v>
                </c:pt>
                <c:pt idx="329">
                  <c:v>7</c:v>
                </c:pt>
                <c:pt idx="330">
                  <c:v>7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61</c:v>
                </c:pt>
                <c:pt idx="339">
                  <c:v>8</c:v>
                </c:pt>
                <c:pt idx="340">
                  <c:v>19</c:v>
                </c:pt>
                <c:pt idx="341">
                  <c:v>52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60</c:v>
                </c:pt>
                <c:pt idx="348">
                  <c:v>10</c:v>
                </c:pt>
                <c:pt idx="349">
                  <c:v>48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74</c:v>
                </c:pt>
                <c:pt idx="357">
                  <c:v>148</c:v>
                </c:pt>
                <c:pt idx="358">
                  <c:v>4</c:v>
                </c:pt>
                <c:pt idx="359">
                  <c:v>24</c:v>
                </c:pt>
                <c:pt idx="360">
                  <c:v>69</c:v>
                </c:pt>
                <c:pt idx="361">
                  <c:v>17</c:v>
                </c:pt>
                <c:pt idx="362">
                  <c:v>27</c:v>
                </c:pt>
                <c:pt idx="363">
                  <c:v>51</c:v>
                </c:pt>
                <c:pt idx="364">
                  <c:v>0</c:v>
                </c:pt>
                <c:pt idx="365">
                  <c:v>37</c:v>
                </c:pt>
                <c:pt idx="366">
                  <c:v>0</c:v>
                </c:pt>
                <c:pt idx="367">
                  <c:v>78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21</c:v>
                </c:pt>
                <c:pt idx="390">
                  <c:v>10</c:v>
                </c:pt>
                <c:pt idx="391">
                  <c:v>42</c:v>
                </c:pt>
                <c:pt idx="392">
                  <c:v>0</c:v>
                </c:pt>
                <c:pt idx="393">
                  <c:v>96</c:v>
                </c:pt>
                <c:pt idx="394">
                  <c:v>93</c:v>
                </c:pt>
                <c:pt idx="395">
                  <c:v>12</c:v>
                </c:pt>
                <c:pt idx="396">
                  <c:v>0</c:v>
                </c:pt>
                <c:pt idx="397">
                  <c:v>0</c:v>
                </c:pt>
                <c:pt idx="398">
                  <c:v>7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23</c:v>
                </c:pt>
                <c:pt idx="458">
                  <c:v>32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22</c:v>
                </c:pt>
                <c:pt idx="470">
                  <c:v>15</c:v>
                </c:pt>
                <c:pt idx="471">
                  <c:v>0</c:v>
                </c:pt>
                <c:pt idx="472">
                  <c:v>34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33</c:v>
                </c:pt>
                <c:pt idx="485">
                  <c:v>88</c:v>
                </c:pt>
                <c:pt idx="486">
                  <c:v>0</c:v>
                </c:pt>
                <c:pt idx="487">
                  <c:v>38</c:v>
                </c:pt>
                <c:pt idx="488">
                  <c:v>0</c:v>
                </c:pt>
                <c:pt idx="489">
                  <c:v>34</c:v>
                </c:pt>
                <c:pt idx="490">
                  <c:v>0</c:v>
                </c:pt>
                <c:pt idx="491">
                  <c:v>0</c:v>
                </c:pt>
                <c:pt idx="492">
                  <c:v>129</c:v>
                </c:pt>
                <c:pt idx="493">
                  <c:v>0</c:v>
                </c:pt>
                <c:pt idx="494">
                  <c:v>0</c:v>
                </c:pt>
                <c:pt idx="495">
                  <c:v>19</c:v>
                </c:pt>
                <c:pt idx="496">
                  <c:v>25</c:v>
                </c:pt>
                <c:pt idx="497">
                  <c:v>23</c:v>
                </c:pt>
                <c:pt idx="498">
                  <c:v>0</c:v>
                </c:pt>
                <c:pt idx="499">
                  <c:v>72</c:v>
                </c:pt>
                <c:pt idx="500">
                  <c:v>46</c:v>
                </c:pt>
                <c:pt idx="501">
                  <c:v>12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45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37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43</c:v>
                </c:pt>
                <c:pt idx="680">
                  <c:v>0</c:v>
                </c:pt>
                <c:pt idx="681">
                  <c:v>25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43</c:v>
                </c:pt>
                <c:pt idx="687">
                  <c:v>0</c:v>
                </c:pt>
                <c:pt idx="688">
                  <c:v>30</c:v>
                </c:pt>
                <c:pt idx="689">
                  <c:v>125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65</c:v>
                </c:pt>
                <c:pt idx="713">
                  <c:v>86</c:v>
                </c:pt>
                <c:pt idx="714">
                  <c:v>37</c:v>
                </c:pt>
                <c:pt idx="715">
                  <c:v>21</c:v>
                </c:pt>
                <c:pt idx="716">
                  <c:v>0</c:v>
                </c:pt>
                <c:pt idx="717">
                  <c:v>0</c:v>
                </c:pt>
                <c:pt idx="718">
                  <c:v>34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94</c:v>
                </c:pt>
                <c:pt idx="818">
                  <c:v>15</c:v>
                </c:pt>
                <c:pt idx="819">
                  <c:v>14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4</c:v>
                </c:pt>
                <c:pt idx="824">
                  <c:v>12</c:v>
                </c:pt>
                <c:pt idx="825">
                  <c:v>155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154.5</c:v>
                </c:pt>
                <c:pt idx="893">
                  <c:v>104.5</c:v>
                </c:pt>
                <c:pt idx="894">
                  <c:v>120</c:v>
                </c:pt>
                <c:pt idx="895">
                  <c:v>95</c:v>
                </c:pt>
                <c:pt idx="896">
                  <c:v>9</c:v>
                </c:pt>
                <c:pt idx="897">
                  <c:v>0</c:v>
                </c:pt>
                <c:pt idx="898">
                  <c:v>25</c:v>
                </c:pt>
                <c:pt idx="899">
                  <c:v>89</c:v>
                </c:pt>
                <c:pt idx="900">
                  <c:v>39</c:v>
                </c:pt>
                <c:pt idx="901">
                  <c:v>27</c:v>
                </c:pt>
                <c:pt idx="902">
                  <c:v>92</c:v>
                </c:pt>
                <c:pt idx="903">
                  <c:v>48</c:v>
                </c:pt>
                <c:pt idx="904">
                  <c:v>111</c:v>
                </c:pt>
                <c:pt idx="905">
                  <c:v>10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76</c:v>
                </c:pt>
                <c:pt idx="916">
                  <c:v>47</c:v>
                </c:pt>
                <c:pt idx="917">
                  <c:v>23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113</c:v>
                </c:pt>
                <c:pt idx="922">
                  <c:v>55</c:v>
                </c:pt>
                <c:pt idx="923">
                  <c:v>0</c:v>
                </c:pt>
                <c:pt idx="924">
                  <c:v>10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32</c:v>
                </c:pt>
                <c:pt idx="1053">
                  <c:v>0</c:v>
                </c:pt>
                <c:pt idx="1054">
                  <c:v>12.5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49.5</c:v>
                </c:pt>
                <c:pt idx="1063">
                  <c:v>53</c:v>
                </c:pt>
                <c:pt idx="1064">
                  <c:v>48</c:v>
                </c:pt>
                <c:pt idx="1065">
                  <c:v>43</c:v>
                </c:pt>
                <c:pt idx="1066">
                  <c:v>0</c:v>
                </c:pt>
                <c:pt idx="1067">
                  <c:v>86</c:v>
                </c:pt>
                <c:pt idx="1068">
                  <c:v>129</c:v>
                </c:pt>
                <c:pt idx="1069">
                  <c:v>124</c:v>
                </c:pt>
                <c:pt idx="1070">
                  <c:v>174</c:v>
                </c:pt>
                <c:pt idx="1071">
                  <c:v>23</c:v>
                </c:pt>
                <c:pt idx="1072">
                  <c:v>0</c:v>
                </c:pt>
                <c:pt idx="1073">
                  <c:v>0</c:v>
                </c:pt>
                <c:pt idx="1074">
                  <c:v>31</c:v>
                </c:pt>
                <c:pt idx="1075">
                  <c:v>0</c:v>
                </c:pt>
                <c:pt idx="1076">
                  <c:v>103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66</c:v>
                </c:pt>
                <c:pt idx="1084">
                  <c:v>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107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185</c:v>
                </c:pt>
                <c:pt idx="1112">
                  <c:v>103</c:v>
                </c:pt>
                <c:pt idx="111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6-4C65-A131-DA07D474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6719"/>
        <c:axId val="1567917679"/>
      </c:barChart>
      <c:lineChart>
        <c:grouping val="stacked"/>
        <c:varyColors val="0"/>
        <c:ser>
          <c:idx val="0"/>
          <c:order val="1"/>
          <c:tx>
            <c:strRef>
              <c:f>Pages!$D$1</c:f>
              <c:strCache>
                <c:ptCount val="1"/>
                <c:pt idx="0">
                  <c:v>Cumulative 2023 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Pages!$D$2:$D$1178</c:f>
              <c:numCache>
                <c:formatCode>General</c:formatCode>
                <c:ptCount val="1177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163</c:v>
                </c:pt>
                <c:pt idx="6">
                  <c:v>204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204</c:v>
                </c:pt>
                <c:pt idx="11">
                  <c:v>436</c:v>
                </c:pt>
                <c:pt idx="12">
                  <c:v>538</c:v>
                </c:pt>
                <c:pt idx="13">
                  <c:v>633</c:v>
                </c:pt>
                <c:pt idx="14">
                  <c:v>761</c:v>
                </c:pt>
                <c:pt idx="15">
                  <c:v>843</c:v>
                </c:pt>
                <c:pt idx="16">
                  <c:v>843</c:v>
                </c:pt>
                <c:pt idx="17">
                  <c:v>843</c:v>
                </c:pt>
                <c:pt idx="18">
                  <c:v>843</c:v>
                </c:pt>
                <c:pt idx="19">
                  <c:v>919</c:v>
                </c:pt>
                <c:pt idx="20">
                  <c:v>1085</c:v>
                </c:pt>
                <c:pt idx="21">
                  <c:v>1224</c:v>
                </c:pt>
                <c:pt idx="22">
                  <c:v>1224</c:v>
                </c:pt>
                <c:pt idx="23">
                  <c:v>1224</c:v>
                </c:pt>
                <c:pt idx="24">
                  <c:v>1224</c:v>
                </c:pt>
                <c:pt idx="25">
                  <c:v>1301</c:v>
                </c:pt>
                <c:pt idx="26">
                  <c:v>1430</c:v>
                </c:pt>
                <c:pt idx="27">
                  <c:v>1472</c:v>
                </c:pt>
                <c:pt idx="28">
                  <c:v>1560</c:v>
                </c:pt>
                <c:pt idx="29">
                  <c:v>1623</c:v>
                </c:pt>
                <c:pt idx="30">
                  <c:v>1623</c:v>
                </c:pt>
                <c:pt idx="31">
                  <c:v>1677</c:v>
                </c:pt>
                <c:pt idx="32">
                  <c:v>1798</c:v>
                </c:pt>
                <c:pt idx="33">
                  <c:v>1860</c:v>
                </c:pt>
                <c:pt idx="34">
                  <c:v>1907</c:v>
                </c:pt>
                <c:pt idx="35">
                  <c:v>2008</c:v>
                </c:pt>
                <c:pt idx="36">
                  <c:v>2208</c:v>
                </c:pt>
                <c:pt idx="37">
                  <c:v>2352</c:v>
                </c:pt>
                <c:pt idx="38">
                  <c:v>2423</c:v>
                </c:pt>
                <c:pt idx="39">
                  <c:v>2523</c:v>
                </c:pt>
                <c:pt idx="40">
                  <c:v>2538</c:v>
                </c:pt>
                <c:pt idx="41">
                  <c:v>2610</c:v>
                </c:pt>
                <c:pt idx="42">
                  <c:v>2610</c:v>
                </c:pt>
                <c:pt idx="43">
                  <c:v>2654</c:v>
                </c:pt>
                <c:pt idx="44">
                  <c:v>2676</c:v>
                </c:pt>
                <c:pt idx="45">
                  <c:v>2752</c:v>
                </c:pt>
                <c:pt idx="46">
                  <c:v>2841</c:v>
                </c:pt>
                <c:pt idx="47">
                  <c:v>2841</c:v>
                </c:pt>
                <c:pt idx="48">
                  <c:v>2904</c:v>
                </c:pt>
                <c:pt idx="49">
                  <c:v>3083</c:v>
                </c:pt>
                <c:pt idx="50">
                  <c:v>3127</c:v>
                </c:pt>
                <c:pt idx="51">
                  <c:v>3127</c:v>
                </c:pt>
                <c:pt idx="52">
                  <c:v>3241</c:v>
                </c:pt>
                <c:pt idx="53">
                  <c:v>3241</c:v>
                </c:pt>
                <c:pt idx="54">
                  <c:v>3504</c:v>
                </c:pt>
                <c:pt idx="55">
                  <c:v>3546</c:v>
                </c:pt>
                <c:pt idx="56">
                  <c:v>3649</c:v>
                </c:pt>
                <c:pt idx="57">
                  <c:v>3711</c:v>
                </c:pt>
                <c:pt idx="58">
                  <c:v>3711</c:v>
                </c:pt>
                <c:pt idx="59">
                  <c:v>3711</c:v>
                </c:pt>
                <c:pt idx="60">
                  <c:v>3838</c:v>
                </c:pt>
                <c:pt idx="61">
                  <c:v>3872</c:v>
                </c:pt>
                <c:pt idx="62">
                  <c:v>3872</c:v>
                </c:pt>
                <c:pt idx="63">
                  <c:v>3898</c:v>
                </c:pt>
                <c:pt idx="64">
                  <c:v>3946</c:v>
                </c:pt>
                <c:pt idx="65">
                  <c:v>3946</c:v>
                </c:pt>
                <c:pt idx="66">
                  <c:v>3946</c:v>
                </c:pt>
                <c:pt idx="67">
                  <c:v>3946</c:v>
                </c:pt>
                <c:pt idx="68">
                  <c:v>3946</c:v>
                </c:pt>
                <c:pt idx="69">
                  <c:v>3946</c:v>
                </c:pt>
                <c:pt idx="70">
                  <c:v>3946</c:v>
                </c:pt>
                <c:pt idx="71">
                  <c:v>3946</c:v>
                </c:pt>
                <c:pt idx="72">
                  <c:v>3967</c:v>
                </c:pt>
                <c:pt idx="73">
                  <c:v>4006</c:v>
                </c:pt>
                <c:pt idx="74">
                  <c:v>4095</c:v>
                </c:pt>
                <c:pt idx="75">
                  <c:v>4125</c:v>
                </c:pt>
                <c:pt idx="76">
                  <c:v>4145</c:v>
                </c:pt>
                <c:pt idx="77">
                  <c:v>4195</c:v>
                </c:pt>
                <c:pt idx="78">
                  <c:v>4195</c:v>
                </c:pt>
                <c:pt idx="79">
                  <c:v>4195</c:v>
                </c:pt>
                <c:pt idx="80">
                  <c:v>4195</c:v>
                </c:pt>
                <c:pt idx="81">
                  <c:v>4195</c:v>
                </c:pt>
                <c:pt idx="82">
                  <c:v>4195</c:v>
                </c:pt>
                <c:pt idx="83">
                  <c:v>4195</c:v>
                </c:pt>
                <c:pt idx="84">
                  <c:v>4195</c:v>
                </c:pt>
                <c:pt idx="85">
                  <c:v>4195</c:v>
                </c:pt>
                <c:pt idx="86">
                  <c:v>4195</c:v>
                </c:pt>
                <c:pt idx="87">
                  <c:v>4195</c:v>
                </c:pt>
                <c:pt idx="88">
                  <c:v>4195</c:v>
                </c:pt>
                <c:pt idx="89">
                  <c:v>4195</c:v>
                </c:pt>
                <c:pt idx="90">
                  <c:v>4195</c:v>
                </c:pt>
                <c:pt idx="91">
                  <c:v>4195</c:v>
                </c:pt>
                <c:pt idx="92">
                  <c:v>4195</c:v>
                </c:pt>
                <c:pt idx="93">
                  <c:v>4195</c:v>
                </c:pt>
                <c:pt idx="94">
                  <c:v>4195</c:v>
                </c:pt>
                <c:pt idx="95">
                  <c:v>4195</c:v>
                </c:pt>
                <c:pt idx="96">
                  <c:v>4195</c:v>
                </c:pt>
                <c:pt idx="97">
                  <c:v>4195</c:v>
                </c:pt>
                <c:pt idx="98">
                  <c:v>4195</c:v>
                </c:pt>
                <c:pt idx="99">
                  <c:v>4195</c:v>
                </c:pt>
                <c:pt idx="100">
                  <c:v>4195</c:v>
                </c:pt>
                <c:pt idx="101">
                  <c:v>4195</c:v>
                </c:pt>
                <c:pt idx="102">
                  <c:v>4195</c:v>
                </c:pt>
                <c:pt idx="103">
                  <c:v>4195</c:v>
                </c:pt>
                <c:pt idx="104">
                  <c:v>4195</c:v>
                </c:pt>
                <c:pt idx="105">
                  <c:v>4195</c:v>
                </c:pt>
                <c:pt idx="106">
                  <c:v>4195</c:v>
                </c:pt>
                <c:pt idx="107">
                  <c:v>4195</c:v>
                </c:pt>
                <c:pt idx="108">
                  <c:v>4195</c:v>
                </c:pt>
                <c:pt idx="109">
                  <c:v>4195</c:v>
                </c:pt>
                <c:pt idx="110">
                  <c:v>4195</c:v>
                </c:pt>
                <c:pt idx="111">
                  <c:v>4195</c:v>
                </c:pt>
                <c:pt idx="112">
                  <c:v>4195</c:v>
                </c:pt>
                <c:pt idx="113">
                  <c:v>4195</c:v>
                </c:pt>
                <c:pt idx="114">
                  <c:v>4195</c:v>
                </c:pt>
                <c:pt idx="115">
                  <c:v>4195</c:v>
                </c:pt>
                <c:pt idx="116">
                  <c:v>4195</c:v>
                </c:pt>
                <c:pt idx="117">
                  <c:v>4195</c:v>
                </c:pt>
                <c:pt idx="118">
                  <c:v>4195</c:v>
                </c:pt>
                <c:pt idx="119">
                  <c:v>4195</c:v>
                </c:pt>
                <c:pt idx="120">
                  <c:v>4195</c:v>
                </c:pt>
                <c:pt idx="121">
                  <c:v>4195</c:v>
                </c:pt>
                <c:pt idx="122">
                  <c:v>4195</c:v>
                </c:pt>
                <c:pt idx="123">
                  <c:v>4195</c:v>
                </c:pt>
                <c:pt idx="124">
                  <c:v>4195</c:v>
                </c:pt>
                <c:pt idx="125">
                  <c:v>4195</c:v>
                </c:pt>
                <c:pt idx="126">
                  <c:v>4195</c:v>
                </c:pt>
                <c:pt idx="127">
                  <c:v>4195</c:v>
                </c:pt>
                <c:pt idx="128">
                  <c:v>4195</c:v>
                </c:pt>
                <c:pt idx="129">
                  <c:v>4195</c:v>
                </c:pt>
                <c:pt idx="130">
                  <c:v>4195</c:v>
                </c:pt>
                <c:pt idx="131">
                  <c:v>4195</c:v>
                </c:pt>
                <c:pt idx="132">
                  <c:v>4195</c:v>
                </c:pt>
                <c:pt idx="133">
                  <c:v>4195</c:v>
                </c:pt>
                <c:pt idx="134">
                  <c:v>4195</c:v>
                </c:pt>
                <c:pt idx="135">
                  <c:v>4195</c:v>
                </c:pt>
                <c:pt idx="136">
                  <c:v>4195</c:v>
                </c:pt>
                <c:pt idx="137">
                  <c:v>4195</c:v>
                </c:pt>
                <c:pt idx="138">
                  <c:v>4195</c:v>
                </c:pt>
                <c:pt idx="139">
                  <c:v>4195</c:v>
                </c:pt>
                <c:pt idx="140">
                  <c:v>4195</c:v>
                </c:pt>
                <c:pt idx="141">
                  <c:v>4195</c:v>
                </c:pt>
                <c:pt idx="142">
                  <c:v>4195</c:v>
                </c:pt>
                <c:pt idx="143">
                  <c:v>4195</c:v>
                </c:pt>
                <c:pt idx="144">
                  <c:v>4195</c:v>
                </c:pt>
                <c:pt idx="145">
                  <c:v>4195</c:v>
                </c:pt>
                <c:pt idx="146">
                  <c:v>4195</c:v>
                </c:pt>
                <c:pt idx="147">
                  <c:v>4195</c:v>
                </c:pt>
                <c:pt idx="148">
                  <c:v>4195</c:v>
                </c:pt>
                <c:pt idx="149">
                  <c:v>4195</c:v>
                </c:pt>
                <c:pt idx="150">
                  <c:v>4195</c:v>
                </c:pt>
                <c:pt idx="151">
                  <c:v>4195</c:v>
                </c:pt>
                <c:pt idx="152">
                  <c:v>4195</c:v>
                </c:pt>
                <c:pt idx="153">
                  <c:v>4195</c:v>
                </c:pt>
                <c:pt idx="154">
                  <c:v>4195</c:v>
                </c:pt>
                <c:pt idx="155">
                  <c:v>4195</c:v>
                </c:pt>
                <c:pt idx="156">
                  <c:v>4195</c:v>
                </c:pt>
                <c:pt idx="157">
                  <c:v>4195</c:v>
                </c:pt>
                <c:pt idx="158">
                  <c:v>4195</c:v>
                </c:pt>
                <c:pt idx="159">
                  <c:v>4195</c:v>
                </c:pt>
                <c:pt idx="160">
                  <c:v>4195</c:v>
                </c:pt>
                <c:pt idx="161">
                  <c:v>4195</c:v>
                </c:pt>
                <c:pt idx="162">
                  <c:v>4195</c:v>
                </c:pt>
                <c:pt idx="163">
                  <c:v>4195</c:v>
                </c:pt>
                <c:pt idx="164">
                  <c:v>4195</c:v>
                </c:pt>
                <c:pt idx="165">
                  <c:v>4195</c:v>
                </c:pt>
                <c:pt idx="166">
                  <c:v>4195</c:v>
                </c:pt>
                <c:pt idx="167">
                  <c:v>4195</c:v>
                </c:pt>
                <c:pt idx="168">
                  <c:v>4195</c:v>
                </c:pt>
                <c:pt idx="169">
                  <c:v>4195</c:v>
                </c:pt>
                <c:pt idx="170">
                  <c:v>4195</c:v>
                </c:pt>
                <c:pt idx="171">
                  <c:v>4195</c:v>
                </c:pt>
                <c:pt idx="172">
                  <c:v>4195</c:v>
                </c:pt>
                <c:pt idx="173">
                  <c:v>4195</c:v>
                </c:pt>
                <c:pt idx="174">
                  <c:v>4195</c:v>
                </c:pt>
                <c:pt idx="175">
                  <c:v>4195</c:v>
                </c:pt>
                <c:pt idx="176">
                  <c:v>4195</c:v>
                </c:pt>
                <c:pt idx="177">
                  <c:v>4195</c:v>
                </c:pt>
                <c:pt idx="178">
                  <c:v>4195</c:v>
                </c:pt>
                <c:pt idx="179">
                  <c:v>4195</c:v>
                </c:pt>
                <c:pt idx="180">
                  <c:v>4195</c:v>
                </c:pt>
                <c:pt idx="181">
                  <c:v>4195</c:v>
                </c:pt>
                <c:pt idx="182">
                  <c:v>4195</c:v>
                </c:pt>
                <c:pt idx="183">
                  <c:v>4195</c:v>
                </c:pt>
                <c:pt idx="184">
                  <c:v>4195</c:v>
                </c:pt>
                <c:pt idx="185">
                  <c:v>4195</c:v>
                </c:pt>
                <c:pt idx="186">
                  <c:v>4195</c:v>
                </c:pt>
                <c:pt idx="187">
                  <c:v>4195</c:v>
                </c:pt>
                <c:pt idx="188">
                  <c:v>4195</c:v>
                </c:pt>
                <c:pt idx="189">
                  <c:v>4195</c:v>
                </c:pt>
                <c:pt idx="190">
                  <c:v>4195</c:v>
                </c:pt>
                <c:pt idx="191">
                  <c:v>4195</c:v>
                </c:pt>
                <c:pt idx="192">
                  <c:v>4195</c:v>
                </c:pt>
                <c:pt idx="193">
                  <c:v>4195</c:v>
                </c:pt>
                <c:pt idx="194">
                  <c:v>4195</c:v>
                </c:pt>
                <c:pt idx="195">
                  <c:v>4195</c:v>
                </c:pt>
                <c:pt idx="196">
                  <c:v>4195</c:v>
                </c:pt>
                <c:pt idx="197">
                  <c:v>4195</c:v>
                </c:pt>
                <c:pt idx="198">
                  <c:v>4195</c:v>
                </c:pt>
                <c:pt idx="199">
                  <c:v>4195</c:v>
                </c:pt>
                <c:pt idx="200">
                  <c:v>4195</c:v>
                </c:pt>
                <c:pt idx="201">
                  <c:v>4195</c:v>
                </c:pt>
                <c:pt idx="202">
                  <c:v>4195</c:v>
                </c:pt>
                <c:pt idx="203">
                  <c:v>4195</c:v>
                </c:pt>
                <c:pt idx="204">
                  <c:v>4195</c:v>
                </c:pt>
                <c:pt idx="205">
                  <c:v>4195</c:v>
                </c:pt>
                <c:pt idx="206">
                  <c:v>4195</c:v>
                </c:pt>
                <c:pt idx="207">
                  <c:v>4195</c:v>
                </c:pt>
                <c:pt idx="208">
                  <c:v>4195</c:v>
                </c:pt>
                <c:pt idx="209">
                  <c:v>4195</c:v>
                </c:pt>
                <c:pt idx="210">
                  <c:v>4195</c:v>
                </c:pt>
                <c:pt idx="211">
                  <c:v>4195</c:v>
                </c:pt>
                <c:pt idx="212">
                  <c:v>4195</c:v>
                </c:pt>
                <c:pt idx="213">
                  <c:v>4195</c:v>
                </c:pt>
                <c:pt idx="214">
                  <c:v>4195</c:v>
                </c:pt>
                <c:pt idx="215">
                  <c:v>4195</c:v>
                </c:pt>
                <c:pt idx="216">
                  <c:v>4195</c:v>
                </c:pt>
                <c:pt idx="217">
                  <c:v>4195</c:v>
                </c:pt>
                <c:pt idx="218">
                  <c:v>4195</c:v>
                </c:pt>
                <c:pt idx="219">
                  <c:v>4195</c:v>
                </c:pt>
                <c:pt idx="220">
                  <c:v>4195</c:v>
                </c:pt>
                <c:pt idx="221">
                  <c:v>4195</c:v>
                </c:pt>
                <c:pt idx="222">
                  <c:v>4195</c:v>
                </c:pt>
                <c:pt idx="223">
                  <c:v>4195</c:v>
                </c:pt>
                <c:pt idx="224">
                  <c:v>4195</c:v>
                </c:pt>
                <c:pt idx="225">
                  <c:v>4195</c:v>
                </c:pt>
                <c:pt idx="226">
                  <c:v>4195</c:v>
                </c:pt>
                <c:pt idx="227">
                  <c:v>4195</c:v>
                </c:pt>
                <c:pt idx="228">
                  <c:v>4195</c:v>
                </c:pt>
                <c:pt idx="229">
                  <c:v>4195</c:v>
                </c:pt>
                <c:pt idx="230">
                  <c:v>4195</c:v>
                </c:pt>
                <c:pt idx="231">
                  <c:v>4195</c:v>
                </c:pt>
                <c:pt idx="232">
                  <c:v>4195</c:v>
                </c:pt>
                <c:pt idx="233">
                  <c:v>4195</c:v>
                </c:pt>
                <c:pt idx="234">
                  <c:v>4195</c:v>
                </c:pt>
                <c:pt idx="235">
                  <c:v>4195</c:v>
                </c:pt>
                <c:pt idx="236">
                  <c:v>4195</c:v>
                </c:pt>
                <c:pt idx="237">
                  <c:v>4195</c:v>
                </c:pt>
                <c:pt idx="238">
                  <c:v>4195</c:v>
                </c:pt>
                <c:pt idx="239">
                  <c:v>4195</c:v>
                </c:pt>
                <c:pt idx="240">
                  <c:v>4195</c:v>
                </c:pt>
                <c:pt idx="241">
                  <c:v>4195</c:v>
                </c:pt>
                <c:pt idx="242">
                  <c:v>4195</c:v>
                </c:pt>
                <c:pt idx="243">
                  <c:v>4195</c:v>
                </c:pt>
                <c:pt idx="244">
                  <c:v>4195</c:v>
                </c:pt>
                <c:pt idx="245">
                  <c:v>4195</c:v>
                </c:pt>
                <c:pt idx="246">
                  <c:v>4195</c:v>
                </c:pt>
                <c:pt idx="247">
                  <c:v>4195</c:v>
                </c:pt>
                <c:pt idx="248">
                  <c:v>4195</c:v>
                </c:pt>
                <c:pt idx="249">
                  <c:v>4195</c:v>
                </c:pt>
                <c:pt idx="250">
                  <c:v>4195</c:v>
                </c:pt>
                <c:pt idx="251">
                  <c:v>4195</c:v>
                </c:pt>
                <c:pt idx="252">
                  <c:v>4195</c:v>
                </c:pt>
                <c:pt idx="253">
                  <c:v>4195</c:v>
                </c:pt>
                <c:pt idx="254">
                  <c:v>4195</c:v>
                </c:pt>
                <c:pt idx="255">
                  <c:v>4195</c:v>
                </c:pt>
                <c:pt idx="256">
                  <c:v>4195</c:v>
                </c:pt>
                <c:pt idx="257">
                  <c:v>4195</c:v>
                </c:pt>
                <c:pt idx="258">
                  <c:v>4195</c:v>
                </c:pt>
                <c:pt idx="259">
                  <c:v>4195</c:v>
                </c:pt>
                <c:pt idx="260">
                  <c:v>4195</c:v>
                </c:pt>
                <c:pt idx="261">
                  <c:v>4195</c:v>
                </c:pt>
                <c:pt idx="262">
                  <c:v>4195</c:v>
                </c:pt>
                <c:pt idx="263">
                  <c:v>4195</c:v>
                </c:pt>
                <c:pt idx="264">
                  <c:v>4195</c:v>
                </c:pt>
                <c:pt idx="265">
                  <c:v>4195</c:v>
                </c:pt>
                <c:pt idx="266">
                  <c:v>4195</c:v>
                </c:pt>
                <c:pt idx="267">
                  <c:v>4195</c:v>
                </c:pt>
                <c:pt idx="268">
                  <c:v>4195</c:v>
                </c:pt>
                <c:pt idx="269">
                  <c:v>4195</c:v>
                </c:pt>
                <c:pt idx="270">
                  <c:v>4195</c:v>
                </c:pt>
                <c:pt idx="271">
                  <c:v>4195</c:v>
                </c:pt>
                <c:pt idx="272">
                  <c:v>4195</c:v>
                </c:pt>
                <c:pt idx="273">
                  <c:v>4195</c:v>
                </c:pt>
                <c:pt idx="274">
                  <c:v>4195</c:v>
                </c:pt>
                <c:pt idx="275">
                  <c:v>4195</c:v>
                </c:pt>
                <c:pt idx="276">
                  <c:v>4195</c:v>
                </c:pt>
                <c:pt idx="277">
                  <c:v>4195</c:v>
                </c:pt>
                <c:pt idx="278">
                  <c:v>4195</c:v>
                </c:pt>
                <c:pt idx="279">
                  <c:v>4195</c:v>
                </c:pt>
                <c:pt idx="280">
                  <c:v>4195</c:v>
                </c:pt>
                <c:pt idx="281">
                  <c:v>4195</c:v>
                </c:pt>
                <c:pt idx="282">
                  <c:v>4195</c:v>
                </c:pt>
                <c:pt idx="283">
                  <c:v>4195</c:v>
                </c:pt>
                <c:pt idx="284">
                  <c:v>4195</c:v>
                </c:pt>
                <c:pt idx="285">
                  <c:v>4195</c:v>
                </c:pt>
                <c:pt idx="286">
                  <c:v>4195</c:v>
                </c:pt>
                <c:pt idx="287">
                  <c:v>4195</c:v>
                </c:pt>
                <c:pt idx="288">
                  <c:v>4195</c:v>
                </c:pt>
                <c:pt idx="289">
                  <c:v>4195</c:v>
                </c:pt>
                <c:pt idx="290">
                  <c:v>4195</c:v>
                </c:pt>
                <c:pt idx="291">
                  <c:v>4195</c:v>
                </c:pt>
                <c:pt idx="292">
                  <c:v>4195</c:v>
                </c:pt>
                <c:pt idx="293">
                  <c:v>4195</c:v>
                </c:pt>
                <c:pt idx="294">
                  <c:v>4195</c:v>
                </c:pt>
                <c:pt idx="295">
                  <c:v>4195</c:v>
                </c:pt>
                <c:pt idx="296">
                  <c:v>4195</c:v>
                </c:pt>
                <c:pt idx="297">
                  <c:v>4195</c:v>
                </c:pt>
                <c:pt idx="298">
                  <c:v>4195</c:v>
                </c:pt>
                <c:pt idx="299">
                  <c:v>4195</c:v>
                </c:pt>
                <c:pt idx="300">
                  <c:v>4195</c:v>
                </c:pt>
                <c:pt idx="301">
                  <c:v>4195</c:v>
                </c:pt>
                <c:pt idx="302">
                  <c:v>4195</c:v>
                </c:pt>
                <c:pt idx="303">
                  <c:v>4195</c:v>
                </c:pt>
                <c:pt idx="304">
                  <c:v>4195</c:v>
                </c:pt>
                <c:pt idx="305">
                  <c:v>4195</c:v>
                </c:pt>
                <c:pt idx="306">
                  <c:v>4195</c:v>
                </c:pt>
                <c:pt idx="307">
                  <c:v>4195</c:v>
                </c:pt>
                <c:pt idx="308">
                  <c:v>4195</c:v>
                </c:pt>
                <c:pt idx="309">
                  <c:v>4195</c:v>
                </c:pt>
                <c:pt idx="310">
                  <c:v>4195</c:v>
                </c:pt>
                <c:pt idx="311">
                  <c:v>4195</c:v>
                </c:pt>
                <c:pt idx="312">
                  <c:v>4195</c:v>
                </c:pt>
                <c:pt idx="313">
                  <c:v>4195</c:v>
                </c:pt>
                <c:pt idx="314">
                  <c:v>4195</c:v>
                </c:pt>
                <c:pt idx="315">
                  <c:v>4195</c:v>
                </c:pt>
                <c:pt idx="316">
                  <c:v>4195</c:v>
                </c:pt>
                <c:pt idx="317">
                  <c:v>4195</c:v>
                </c:pt>
                <c:pt idx="318">
                  <c:v>4195</c:v>
                </c:pt>
                <c:pt idx="319">
                  <c:v>4195</c:v>
                </c:pt>
                <c:pt idx="320">
                  <c:v>4195</c:v>
                </c:pt>
                <c:pt idx="321">
                  <c:v>4195</c:v>
                </c:pt>
                <c:pt idx="322">
                  <c:v>4195</c:v>
                </c:pt>
                <c:pt idx="323">
                  <c:v>4195</c:v>
                </c:pt>
                <c:pt idx="324">
                  <c:v>4195</c:v>
                </c:pt>
                <c:pt idx="325">
                  <c:v>4195</c:v>
                </c:pt>
                <c:pt idx="326">
                  <c:v>4195</c:v>
                </c:pt>
                <c:pt idx="327">
                  <c:v>4195</c:v>
                </c:pt>
                <c:pt idx="328">
                  <c:v>4195</c:v>
                </c:pt>
                <c:pt idx="329">
                  <c:v>4195</c:v>
                </c:pt>
                <c:pt idx="330">
                  <c:v>4195</c:v>
                </c:pt>
                <c:pt idx="331">
                  <c:v>4195</c:v>
                </c:pt>
                <c:pt idx="332">
                  <c:v>4195</c:v>
                </c:pt>
                <c:pt idx="333">
                  <c:v>4195</c:v>
                </c:pt>
                <c:pt idx="334">
                  <c:v>4195</c:v>
                </c:pt>
                <c:pt idx="335">
                  <c:v>4195</c:v>
                </c:pt>
                <c:pt idx="336">
                  <c:v>4195</c:v>
                </c:pt>
                <c:pt idx="337">
                  <c:v>4195</c:v>
                </c:pt>
                <c:pt idx="338">
                  <c:v>4195</c:v>
                </c:pt>
                <c:pt idx="339">
                  <c:v>4195</c:v>
                </c:pt>
                <c:pt idx="340">
                  <c:v>4195</c:v>
                </c:pt>
                <c:pt idx="341">
                  <c:v>4195</c:v>
                </c:pt>
                <c:pt idx="342">
                  <c:v>4195</c:v>
                </c:pt>
                <c:pt idx="343">
                  <c:v>4195</c:v>
                </c:pt>
                <c:pt idx="344">
                  <c:v>4195</c:v>
                </c:pt>
                <c:pt idx="345">
                  <c:v>4195</c:v>
                </c:pt>
                <c:pt idx="346">
                  <c:v>4195</c:v>
                </c:pt>
                <c:pt idx="347">
                  <c:v>4195</c:v>
                </c:pt>
                <c:pt idx="348">
                  <c:v>4195</c:v>
                </c:pt>
                <c:pt idx="349">
                  <c:v>4195</c:v>
                </c:pt>
                <c:pt idx="350">
                  <c:v>4195</c:v>
                </c:pt>
                <c:pt idx="351">
                  <c:v>4195</c:v>
                </c:pt>
                <c:pt idx="352">
                  <c:v>4195</c:v>
                </c:pt>
                <c:pt idx="353">
                  <c:v>4195</c:v>
                </c:pt>
                <c:pt idx="354">
                  <c:v>4195</c:v>
                </c:pt>
                <c:pt idx="355">
                  <c:v>4195</c:v>
                </c:pt>
                <c:pt idx="356">
                  <c:v>4195</c:v>
                </c:pt>
                <c:pt idx="357">
                  <c:v>4195</c:v>
                </c:pt>
                <c:pt idx="358">
                  <c:v>4195</c:v>
                </c:pt>
                <c:pt idx="359">
                  <c:v>4195</c:v>
                </c:pt>
                <c:pt idx="360">
                  <c:v>4195</c:v>
                </c:pt>
                <c:pt idx="361">
                  <c:v>4195</c:v>
                </c:pt>
                <c:pt idx="362">
                  <c:v>4195</c:v>
                </c:pt>
                <c:pt idx="363">
                  <c:v>4195</c:v>
                </c:pt>
                <c:pt idx="364">
                  <c:v>4195</c:v>
                </c:pt>
                <c:pt idx="365">
                  <c:v>4195</c:v>
                </c:pt>
                <c:pt idx="366">
                  <c:v>4195</c:v>
                </c:pt>
                <c:pt idx="367">
                  <c:v>4195</c:v>
                </c:pt>
                <c:pt idx="368">
                  <c:v>4195</c:v>
                </c:pt>
                <c:pt idx="369">
                  <c:v>4195</c:v>
                </c:pt>
                <c:pt idx="370">
                  <c:v>4195</c:v>
                </c:pt>
                <c:pt idx="371">
                  <c:v>4195</c:v>
                </c:pt>
                <c:pt idx="372">
                  <c:v>4195</c:v>
                </c:pt>
                <c:pt idx="373">
                  <c:v>4195</c:v>
                </c:pt>
                <c:pt idx="374">
                  <c:v>4195</c:v>
                </c:pt>
                <c:pt idx="375">
                  <c:v>4195</c:v>
                </c:pt>
                <c:pt idx="376">
                  <c:v>4195</c:v>
                </c:pt>
                <c:pt idx="377">
                  <c:v>4195</c:v>
                </c:pt>
                <c:pt idx="378">
                  <c:v>4195</c:v>
                </c:pt>
                <c:pt idx="379">
                  <c:v>4195</c:v>
                </c:pt>
                <c:pt idx="380">
                  <c:v>4195</c:v>
                </c:pt>
                <c:pt idx="381">
                  <c:v>4195</c:v>
                </c:pt>
                <c:pt idx="382">
                  <c:v>4195</c:v>
                </c:pt>
                <c:pt idx="383">
                  <c:v>4195</c:v>
                </c:pt>
                <c:pt idx="384">
                  <c:v>4195</c:v>
                </c:pt>
                <c:pt idx="385">
                  <c:v>4195</c:v>
                </c:pt>
                <c:pt idx="386">
                  <c:v>4195</c:v>
                </c:pt>
                <c:pt idx="387">
                  <c:v>4195</c:v>
                </c:pt>
                <c:pt idx="388">
                  <c:v>4195</c:v>
                </c:pt>
                <c:pt idx="389">
                  <c:v>4195</c:v>
                </c:pt>
                <c:pt idx="390">
                  <c:v>4195</c:v>
                </c:pt>
                <c:pt idx="391">
                  <c:v>4195</c:v>
                </c:pt>
                <c:pt idx="392">
                  <c:v>4195</c:v>
                </c:pt>
                <c:pt idx="393">
                  <c:v>4195</c:v>
                </c:pt>
                <c:pt idx="394">
                  <c:v>4195</c:v>
                </c:pt>
                <c:pt idx="395">
                  <c:v>4195</c:v>
                </c:pt>
                <c:pt idx="396">
                  <c:v>4195</c:v>
                </c:pt>
                <c:pt idx="397">
                  <c:v>4195</c:v>
                </c:pt>
                <c:pt idx="398">
                  <c:v>4195</c:v>
                </c:pt>
                <c:pt idx="399">
                  <c:v>4195</c:v>
                </c:pt>
                <c:pt idx="400">
                  <c:v>4195</c:v>
                </c:pt>
                <c:pt idx="401">
                  <c:v>4195</c:v>
                </c:pt>
                <c:pt idx="402">
                  <c:v>4195</c:v>
                </c:pt>
                <c:pt idx="403">
                  <c:v>4195</c:v>
                </c:pt>
                <c:pt idx="404">
                  <c:v>4195</c:v>
                </c:pt>
                <c:pt idx="405">
                  <c:v>4195</c:v>
                </c:pt>
                <c:pt idx="406">
                  <c:v>4195</c:v>
                </c:pt>
                <c:pt idx="407">
                  <c:v>4195</c:v>
                </c:pt>
                <c:pt idx="408">
                  <c:v>4195</c:v>
                </c:pt>
                <c:pt idx="409">
                  <c:v>4195</c:v>
                </c:pt>
                <c:pt idx="410">
                  <c:v>4195</c:v>
                </c:pt>
                <c:pt idx="411">
                  <c:v>4195</c:v>
                </c:pt>
                <c:pt idx="412">
                  <c:v>4195</c:v>
                </c:pt>
                <c:pt idx="413">
                  <c:v>4195</c:v>
                </c:pt>
                <c:pt idx="414">
                  <c:v>4195</c:v>
                </c:pt>
                <c:pt idx="415">
                  <c:v>4195</c:v>
                </c:pt>
                <c:pt idx="416">
                  <c:v>4195</c:v>
                </c:pt>
                <c:pt idx="417">
                  <c:v>4195</c:v>
                </c:pt>
                <c:pt idx="418">
                  <c:v>4195</c:v>
                </c:pt>
                <c:pt idx="419">
                  <c:v>4195</c:v>
                </c:pt>
                <c:pt idx="420">
                  <c:v>4195</c:v>
                </c:pt>
                <c:pt idx="421">
                  <c:v>4195</c:v>
                </c:pt>
                <c:pt idx="422">
                  <c:v>4195</c:v>
                </c:pt>
                <c:pt idx="423">
                  <c:v>4195</c:v>
                </c:pt>
                <c:pt idx="424">
                  <c:v>4195</c:v>
                </c:pt>
                <c:pt idx="425">
                  <c:v>4195</c:v>
                </c:pt>
                <c:pt idx="426">
                  <c:v>4195</c:v>
                </c:pt>
                <c:pt idx="427">
                  <c:v>4195</c:v>
                </c:pt>
                <c:pt idx="428">
                  <c:v>4195</c:v>
                </c:pt>
                <c:pt idx="429">
                  <c:v>4195</c:v>
                </c:pt>
                <c:pt idx="430">
                  <c:v>4195</c:v>
                </c:pt>
                <c:pt idx="431">
                  <c:v>4195</c:v>
                </c:pt>
                <c:pt idx="432">
                  <c:v>4195</c:v>
                </c:pt>
                <c:pt idx="433">
                  <c:v>4195</c:v>
                </c:pt>
                <c:pt idx="434">
                  <c:v>4195</c:v>
                </c:pt>
                <c:pt idx="435">
                  <c:v>4195</c:v>
                </c:pt>
                <c:pt idx="436">
                  <c:v>4195</c:v>
                </c:pt>
                <c:pt idx="437">
                  <c:v>4195</c:v>
                </c:pt>
                <c:pt idx="438">
                  <c:v>4195</c:v>
                </c:pt>
                <c:pt idx="439">
                  <c:v>4195</c:v>
                </c:pt>
                <c:pt idx="440">
                  <c:v>4195</c:v>
                </c:pt>
                <c:pt idx="441">
                  <c:v>4195</c:v>
                </c:pt>
                <c:pt idx="442">
                  <c:v>4195</c:v>
                </c:pt>
                <c:pt idx="443">
                  <c:v>4195</c:v>
                </c:pt>
                <c:pt idx="444">
                  <c:v>4195</c:v>
                </c:pt>
                <c:pt idx="445">
                  <c:v>4195</c:v>
                </c:pt>
                <c:pt idx="446">
                  <c:v>4195</c:v>
                </c:pt>
                <c:pt idx="447">
                  <c:v>4195</c:v>
                </c:pt>
                <c:pt idx="448">
                  <c:v>4195</c:v>
                </c:pt>
                <c:pt idx="449">
                  <c:v>4195</c:v>
                </c:pt>
                <c:pt idx="450">
                  <c:v>4195</c:v>
                </c:pt>
                <c:pt idx="451">
                  <c:v>4195</c:v>
                </c:pt>
                <c:pt idx="452">
                  <c:v>4195</c:v>
                </c:pt>
                <c:pt idx="453">
                  <c:v>4195</c:v>
                </c:pt>
                <c:pt idx="454">
                  <c:v>4195</c:v>
                </c:pt>
                <c:pt idx="455">
                  <c:v>4195</c:v>
                </c:pt>
                <c:pt idx="456">
                  <c:v>4195</c:v>
                </c:pt>
                <c:pt idx="457">
                  <c:v>4195</c:v>
                </c:pt>
                <c:pt idx="458">
                  <c:v>4195</c:v>
                </c:pt>
                <c:pt idx="459">
                  <c:v>4195</c:v>
                </c:pt>
                <c:pt idx="460">
                  <c:v>4195</c:v>
                </c:pt>
                <c:pt idx="461">
                  <c:v>4195</c:v>
                </c:pt>
                <c:pt idx="462">
                  <c:v>4195</c:v>
                </c:pt>
                <c:pt idx="463">
                  <c:v>4195</c:v>
                </c:pt>
                <c:pt idx="464">
                  <c:v>4195</c:v>
                </c:pt>
                <c:pt idx="465">
                  <c:v>4195</c:v>
                </c:pt>
                <c:pt idx="466">
                  <c:v>4195</c:v>
                </c:pt>
                <c:pt idx="467">
                  <c:v>4195</c:v>
                </c:pt>
                <c:pt idx="468">
                  <c:v>4195</c:v>
                </c:pt>
                <c:pt idx="469">
                  <c:v>4195</c:v>
                </c:pt>
                <c:pt idx="470">
                  <c:v>4195</c:v>
                </c:pt>
                <c:pt idx="471">
                  <c:v>4195</c:v>
                </c:pt>
                <c:pt idx="472">
                  <c:v>4195</c:v>
                </c:pt>
                <c:pt idx="473">
                  <c:v>4195</c:v>
                </c:pt>
                <c:pt idx="474">
                  <c:v>4195</c:v>
                </c:pt>
                <c:pt idx="475">
                  <c:v>4195</c:v>
                </c:pt>
                <c:pt idx="476">
                  <c:v>4195</c:v>
                </c:pt>
                <c:pt idx="477">
                  <c:v>4195</c:v>
                </c:pt>
                <c:pt idx="478">
                  <c:v>4195</c:v>
                </c:pt>
                <c:pt idx="479">
                  <c:v>4195</c:v>
                </c:pt>
                <c:pt idx="480">
                  <c:v>4195</c:v>
                </c:pt>
                <c:pt idx="481">
                  <c:v>4195</c:v>
                </c:pt>
                <c:pt idx="482">
                  <c:v>4195</c:v>
                </c:pt>
                <c:pt idx="483">
                  <c:v>4195</c:v>
                </c:pt>
                <c:pt idx="484">
                  <c:v>4195</c:v>
                </c:pt>
                <c:pt idx="485">
                  <c:v>4195</c:v>
                </c:pt>
                <c:pt idx="486">
                  <c:v>4195</c:v>
                </c:pt>
                <c:pt idx="487">
                  <c:v>4195</c:v>
                </c:pt>
                <c:pt idx="488">
                  <c:v>4195</c:v>
                </c:pt>
                <c:pt idx="489">
                  <c:v>4195</c:v>
                </c:pt>
                <c:pt idx="490">
                  <c:v>4195</c:v>
                </c:pt>
                <c:pt idx="491">
                  <c:v>4195</c:v>
                </c:pt>
                <c:pt idx="492">
                  <c:v>4195</c:v>
                </c:pt>
                <c:pt idx="493">
                  <c:v>4195</c:v>
                </c:pt>
                <c:pt idx="494">
                  <c:v>4195</c:v>
                </c:pt>
                <c:pt idx="495">
                  <c:v>4195</c:v>
                </c:pt>
                <c:pt idx="496">
                  <c:v>4195</c:v>
                </c:pt>
                <c:pt idx="497">
                  <c:v>4195</c:v>
                </c:pt>
                <c:pt idx="498">
                  <c:v>4195</c:v>
                </c:pt>
                <c:pt idx="499">
                  <c:v>4195</c:v>
                </c:pt>
                <c:pt idx="500">
                  <c:v>4195</c:v>
                </c:pt>
                <c:pt idx="501">
                  <c:v>4195</c:v>
                </c:pt>
                <c:pt idx="502">
                  <c:v>4195</c:v>
                </c:pt>
                <c:pt idx="503">
                  <c:v>4195</c:v>
                </c:pt>
                <c:pt idx="504">
                  <c:v>4195</c:v>
                </c:pt>
                <c:pt idx="505">
                  <c:v>4195</c:v>
                </c:pt>
                <c:pt idx="506">
                  <c:v>4195</c:v>
                </c:pt>
                <c:pt idx="507">
                  <c:v>4195</c:v>
                </c:pt>
                <c:pt idx="508">
                  <c:v>4195</c:v>
                </c:pt>
                <c:pt idx="509">
                  <c:v>4195</c:v>
                </c:pt>
                <c:pt idx="510">
                  <c:v>4195</c:v>
                </c:pt>
                <c:pt idx="511">
                  <c:v>4195</c:v>
                </c:pt>
                <c:pt idx="512">
                  <c:v>4195</c:v>
                </c:pt>
                <c:pt idx="513">
                  <c:v>4195</c:v>
                </c:pt>
                <c:pt idx="514">
                  <c:v>4195</c:v>
                </c:pt>
                <c:pt idx="515">
                  <c:v>4195</c:v>
                </c:pt>
                <c:pt idx="516">
                  <c:v>4195</c:v>
                </c:pt>
                <c:pt idx="517">
                  <c:v>4195</c:v>
                </c:pt>
                <c:pt idx="518">
                  <c:v>4195</c:v>
                </c:pt>
                <c:pt idx="519">
                  <c:v>4195</c:v>
                </c:pt>
                <c:pt idx="520">
                  <c:v>4195</c:v>
                </c:pt>
                <c:pt idx="521">
                  <c:v>4195</c:v>
                </c:pt>
                <c:pt idx="522">
                  <c:v>4195</c:v>
                </c:pt>
                <c:pt idx="523">
                  <c:v>4195</c:v>
                </c:pt>
                <c:pt idx="524">
                  <c:v>4195</c:v>
                </c:pt>
                <c:pt idx="525">
                  <c:v>4195</c:v>
                </c:pt>
                <c:pt idx="526">
                  <c:v>4195</c:v>
                </c:pt>
                <c:pt idx="527">
                  <c:v>4195</c:v>
                </c:pt>
                <c:pt idx="528">
                  <c:v>4195</c:v>
                </c:pt>
                <c:pt idx="529">
                  <c:v>4195</c:v>
                </c:pt>
                <c:pt idx="530">
                  <c:v>4195</c:v>
                </c:pt>
                <c:pt idx="531">
                  <c:v>4195</c:v>
                </c:pt>
                <c:pt idx="532">
                  <c:v>4195</c:v>
                </c:pt>
                <c:pt idx="533">
                  <c:v>4195</c:v>
                </c:pt>
                <c:pt idx="534">
                  <c:v>4195</c:v>
                </c:pt>
                <c:pt idx="535">
                  <c:v>4195</c:v>
                </c:pt>
                <c:pt idx="536">
                  <c:v>4195</c:v>
                </c:pt>
                <c:pt idx="537">
                  <c:v>4195</c:v>
                </c:pt>
                <c:pt idx="538">
                  <c:v>4195</c:v>
                </c:pt>
                <c:pt idx="539">
                  <c:v>4195</c:v>
                </c:pt>
                <c:pt idx="540">
                  <c:v>4195</c:v>
                </c:pt>
                <c:pt idx="541">
                  <c:v>4195</c:v>
                </c:pt>
                <c:pt idx="542">
                  <c:v>4195</c:v>
                </c:pt>
                <c:pt idx="543">
                  <c:v>4195</c:v>
                </c:pt>
                <c:pt idx="544">
                  <c:v>4195</c:v>
                </c:pt>
                <c:pt idx="545">
                  <c:v>4195</c:v>
                </c:pt>
                <c:pt idx="546">
                  <c:v>4195</c:v>
                </c:pt>
                <c:pt idx="547">
                  <c:v>4195</c:v>
                </c:pt>
                <c:pt idx="548">
                  <c:v>4195</c:v>
                </c:pt>
                <c:pt idx="549">
                  <c:v>4195</c:v>
                </c:pt>
                <c:pt idx="550">
                  <c:v>4195</c:v>
                </c:pt>
                <c:pt idx="551">
                  <c:v>4195</c:v>
                </c:pt>
                <c:pt idx="552">
                  <c:v>4195</c:v>
                </c:pt>
                <c:pt idx="553">
                  <c:v>4195</c:v>
                </c:pt>
                <c:pt idx="554">
                  <c:v>4195</c:v>
                </c:pt>
                <c:pt idx="555">
                  <c:v>4195</c:v>
                </c:pt>
                <c:pt idx="556">
                  <c:v>4195</c:v>
                </c:pt>
                <c:pt idx="557">
                  <c:v>4195</c:v>
                </c:pt>
                <c:pt idx="558">
                  <c:v>4195</c:v>
                </c:pt>
                <c:pt idx="559">
                  <c:v>4195</c:v>
                </c:pt>
                <c:pt idx="560">
                  <c:v>4195</c:v>
                </c:pt>
                <c:pt idx="561">
                  <c:v>4195</c:v>
                </c:pt>
                <c:pt idx="562">
                  <c:v>4195</c:v>
                </c:pt>
                <c:pt idx="563">
                  <c:v>4195</c:v>
                </c:pt>
                <c:pt idx="564">
                  <c:v>4195</c:v>
                </c:pt>
                <c:pt idx="565">
                  <c:v>4195</c:v>
                </c:pt>
                <c:pt idx="566">
                  <c:v>4195</c:v>
                </c:pt>
                <c:pt idx="567">
                  <c:v>4195</c:v>
                </c:pt>
                <c:pt idx="568">
                  <c:v>4195</c:v>
                </c:pt>
                <c:pt idx="569">
                  <c:v>4195</c:v>
                </c:pt>
                <c:pt idx="570">
                  <c:v>4195</c:v>
                </c:pt>
                <c:pt idx="571">
                  <c:v>4195</c:v>
                </c:pt>
                <c:pt idx="572">
                  <c:v>4195</c:v>
                </c:pt>
                <c:pt idx="573">
                  <c:v>4195</c:v>
                </c:pt>
                <c:pt idx="574">
                  <c:v>4195</c:v>
                </c:pt>
                <c:pt idx="575">
                  <c:v>4195</c:v>
                </c:pt>
                <c:pt idx="576">
                  <c:v>4195</c:v>
                </c:pt>
                <c:pt idx="577">
                  <c:v>4195</c:v>
                </c:pt>
                <c:pt idx="578">
                  <c:v>4195</c:v>
                </c:pt>
                <c:pt idx="579">
                  <c:v>4195</c:v>
                </c:pt>
                <c:pt idx="580">
                  <c:v>4195</c:v>
                </c:pt>
                <c:pt idx="581">
                  <c:v>4195</c:v>
                </c:pt>
                <c:pt idx="582">
                  <c:v>4195</c:v>
                </c:pt>
                <c:pt idx="583">
                  <c:v>4195</c:v>
                </c:pt>
                <c:pt idx="584">
                  <c:v>4195</c:v>
                </c:pt>
                <c:pt idx="585">
                  <c:v>4195</c:v>
                </c:pt>
                <c:pt idx="586">
                  <c:v>4195</c:v>
                </c:pt>
                <c:pt idx="587">
                  <c:v>4195</c:v>
                </c:pt>
                <c:pt idx="588">
                  <c:v>4195</c:v>
                </c:pt>
                <c:pt idx="589">
                  <c:v>4195</c:v>
                </c:pt>
                <c:pt idx="590">
                  <c:v>4195</c:v>
                </c:pt>
                <c:pt idx="591">
                  <c:v>4195</c:v>
                </c:pt>
                <c:pt idx="592">
                  <c:v>4195</c:v>
                </c:pt>
                <c:pt idx="593">
                  <c:v>4195</c:v>
                </c:pt>
                <c:pt idx="594">
                  <c:v>4195</c:v>
                </c:pt>
                <c:pt idx="595">
                  <c:v>4195</c:v>
                </c:pt>
                <c:pt idx="596">
                  <c:v>4195</c:v>
                </c:pt>
                <c:pt idx="597">
                  <c:v>4195</c:v>
                </c:pt>
                <c:pt idx="598">
                  <c:v>4195</c:v>
                </c:pt>
                <c:pt idx="599">
                  <c:v>4195</c:v>
                </c:pt>
                <c:pt idx="600">
                  <c:v>4195</c:v>
                </c:pt>
                <c:pt idx="601">
                  <c:v>4195</c:v>
                </c:pt>
                <c:pt idx="602">
                  <c:v>4195</c:v>
                </c:pt>
                <c:pt idx="603">
                  <c:v>4195</c:v>
                </c:pt>
                <c:pt idx="604">
                  <c:v>4195</c:v>
                </c:pt>
                <c:pt idx="605">
                  <c:v>4195</c:v>
                </c:pt>
                <c:pt idx="606">
                  <c:v>4195</c:v>
                </c:pt>
                <c:pt idx="607">
                  <c:v>4195</c:v>
                </c:pt>
                <c:pt idx="608">
                  <c:v>4195</c:v>
                </c:pt>
                <c:pt idx="609">
                  <c:v>4195</c:v>
                </c:pt>
                <c:pt idx="610">
                  <c:v>4195</c:v>
                </c:pt>
                <c:pt idx="611">
                  <c:v>4195</c:v>
                </c:pt>
                <c:pt idx="612">
                  <c:v>4195</c:v>
                </c:pt>
                <c:pt idx="613">
                  <c:v>4195</c:v>
                </c:pt>
                <c:pt idx="614">
                  <c:v>4195</c:v>
                </c:pt>
                <c:pt idx="615">
                  <c:v>4195</c:v>
                </c:pt>
                <c:pt idx="616">
                  <c:v>4195</c:v>
                </c:pt>
                <c:pt idx="617">
                  <c:v>4195</c:v>
                </c:pt>
                <c:pt idx="618">
                  <c:v>4195</c:v>
                </c:pt>
                <c:pt idx="619">
                  <c:v>4195</c:v>
                </c:pt>
                <c:pt idx="620">
                  <c:v>4195</c:v>
                </c:pt>
                <c:pt idx="621">
                  <c:v>4195</c:v>
                </c:pt>
                <c:pt idx="622">
                  <c:v>4195</c:v>
                </c:pt>
                <c:pt idx="623">
                  <c:v>4195</c:v>
                </c:pt>
                <c:pt idx="624">
                  <c:v>4195</c:v>
                </c:pt>
                <c:pt idx="625">
                  <c:v>4195</c:v>
                </c:pt>
                <c:pt idx="626">
                  <c:v>4195</c:v>
                </c:pt>
                <c:pt idx="627">
                  <c:v>4195</c:v>
                </c:pt>
                <c:pt idx="628">
                  <c:v>4195</c:v>
                </c:pt>
                <c:pt idx="629">
                  <c:v>4195</c:v>
                </c:pt>
                <c:pt idx="630">
                  <c:v>4195</c:v>
                </c:pt>
                <c:pt idx="631">
                  <c:v>4195</c:v>
                </c:pt>
                <c:pt idx="632">
                  <c:v>4195</c:v>
                </c:pt>
                <c:pt idx="633">
                  <c:v>4195</c:v>
                </c:pt>
                <c:pt idx="634">
                  <c:v>4195</c:v>
                </c:pt>
                <c:pt idx="635">
                  <c:v>4195</c:v>
                </c:pt>
                <c:pt idx="636">
                  <c:v>4195</c:v>
                </c:pt>
                <c:pt idx="637">
                  <c:v>4195</c:v>
                </c:pt>
                <c:pt idx="638">
                  <c:v>4195</c:v>
                </c:pt>
                <c:pt idx="639">
                  <c:v>4195</c:v>
                </c:pt>
                <c:pt idx="640">
                  <c:v>4195</c:v>
                </c:pt>
                <c:pt idx="641">
                  <c:v>4195</c:v>
                </c:pt>
                <c:pt idx="642">
                  <c:v>4195</c:v>
                </c:pt>
                <c:pt idx="643">
                  <c:v>4195</c:v>
                </c:pt>
                <c:pt idx="644">
                  <c:v>4195</c:v>
                </c:pt>
                <c:pt idx="645">
                  <c:v>4195</c:v>
                </c:pt>
                <c:pt idx="646">
                  <c:v>4195</c:v>
                </c:pt>
                <c:pt idx="647">
                  <c:v>4195</c:v>
                </c:pt>
                <c:pt idx="648">
                  <c:v>4195</c:v>
                </c:pt>
                <c:pt idx="649">
                  <c:v>4195</c:v>
                </c:pt>
                <c:pt idx="650">
                  <c:v>4195</c:v>
                </c:pt>
                <c:pt idx="651">
                  <c:v>4195</c:v>
                </c:pt>
                <c:pt idx="652">
                  <c:v>4195</c:v>
                </c:pt>
                <c:pt idx="653">
                  <c:v>4195</c:v>
                </c:pt>
                <c:pt idx="654">
                  <c:v>4195</c:v>
                </c:pt>
                <c:pt idx="655">
                  <c:v>4195</c:v>
                </c:pt>
                <c:pt idx="656">
                  <c:v>4195</c:v>
                </c:pt>
                <c:pt idx="657">
                  <c:v>4195</c:v>
                </c:pt>
                <c:pt idx="658">
                  <c:v>4195</c:v>
                </c:pt>
                <c:pt idx="659">
                  <c:v>4195</c:v>
                </c:pt>
                <c:pt idx="660">
                  <c:v>4195</c:v>
                </c:pt>
                <c:pt idx="661">
                  <c:v>4195</c:v>
                </c:pt>
                <c:pt idx="662">
                  <c:v>4195</c:v>
                </c:pt>
                <c:pt idx="663">
                  <c:v>4195</c:v>
                </c:pt>
                <c:pt idx="664">
                  <c:v>4195</c:v>
                </c:pt>
                <c:pt idx="665">
                  <c:v>4195</c:v>
                </c:pt>
                <c:pt idx="666">
                  <c:v>4195</c:v>
                </c:pt>
                <c:pt idx="667">
                  <c:v>4195</c:v>
                </c:pt>
                <c:pt idx="668">
                  <c:v>4195</c:v>
                </c:pt>
                <c:pt idx="669">
                  <c:v>4195</c:v>
                </c:pt>
                <c:pt idx="670">
                  <c:v>4195</c:v>
                </c:pt>
                <c:pt idx="671">
                  <c:v>4195</c:v>
                </c:pt>
                <c:pt idx="672">
                  <c:v>4195</c:v>
                </c:pt>
                <c:pt idx="673">
                  <c:v>4195</c:v>
                </c:pt>
                <c:pt idx="674">
                  <c:v>4195</c:v>
                </c:pt>
                <c:pt idx="675">
                  <c:v>4195</c:v>
                </c:pt>
                <c:pt idx="676">
                  <c:v>4195</c:v>
                </c:pt>
                <c:pt idx="677">
                  <c:v>4195</c:v>
                </c:pt>
                <c:pt idx="678">
                  <c:v>4195</c:v>
                </c:pt>
                <c:pt idx="679">
                  <c:v>4195</c:v>
                </c:pt>
                <c:pt idx="680">
                  <c:v>4195</c:v>
                </c:pt>
                <c:pt idx="681">
                  <c:v>4195</c:v>
                </c:pt>
                <c:pt idx="682">
                  <c:v>4195</c:v>
                </c:pt>
                <c:pt idx="683">
                  <c:v>4195</c:v>
                </c:pt>
                <c:pt idx="684">
                  <c:v>4195</c:v>
                </c:pt>
                <c:pt idx="685">
                  <c:v>4195</c:v>
                </c:pt>
                <c:pt idx="686">
                  <c:v>4195</c:v>
                </c:pt>
                <c:pt idx="687">
                  <c:v>4195</c:v>
                </c:pt>
                <c:pt idx="688">
                  <c:v>4195</c:v>
                </c:pt>
                <c:pt idx="689">
                  <c:v>4195</c:v>
                </c:pt>
                <c:pt idx="690">
                  <c:v>4195</c:v>
                </c:pt>
                <c:pt idx="691">
                  <c:v>4195</c:v>
                </c:pt>
                <c:pt idx="692">
                  <c:v>4195</c:v>
                </c:pt>
                <c:pt idx="693">
                  <c:v>4195</c:v>
                </c:pt>
                <c:pt idx="694">
                  <c:v>4195</c:v>
                </c:pt>
                <c:pt idx="695">
                  <c:v>4195</c:v>
                </c:pt>
                <c:pt idx="696">
                  <c:v>4195</c:v>
                </c:pt>
                <c:pt idx="697">
                  <c:v>4195</c:v>
                </c:pt>
                <c:pt idx="698">
                  <c:v>4195</c:v>
                </c:pt>
                <c:pt idx="699">
                  <c:v>4195</c:v>
                </c:pt>
                <c:pt idx="700">
                  <c:v>4195</c:v>
                </c:pt>
                <c:pt idx="701">
                  <c:v>4195</c:v>
                </c:pt>
                <c:pt idx="702">
                  <c:v>4195</c:v>
                </c:pt>
                <c:pt idx="703">
                  <c:v>4195</c:v>
                </c:pt>
                <c:pt idx="704">
                  <c:v>4195</c:v>
                </c:pt>
                <c:pt idx="705">
                  <c:v>4195</c:v>
                </c:pt>
                <c:pt idx="706">
                  <c:v>4195</c:v>
                </c:pt>
                <c:pt idx="707">
                  <c:v>4195</c:v>
                </c:pt>
                <c:pt idx="708">
                  <c:v>4195</c:v>
                </c:pt>
                <c:pt idx="709">
                  <c:v>4195</c:v>
                </c:pt>
                <c:pt idx="710">
                  <c:v>4195</c:v>
                </c:pt>
                <c:pt idx="711">
                  <c:v>4195</c:v>
                </c:pt>
                <c:pt idx="712">
                  <c:v>4195</c:v>
                </c:pt>
                <c:pt idx="713">
                  <c:v>4195</c:v>
                </c:pt>
                <c:pt idx="714">
                  <c:v>4195</c:v>
                </c:pt>
                <c:pt idx="715">
                  <c:v>4195</c:v>
                </c:pt>
                <c:pt idx="716">
                  <c:v>4195</c:v>
                </c:pt>
                <c:pt idx="717">
                  <c:v>4195</c:v>
                </c:pt>
                <c:pt idx="718">
                  <c:v>4195</c:v>
                </c:pt>
                <c:pt idx="719">
                  <c:v>4195</c:v>
                </c:pt>
                <c:pt idx="720">
                  <c:v>4195</c:v>
                </c:pt>
                <c:pt idx="721">
                  <c:v>4195</c:v>
                </c:pt>
                <c:pt idx="722">
                  <c:v>4195</c:v>
                </c:pt>
                <c:pt idx="723">
                  <c:v>4195</c:v>
                </c:pt>
                <c:pt idx="724">
                  <c:v>4195</c:v>
                </c:pt>
                <c:pt idx="725">
                  <c:v>4195</c:v>
                </c:pt>
                <c:pt idx="726">
                  <c:v>4195</c:v>
                </c:pt>
                <c:pt idx="727">
                  <c:v>4195</c:v>
                </c:pt>
                <c:pt idx="728">
                  <c:v>4195</c:v>
                </c:pt>
                <c:pt idx="729">
                  <c:v>4195</c:v>
                </c:pt>
                <c:pt idx="730">
                  <c:v>4195</c:v>
                </c:pt>
                <c:pt idx="731">
                  <c:v>4195</c:v>
                </c:pt>
                <c:pt idx="732">
                  <c:v>4195</c:v>
                </c:pt>
                <c:pt idx="733">
                  <c:v>4195</c:v>
                </c:pt>
                <c:pt idx="734">
                  <c:v>4195</c:v>
                </c:pt>
                <c:pt idx="735">
                  <c:v>4195</c:v>
                </c:pt>
                <c:pt idx="736">
                  <c:v>4195</c:v>
                </c:pt>
                <c:pt idx="737">
                  <c:v>4195</c:v>
                </c:pt>
                <c:pt idx="738">
                  <c:v>4195</c:v>
                </c:pt>
                <c:pt idx="739">
                  <c:v>4195</c:v>
                </c:pt>
                <c:pt idx="740">
                  <c:v>4195</c:v>
                </c:pt>
                <c:pt idx="741">
                  <c:v>4195</c:v>
                </c:pt>
                <c:pt idx="742">
                  <c:v>4195</c:v>
                </c:pt>
                <c:pt idx="743">
                  <c:v>4195</c:v>
                </c:pt>
                <c:pt idx="744">
                  <c:v>4195</c:v>
                </c:pt>
                <c:pt idx="745">
                  <c:v>4195</c:v>
                </c:pt>
                <c:pt idx="746">
                  <c:v>4195</c:v>
                </c:pt>
                <c:pt idx="747">
                  <c:v>4195</c:v>
                </c:pt>
                <c:pt idx="748">
                  <c:v>4195</c:v>
                </c:pt>
                <c:pt idx="749">
                  <c:v>4195</c:v>
                </c:pt>
                <c:pt idx="750">
                  <c:v>4195</c:v>
                </c:pt>
                <c:pt idx="751">
                  <c:v>4195</c:v>
                </c:pt>
                <c:pt idx="752">
                  <c:v>4195</c:v>
                </c:pt>
                <c:pt idx="753">
                  <c:v>4195</c:v>
                </c:pt>
                <c:pt idx="754">
                  <c:v>4195</c:v>
                </c:pt>
                <c:pt idx="755">
                  <c:v>4195</c:v>
                </c:pt>
                <c:pt idx="756">
                  <c:v>4195</c:v>
                </c:pt>
                <c:pt idx="757">
                  <c:v>4195</c:v>
                </c:pt>
                <c:pt idx="758">
                  <c:v>4195</c:v>
                </c:pt>
                <c:pt idx="759">
                  <c:v>4195</c:v>
                </c:pt>
                <c:pt idx="760">
                  <c:v>4195</c:v>
                </c:pt>
                <c:pt idx="761">
                  <c:v>4195</c:v>
                </c:pt>
                <c:pt idx="762">
                  <c:v>4195</c:v>
                </c:pt>
                <c:pt idx="763">
                  <c:v>4195</c:v>
                </c:pt>
                <c:pt idx="764">
                  <c:v>4195</c:v>
                </c:pt>
                <c:pt idx="765">
                  <c:v>4195</c:v>
                </c:pt>
                <c:pt idx="766">
                  <c:v>4195</c:v>
                </c:pt>
                <c:pt idx="767">
                  <c:v>4195</c:v>
                </c:pt>
                <c:pt idx="768">
                  <c:v>4195</c:v>
                </c:pt>
                <c:pt idx="769">
                  <c:v>4195</c:v>
                </c:pt>
                <c:pt idx="770">
                  <c:v>4195</c:v>
                </c:pt>
                <c:pt idx="771">
                  <c:v>4195</c:v>
                </c:pt>
                <c:pt idx="772">
                  <c:v>4195</c:v>
                </c:pt>
                <c:pt idx="773">
                  <c:v>4195</c:v>
                </c:pt>
                <c:pt idx="774">
                  <c:v>4195</c:v>
                </c:pt>
                <c:pt idx="775">
                  <c:v>4195</c:v>
                </c:pt>
                <c:pt idx="776">
                  <c:v>4195</c:v>
                </c:pt>
                <c:pt idx="777">
                  <c:v>4195</c:v>
                </c:pt>
                <c:pt idx="778">
                  <c:v>4195</c:v>
                </c:pt>
                <c:pt idx="779">
                  <c:v>4195</c:v>
                </c:pt>
                <c:pt idx="780">
                  <c:v>4195</c:v>
                </c:pt>
                <c:pt idx="781">
                  <c:v>4195</c:v>
                </c:pt>
                <c:pt idx="782">
                  <c:v>4195</c:v>
                </c:pt>
                <c:pt idx="783">
                  <c:v>4195</c:v>
                </c:pt>
                <c:pt idx="784">
                  <c:v>4195</c:v>
                </c:pt>
                <c:pt idx="785">
                  <c:v>4195</c:v>
                </c:pt>
                <c:pt idx="786">
                  <c:v>4195</c:v>
                </c:pt>
                <c:pt idx="787">
                  <c:v>4195</c:v>
                </c:pt>
                <c:pt idx="788">
                  <c:v>4195</c:v>
                </c:pt>
                <c:pt idx="789">
                  <c:v>4195</c:v>
                </c:pt>
                <c:pt idx="790">
                  <c:v>4195</c:v>
                </c:pt>
                <c:pt idx="791">
                  <c:v>4195</c:v>
                </c:pt>
                <c:pt idx="792">
                  <c:v>4195</c:v>
                </c:pt>
                <c:pt idx="793">
                  <c:v>4195</c:v>
                </c:pt>
                <c:pt idx="794">
                  <c:v>4195</c:v>
                </c:pt>
                <c:pt idx="795">
                  <c:v>4195</c:v>
                </c:pt>
                <c:pt idx="796">
                  <c:v>4195</c:v>
                </c:pt>
                <c:pt idx="797">
                  <c:v>4195</c:v>
                </c:pt>
                <c:pt idx="798">
                  <c:v>4195</c:v>
                </c:pt>
                <c:pt idx="799">
                  <c:v>4195</c:v>
                </c:pt>
                <c:pt idx="800">
                  <c:v>4195</c:v>
                </c:pt>
                <c:pt idx="801">
                  <c:v>4195</c:v>
                </c:pt>
                <c:pt idx="802">
                  <c:v>4195</c:v>
                </c:pt>
                <c:pt idx="803">
                  <c:v>4195</c:v>
                </c:pt>
                <c:pt idx="804">
                  <c:v>4195</c:v>
                </c:pt>
                <c:pt idx="805">
                  <c:v>4195</c:v>
                </c:pt>
                <c:pt idx="806">
                  <c:v>4195</c:v>
                </c:pt>
                <c:pt idx="807">
                  <c:v>4195</c:v>
                </c:pt>
                <c:pt idx="808">
                  <c:v>4195</c:v>
                </c:pt>
                <c:pt idx="809">
                  <c:v>4195</c:v>
                </c:pt>
                <c:pt idx="810">
                  <c:v>4195</c:v>
                </c:pt>
                <c:pt idx="811">
                  <c:v>4195</c:v>
                </c:pt>
                <c:pt idx="812">
                  <c:v>4195</c:v>
                </c:pt>
                <c:pt idx="813">
                  <c:v>4195</c:v>
                </c:pt>
                <c:pt idx="814">
                  <c:v>4195</c:v>
                </c:pt>
                <c:pt idx="815">
                  <c:v>4195</c:v>
                </c:pt>
                <c:pt idx="816">
                  <c:v>4195</c:v>
                </c:pt>
                <c:pt idx="817">
                  <c:v>4195</c:v>
                </c:pt>
                <c:pt idx="818">
                  <c:v>4195</c:v>
                </c:pt>
                <c:pt idx="819">
                  <c:v>4195</c:v>
                </c:pt>
                <c:pt idx="820">
                  <c:v>4195</c:v>
                </c:pt>
                <c:pt idx="821">
                  <c:v>4195</c:v>
                </c:pt>
                <c:pt idx="822">
                  <c:v>4195</c:v>
                </c:pt>
                <c:pt idx="823">
                  <c:v>4195</c:v>
                </c:pt>
                <c:pt idx="824">
                  <c:v>4195</c:v>
                </c:pt>
                <c:pt idx="825">
                  <c:v>4195</c:v>
                </c:pt>
                <c:pt idx="826">
                  <c:v>4195</c:v>
                </c:pt>
                <c:pt idx="827">
                  <c:v>4195</c:v>
                </c:pt>
                <c:pt idx="828">
                  <c:v>4195</c:v>
                </c:pt>
                <c:pt idx="829">
                  <c:v>4195</c:v>
                </c:pt>
                <c:pt idx="830">
                  <c:v>4195</c:v>
                </c:pt>
                <c:pt idx="831">
                  <c:v>4195</c:v>
                </c:pt>
                <c:pt idx="832">
                  <c:v>4195</c:v>
                </c:pt>
                <c:pt idx="833">
                  <c:v>4195</c:v>
                </c:pt>
                <c:pt idx="834">
                  <c:v>4195</c:v>
                </c:pt>
                <c:pt idx="835">
                  <c:v>4195</c:v>
                </c:pt>
                <c:pt idx="836">
                  <c:v>4195</c:v>
                </c:pt>
                <c:pt idx="837">
                  <c:v>4195</c:v>
                </c:pt>
                <c:pt idx="838">
                  <c:v>4195</c:v>
                </c:pt>
                <c:pt idx="839">
                  <c:v>4195</c:v>
                </c:pt>
                <c:pt idx="840">
                  <c:v>4195</c:v>
                </c:pt>
                <c:pt idx="841">
                  <c:v>4195</c:v>
                </c:pt>
                <c:pt idx="842">
                  <c:v>4195</c:v>
                </c:pt>
                <c:pt idx="843">
                  <c:v>4195</c:v>
                </c:pt>
                <c:pt idx="844">
                  <c:v>4195</c:v>
                </c:pt>
                <c:pt idx="845">
                  <c:v>4195</c:v>
                </c:pt>
                <c:pt idx="846">
                  <c:v>4195</c:v>
                </c:pt>
                <c:pt idx="847">
                  <c:v>4195</c:v>
                </c:pt>
                <c:pt idx="848">
                  <c:v>4195</c:v>
                </c:pt>
                <c:pt idx="849">
                  <c:v>4195</c:v>
                </c:pt>
                <c:pt idx="850">
                  <c:v>4195</c:v>
                </c:pt>
                <c:pt idx="851">
                  <c:v>4195</c:v>
                </c:pt>
                <c:pt idx="852">
                  <c:v>4195</c:v>
                </c:pt>
                <c:pt idx="853">
                  <c:v>4195</c:v>
                </c:pt>
                <c:pt idx="854">
                  <c:v>4195</c:v>
                </c:pt>
                <c:pt idx="855">
                  <c:v>4195</c:v>
                </c:pt>
                <c:pt idx="856">
                  <c:v>4195</c:v>
                </c:pt>
                <c:pt idx="857">
                  <c:v>4195</c:v>
                </c:pt>
                <c:pt idx="858">
                  <c:v>4195</c:v>
                </c:pt>
                <c:pt idx="859">
                  <c:v>4195</c:v>
                </c:pt>
                <c:pt idx="860">
                  <c:v>4195</c:v>
                </c:pt>
                <c:pt idx="861">
                  <c:v>4195</c:v>
                </c:pt>
                <c:pt idx="862">
                  <c:v>4195</c:v>
                </c:pt>
                <c:pt idx="863">
                  <c:v>4195</c:v>
                </c:pt>
                <c:pt idx="864">
                  <c:v>4195</c:v>
                </c:pt>
                <c:pt idx="865">
                  <c:v>4195</c:v>
                </c:pt>
                <c:pt idx="866">
                  <c:v>4195</c:v>
                </c:pt>
                <c:pt idx="867">
                  <c:v>4195</c:v>
                </c:pt>
                <c:pt idx="868">
                  <c:v>4195</c:v>
                </c:pt>
                <c:pt idx="869">
                  <c:v>4195</c:v>
                </c:pt>
                <c:pt idx="870">
                  <c:v>4195</c:v>
                </c:pt>
                <c:pt idx="871">
                  <c:v>4195</c:v>
                </c:pt>
                <c:pt idx="872">
                  <c:v>4195</c:v>
                </c:pt>
                <c:pt idx="873">
                  <c:v>4195</c:v>
                </c:pt>
                <c:pt idx="874">
                  <c:v>4195</c:v>
                </c:pt>
                <c:pt idx="875">
                  <c:v>4195</c:v>
                </c:pt>
                <c:pt idx="876">
                  <c:v>4195</c:v>
                </c:pt>
                <c:pt idx="877">
                  <c:v>4195</c:v>
                </c:pt>
                <c:pt idx="878">
                  <c:v>4195</c:v>
                </c:pt>
                <c:pt idx="879">
                  <c:v>4195</c:v>
                </c:pt>
                <c:pt idx="880">
                  <c:v>4195</c:v>
                </c:pt>
                <c:pt idx="881">
                  <c:v>4195</c:v>
                </c:pt>
                <c:pt idx="882">
                  <c:v>4195</c:v>
                </c:pt>
                <c:pt idx="883">
                  <c:v>4195</c:v>
                </c:pt>
                <c:pt idx="884">
                  <c:v>4195</c:v>
                </c:pt>
                <c:pt idx="885">
                  <c:v>4195</c:v>
                </c:pt>
                <c:pt idx="886">
                  <c:v>4195</c:v>
                </c:pt>
                <c:pt idx="887">
                  <c:v>4195</c:v>
                </c:pt>
                <c:pt idx="888">
                  <c:v>4195</c:v>
                </c:pt>
                <c:pt idx="889">
                  <c:v>4195</c:v>
                </c:pt>
                <c:pt idx="890">
                  <c:v>4195</c:v>
                </c:pt>
                <c:pt idx="891">
                  <c:v>4195</c:v>
                </c:pt>
                <c:pt idx="892">
                  <c:v>4195</c:v>
                </c:pt>
                <c:pt idx="893">
                  <c:v>4195</c:v>
                </c:pt>
                <c:pt idx="894">
                  <c:v>4195</c:v>
                </c:pt>
                <c:pt idx="895">
                  <c:v>4195</c:v>
                </c:pt>
                <c:pt idx="896">
                  <c:v>4195</c:v>
                </c:pt>
                <c:pt idx="897">
                  <c:v>4195</c:v>
                </c:pt>
                <c:pt idx="898">
                  <c:v>4195</c:v>
                </c:pt>
                <c:pt idx="899">
                  <c:v>4195</c:v>
                </c:pt>
                <c:pt idx="900">
                  <c:v>4195</c:v>
                </c:pt>
                <c:pt idx="901">
                  <c:v>4195</c:v>
                </c:pt>
                <c:pt idx="902">
                  <c:v>4195</c:v>
                </c:pt>
                <c:pt idx="903">
                  <c:v>4195</c:v>
                </c:pt>
                <c:pt idx="904">
                  <c:v>4195</c:v>
                </c:pt>
                <c:pt idx="905">
                  <c:v>4195</c:v>
                </c:pt>
                <c:pt idx="906">
                  <c:v>4195</c:v>
                </c:pt>
                <c:pt idx="907">
                  <c:v>4195</c:v>
                </c:pt>
                <c:pt idx="908">
                  <c:v>4195</c:v>
                </c:pt>
                <c:pt idx="909">
                  <c:v>4195</c:v>
                </c:pt>
                <c:pt idx="910">
                  <c:v>4195</c:v>
                </c:pt>
                <c:pt idx="911">
                  <c:v>4195</c:v>
                </c:pt>
                <c:pt idx="912">
                  <c:v>4195</c:v>
                </c:pt>
                <c:pt idx="913">
                  <c:v>4195</c:v>
                </c:pt>
                <c:pt idx="914">
                  <c:v>4195</c:v>
                </c:pt>
                <c:pt idx="915">
                  <c:v>4195</c:v>
                </c:pt>
                <c:pt idx="916">
                  <c:v>4195</c:v>
                </c:pt>
                <c:pt idx="917">
                  <c:v>4195</c:v>
                </c:pt>
                <c:pt idx="918">
                  <c:v>4195</c:v>
                </c:pt>
                <c:pt idx="919">
                  <c:v>4195</c:v>
                </c:pt>
                <c:pt idx="920">
                  <c:v>4195</c:v>
                </c:pt>
                <c:pt idx="921">
                  <c:v>4195</c:v>
                </c:pt>
                <c:pt idx="922">
                  <c:v>4195</c:v>
                </c:pt>
                <c:pt idx="923">
                  <c:v>4195</c:v>
                </c:pt>
                <c:pt idx="924">
                  <c:v>4195</c:v>
                </c:pt>
                <c:pt idx="925">
                  <c:v>4195</c:v>
                </c:pt>
                <c:pt idx="926">
                  <c:v>4195</c:v>
                </c:pt>
                <c:pt idx="927">
                  <c:v>4195</c:v>
                </c:pt>
                <c:pt idx="928">
                  <c:v>4195</c:v>
                </c:pt>
                <c:pt idx="929">
                  <c:v>4195</c:v>
                </c:pt>
                <c:pt idx="930">
                  <c:v>4195</c:v>
                </c:pt>
                <c:pt idx="931">
                  <c:v>4195</c:v>
                </c:pt>
                <c:pt idx="932">
                  <c:v>4195</c:v>
                </c:pt>
                <c:pt idx="933">
                  <c:v>4195</c:v>
                </c:pt>
                <c:pt idx="934">
                  <c:v>4195</c:v>
                </c:pt>
                <c:pt idx="935">
                  <c:v>4195</c:v>
                </c:pt>
                <c:pt idx="936">
                  <c:v>4195</c:v>
                </c:pt>
                <c:pt idx="937">
                  <c:v>4195</c:v>
                </c:pt>
                <c:pt idx="938">
                  <c:v>4195</c:v>
                </c:pt>
                <c:pt idx="939">
                  <c:v>4195</c:v>
                </c:pt>
                <c:pt idx="940">
                  <c:v>4195</c:v>
                </c:pt>
                <c:pt idx="941">
                  <c:v>4195</c:v>
                </c:pt>
                <c:pt idx="942">
                  <c:v>4195</c:v>
                </c:pt>
                <c:pt idx="943">
                  <c:v>4195</c:v>
                </c:pt>
                <c:pt idx="944">
                  <c:v>4195</c:v>
                </c:pt>
                <c:pt idx="945">
                  <c:v>4195</c:v>
                </c:pt>
                <c:pt idx="946">
                  <c:v>4195</c:v>
                </c:pt>
                <c:pt idx="947">
                  <c:v>4195</c:v>
                </c:pt>
                <c:pt idx="948">
                  <c:v>4195</c:v>
                </c:pt>
                <c:pt idx="949">
                  <c:v>4195</c:v>
                </c:pt>
                <c:pt idx="950">
                  <c:v>4195</c:v>
                </c:pt>
                <c:pt idx="951">
                  <c:v>4195</c:v>
                </c:pt>
                <c:pt idx="952">
                  <c:v>4195</c:v>
                </c:pt>
                <c:pt idx="953">
                  <c:v>4195</c:v>
                </c:pt>
                <c:pt idx="954">
                  <c:v>4195</c:v>
                </c:pt>
                <c:pt idx="955">
                  <c:v>4195</c:v>
                </c:pt>
                <c:pt idx="956">
                  <c:v>4195</c:v>
                </c:pt>
                <c:pt idx="957">
                  <c:v>4195</c:v>
                </c:pt>
                <c:pt idx="958">
                  <c:v>4195</c:v>
                </c:pt>
                <c:pt idx="959">
                  <c:v>4195</c:v>
                </c:pt>
                <c:pt idx="960">
                  <c:v>4195</c:v>
                </c:pt>
                <c:pt idx="961">
                  <c:v>4195</c:v>
                </c:pt>
                <c:pt idx="962">
                  <c:v>4195</c:v>
                </c:pt>
                <c:pt idx="963">
                  <c:v>4195</c:v>
                </c:pt>
                <c:pt idx="964">
                  <c:v>4195</c:v>
                </c:pt>
                <c:pt idx="965">
                  <c:v>4195</c:v>
                </c:pt>
                <c:pt idx="966">
                  <c:v>4195</c:v>
                </c:pt>
                <c:pt idx="967">
                  <c:v>4195</c:v>
                </c:pt>
                <c:pt idx="968">
                  <c:v>4195</c:v>
                </c:pt>
                <c:pt idx="969">
                  <c:v>4195</c:v>
                </c:pt>
                <c:pt idx="970">
                  <c:v>4195</c:v>
                </c:pt>
                <c:pt idx="971">
                  <c:v>4195</c:v>
                </c:pt>
                <c:pt idx="972">
                  <c:v>4195</c:v>
                </c:pt>
                <c:pt idx="973">
                  <c:v>4195</c:v>
                </c:pt>
                <c:pt idx="974">
                  <c:v>4195</c:v>
                </c:pt>
                <c:pt idx="975">
                  <c:v>4195</c:v>
                </c:pt>
                <c:pt idx="976">
                  <c:v>4195</c:v>
                </c:pt>
                <c:pt idx="977">
                  <c:v>4195</c:v>
                </c:pt>
                <c:pt idx="978">
                  <c:v>4195</c:v>
                </c:pt>
                <c:pt idx="979">
                  <c:v>4195</c:v>
                </c:pt>
                <c:pt idx="980">
                  <c:v>4195</c:v>
                </c:pt>
                <c:pt idx="981">
                  <c:v>4195</c:v>
                </c:pt>
                <c:pt idx="982">
                  <c:v>4195</c:v>
                </c:pt>
                <c:pt idx="983">
                  <c:v>4195</c:v>
                </c:pt>
                <c:pt idx="984">
                  <c:v>4195</c:v>
                </c:pt>
                <c:pt idx="985">
                  <c:v>4195</c:v>
                </c:pt>
                <c:pt idx="986">
                  <c:v>4195</c:v>
                </c:pt>
                <c:pt idx="987">
                  <c:v>4195</c:v>
                </c:pt>
                <c:pt idx="988">
                  <c:v>4195</c:v>
                </c:pt>
                <c:pt idx="989">
                  <c:v>4195</c:v>
                </c:pt>
                <c:pt idx="990">
                  <c:v>4195</c:v>
                </c:pt>
                <c:pt idx="991">
                  <c:v>4195</c:v>
                </c:pt>
                <c:pt idx="992">
                  <c:v>4195</c:v>
                </c:pt>
                <c:pt idx="993">
                  <c:v>4195</c:v>
                </c:pt>
                <c:pt idx="994">
                  <c:v>4195</c:v>
                </c:pt>
                <c:pt idx="995">
                  <c:v>4195</c:v>
                </c:pt>
                <c:pt idx="996">
                  <c:v>4195</c:v>
                </c:pt>
                <c:pt idx="997">
                  <c:v>4195</c:v>
                </c:pt>
                <c:pt idx="998">
                  <c:v>4195</c:v>
                </c:pt>
                <c:pt idx="999">
                  <c:v>4195</c:v>
                </c:pt>
                <c:pt idx="1000">
                  <c:v>4195</c:v>
                </c:pt>
                <c:pt idx="1001">
                  <c:v>4195</c:v>
                </c:pt>
                <c:pt idx="1002">
                  <c:v>4195</c:v>
                </c:pt>
                <c:pt idx="1003">
                  <c:v>4195</c:v>
                </c:pt>
                <c:pt idx="1004">
                  <c:v>4195</c:v>
                </c:pt>
                <c:pt idx="1005">
                  <c:v>4195</c:v>
                </c:pt>
                <c:pt idx="1006">
                  <c:v>4195</c:v>
                </c:pt>
                <c:pt idx="1007">
                  <c:v>4195</c:v>
                </c:pt>
                <c:pt idx="1008">
                  <c:v>4195</c:v>
                </c:pt>
                <c:pt idx="1009">
                  <c:v>4195</c:v>
                </c:pt>
                <c:pt idx="1010">
                  <c:v>4195</c:v>
                </c:pt>
                <c:pt idx="1011">
                  <c:v>4195</c:v>
                </c:pt>
                <c:pt idx="1012">
                  <c:v>4195</c:v>
                </c:pt>
                <c:pt idx="1013">
                  <c:v>4195</c:v>
                </c:pt>
                <c:pt idx="1014">
                  <c:v>4195</c:v>
                </c:pt>
                <c:pt idx="1015">
                  <c:v>4195</c:v>
                </c:pt>
                <c:pt idx="1016">
                  <c:v>4195</c:v>
                </c:pt>
                <c:pt idx="1017">
                  <c:v>4195</c:v>
                </c:pt>
                <c:pt idx="1018">
                  <c:v>4195</c:v>
                </c:pt>
                <c:pt idx="1019">
                  <c:v>4195</c:v>
                </c:pt>
                <c:pt idx="1020">
                  <c:v>4195</c:v>
                </c:pt>
                <c:pt idx="1021">
                  <c:v>4195</c:v>
                </c:pt>
                <c:pt idx="1022">
                  <c:v>4195</c:v>
                </c:pt>
                <c:pt idx="1023">
                  <c:v>4195</c:v>
                </c:pt>
                <c:pt idx="1024">
                  <c:v>4195</c:v>
                </c:pt>
                <c:pt idx="1025">
                  <c:v>4195</c:v>
                </c:pt>
                <c:pt idx="1026">
                  <c:v>4195</c:v>
                </c:pt>
                <c:pt idx="1027">
                  <c:v>4195</c:v>
                </c:pt>
                <c:pt idx="1028">
                  <c:v>4195</c:v>
                </c:pt>
                <c:pt idx="1029">
                  <c:v>4195</c:v>
                </c:pt>
                <c:pt idx="1030">
                  <c:v>4195</c:v>
                </c:pt>
                <c:pt idx="1031">
                  <c:v>4195</c:v>
                </c:pt>
                <c:pt idx="1032">
                  <c:v>4195</c:v>
                </c:pt>
                <c:pt idx="1033">
                  <c:v>4195</c:v>
                </c:pt>
                <c:pt idx="1034">
                  <c:v>4195</c:v>
                </c:pt>
                <c:pt idx="1035">
                  <c:v>4195</c:v>
                </c:pt>
                <c:pt idx="1036">
                  <c:v>4195</c:v>
                </c:pt>
                <c:pt idx="1037">
                  <c:v>4195</c:v>
                </c:pt>
                <c:pt idx="1038">
                  <c:v>4195</c:v>
                </c:pt>
                <c:pt idx="1039">
                  <c:v>4195</c:v>
                </c:pt>
                <c:pt idx="1040">
                  <c:v>4195</c:v>
                </c:pt>
                <c:pt idx="1041">
                  <c:v>4195</c:v>
                </c:pt>
                <c:pt idx="1042">
                  <c:v>4195</c:v>
                </c:pt>
                <c:pt idx="1043">
                  <c:v>4195</c:v>
                </c:pt>
                <c:pt idx="1044">
                  <c:v>4195</c:v>
                </c:pt>
                <c:pt idx="1045">
                  <c:v>4195</c:v>
                </c:pt>
                <c:pt idx="1046">
                  <c:v>4195</c:v>
                </c:pt>
                <c:pt idx="1047">
                  <c:v>4195</c:v>
                </c:pt>
                <c:pt idx="1048">
                  <c:v>4195</c:v>
                </c:pt>
                <c:pt idx="1049">
                  <c:v>4195</c:v>
                </c:pt>
                <c:pt idx="1050">
                  <c:v>4195</c:v>
                </c:pt>
                <c:pt idx="1051">
                  <c:v>4195</c:v>
                </c:pt>
                <c:pt idx="1052">
                  <c:v>4195</c:v>
                </c:pt>
                <c:pt idx="1053">
                  <c:v>4195</c:v>
                </c:pt>
                <c:pt idx="1054">
                  <c:v>4195</c:v>
                </c:pt>
                <c:pt idx="1055">
                  <c:v>4195</c:v>
                </c:pt>
                <c:pt idx="1056">
                  <c:v>4195</c:v>
                </c:pt>
                <c:pt idx="1057">
                  <c:v>4195</c:v>
                </c:pt>
                <c:pt idx="1058">
                  <c:v>4195</c:v>
                </c:pt>
                <c:pt idx="1059">
                  <c:v>4195</c:v>
                </c:pt>
                <c:pt idx="1060">
                  <c:v>4195</c:v>
                </c:pt>
                <c:pt idx="1061">
                  <c:v>4195</c:v>
                </c:pt>
                <c:pt idx="1062">
                  <c:v>4195</c:v>
                </c:pt>
                <c:pt idx="1063">
                  <c:v>4195</c:v>
                </c:pt>
                <c:pt idx="1064">
                  <c:v>4195</c:v>
                </c:pt>
                <c:pt idx="1065">
                  <c:v>4195</c:v>
                </c:pt>
                <c:pt idx="1066">
                  <c:v>4195</c:v>
                </c:pt>
                <c:pt idx="1067">
                  <c:v>4195</c:v>
                </c:pt>
                <c:pt idx="1068">
                  <c:v>4195</c:v>
                </c:pt>
                <c:pt idx="1069">
                  <c:v>4195</c:v>
                </c:pt>
                <c:pt idx="1070">
                  <c:v>4195</c:v>
                </c:pt>
                <c:pt idx="1071">
                  <c:v>4195</c:v>
                </c:pt>
                <c:pt idx="1072">
                  <c:v>4195</c:v>
                </c:pt>
                <c:pt idx="1073">
                  <c:v>4195</c:v>
                </c:pt>
                <c:pt idx="1074">
                  <c:v>4195</c:v>
                </c:pt>
                <c:pt idx="1075">
                  <c:v>4195</c:v>
                </c:pt>
                <c:pt idx="1076">
                  <c:v>4195</c:v>
                </c:pt>
                <c:pt idx="1077">
                  <c:v>4195</c:v>
                </c:pt>
                <c:pt idx="1078">
                  <c:v>4195</c:v>
                </c:pt>
                <c:pt idx="1079">
                  <c:v>4195</c:v>
                </c:pt>
                <c:pt idx="1080">
                  <c:v>4195</c:v>
                </c:pt>
                <c:pt idx="1081">
                  <c:v>4195</c:v>
                </c:pt>
                <c:pt idx="1082">
                  <c:v>4195</c:v>
                </c:pt>
                <c:pt idx="1083">
                  <c:v>4195</c:v>
                </c:pt>
                <c:pt idx="1084">
                  <c:v>4195</c:v>
                </c:pt>
                <c:pt idx="1085">
                  <c:v>4195</c:v>
                </c:pt>
                <c:pt idx="1086">
                  <c:v>4195</c:v>
                </c:pt>
                <c:pt idx="1087">
                  <c:v>4195</c:v>
                </c:pt>
                <c:pt idx="1088">
                  <c:v>4195</c:v>
                </c:pt>
                <c:pt idx="1089">
                  <c:v>4195</c:v>
                </c:pt>
                <c:pt idx="1090">
                  <c:v>4195</c:v>
                </c:pt>
                <c:pt idx="1091">
                  <c:v>4195</c:v>
                </c:pt>
                <c:pt idx="1092">
                  <c:v>4195</c:v>
                </c:pt>
                <c:pt idx="1093">
                  <c:v>4195</c:v>
                </c:pt>
                <c:pt idx="1094">
                  <c:v>4195</c:v>
                </c:pt>
                <c:pt idx="1095">
                  <c:v>4195</c:v>
                </c:pt>
                <c:pt idx="1096">
                  <c:v>4195</c:v>
                </c:pt>
                <c:pt idx="1097">
                  <c:v>4195</c:v>
                </c:pt>
                <c:pt idx="1098">
                  <c:v>4195</c:v>
                </c:pt>
                <c:pt idx="1099">
                  <c:v>4195</c:v>
                </c:pt>
                <c:pt idx="1100">
                  <c:v>4195</c:v>
                </c:pt>
                <c:pt idx="1101">
                  <c:v>4195</c:v>
                </c:pt>
                <c:pt idx="1102">
                  <c:v>4195</c:v>
                </c:pt>
                <c:pt idx="1103">
                  <c:v>4195</c:v>
                </c:pt>
                <c:pt idx="1104">
                  <c:v>4195</c:v>
                </c:pt>
                <c:pt idx="1105">
                  <c:v>4195</c:v>
                </c:pt>
                <c:pt idx="1106">
                  <c:v>4195</c:v>
                </c:pt>
                <c:pt idx="1107">
                  <c:v>4195</c:v>
                </c:pt>
                <c:pt idx="1108">
                  <c:v>4195</c:v>
                </c:pt>
                <c:pt idx="1109">
                  <c:v>4195</c:v>
                </c:pt>
                <c:pt idx="1110">
                  <c:v>4195</c:v>
                </c:pt>
                <c:pt idx="1111">
                  <c:v>4195</c:v>
                </c:pt>
                <c:pt idx="1112">
                  <c:v>4195</c:v>
                </c:pt>
                <c:pt idx="1113">
                  <c:v>4195</c:v>
                </c:pt>
                <c:pt idx="1114">
                  <c:v>4195</c:v>
                </c:pt>
                <c:pt idx="1115">
                  <c:v>4195</c:v>
                </c:pt>
                <c:pt idx="1116">
                  <c:v>4195</c:v>
                </c:pt>
                <c:pt idx="1117">
                  <c:v>4195</c:v>
                </c:pt>
                <c:pt idx="1118">
                  <c:v>4195</c:v>
                </c:pt>
                <c:pt idx="1119">
                  <c:v>4195</c:v>
                </c:pt>
                <c:pt idx="1120">
                  <c:v>4195</c:v>
                </c:pt>
                <c:pt idx="1121">
                  <c:v>4195</c:v>
                </c:pt>
                <c:pt idx="1122">
                  <c:v>4195</c:v>
                </c:pt>
                <c:pt idx="1123">
                  <c:v>4195</c:v>
                </c:pt>
                <c:pt idx="1124">
                  <c:v>4195</c:v>
                </c:pt>
                <c:pt idx="1125">
                  <c:v>4195</c:v>
                </c:pt>
                <c:pt idx="1126">
                  <c:v>4195</c:v>
                </c:pt>
                <c:pt idx="1127">
                  <c:v>4195</c:v>
                </c:pt>
                <c:pt idx="1128">
                  <c:v>4195</c:v>
                </c:pt>
                <c:pt idx="1129">
                  <c:v>4195</c:v>
                </c:pt>
                <c:pt idx="1130">
                  <c:v>4195</c:v>
                </c:pt>
                <c:pt idx="1131">
                  <c:v>4195</c:v>
                </c:pt>
                <c:pt idx="1132">
                  <c:v>4195</c:v>
                </c:pt>
                <c:pt idx="1133">
                  <c:v>4195</c:v>
                </c:pt>
                <c:pt idx="1134">
                  <c:v>4195</c:v>
                </c:pt>
                <c:pt idx="1135">
                  <c:v>4195</c:v>
                </c:pt>
                <c:pt idx="1136">
                  <c:v>4195</c:v>
                </c:pt>
                <c:pt idx="1137">
                  <c:v>4195</c:v>
                </c:pt>
                <c:pt idx="1138">
                  <c:v>4195</c:v>
                </c:pt>
                <c:pt idx="1139">
                  <c:v>4195</c:v>
                </c:pt>
                <c:pt idx="1140">
                  <c:v>4195</c:v>
                </c:pt>
                <c:pt idx="1141">
                  <c:v>4195</c:v>
                </c:pt>
                <c:pt idx="1142">
                  <c:v>4195</c:v>
                </c:pt>
                <c:pt idx="1143">
                  <c:v>4195</c:v>
                </c:pt>
                <c:pt idx="1144">
                  <c:v>4195</c:v>
                </c:pt>
                <c:pt idx="1145">
                  <c:v>4195</c:v>
                </c:pt>
                <c:pt idx="1146">
                  <c:v>4195</c:v>
                </c:pt>
                <c:pt idx="1147">
                  <c:v>4195</c:v>
                </c:pt>
                <c:pt idx="1148">
                  <c:v>4195</c:v>
                </c:pt>
                <c:pt idx="1149">
                  <c:v>4195</c:v>
                </c:pt>
                <c:pt idx="1150">
                  <c:v>4195</c:v>
                </c:pt>
                <c:pt idx="1151">
                  <c:v>4195</c:v>
                </c:pt>
                <c:pt idx="1152">
                  <c:v>4195</c:v>
                </c:pt>
                <c:pt idx="1153">
                  <c:v>4195</c:v>
                </c:pt>
                <c:pt idx="1154">
                  <c:v>4195</c:v>
                </c:pt>
                <c:pt idx="1155">
                  <c:v>4195</c:v>
                </c:pt>
                <c:pt idx="1156">
                  <c:v>4195</c:v>
                </c:pt>
                <c:pt idx="1157">
                  <c:v>4195</c:v>
                </c:pt>
                <c:pt idx="1158">
                  <c:v>4195</c:v>
                </c:pt>
                <c:pt idx="1159">
                  <c:v>4195</c:v>
                </c:pt>
                <c:pt idx="1160">
                  <c:v>4195</c:v>
                </c:pt>
                <c:pt idx="1161">
                  <c:v>4195</c:v>
                </c:pt>
                <c:pt idx="1162">
                  <c:v>4195</c:v>
                </c:pt>
                <c:pt idx="1163">
                  <c:v>4195</c:v>
                </c:pt>
                <c:pt idx="1164">
                  <c:v>4195</c:v>
                </c:pt>
                <c:pt idx="1165">
                  <c:v>4195</c:v>
                </c:pt>
                <c:pt idx="1166">
                  <c:v>4195</c:v>
                </c:pt>
                <c:pt idx="1167">
                  <c:v>4195</c:v>
                </c:pt>
                <c:pt idx="1168">
                  <c:v>4195</c:v>
                </c:pt>
                <c:pt idx="1169">
                  <c:v>4195</c:v>
                </c:pt>
                <c:pt idx="1170">
                  <c:v>4195</c:v>
                </c:pt>
                <c:pt idx="1171">
                  <c:v>4195</c:v>
                </c:pt>
                <c:pt idx="1172">
                  <c:v>4195</c:v>
                </c:pt>
                <c:pt idx="1173">
                  <c:v>4195</c:v>
                </c:pt>
                <c:pt idx="1174">
                  <c:v>4195</c:v>
                </c:pt>
                <c:pt idx="1175">
                  <c:v>4195</c:v>
                </c:pt>
                <c:pt idx="1176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6-4C65-A131-DA07D474BCED}"/>
            </c:ext>
          </c:extLst>
        </c:ser>
        <c:ser>
          <c:idx val="2"/>
          <c:order val="2"/>
          <c:tx>
            <c:strRef>
              <c:f>Pages!$F$1</c:f>
              <c:strCache>
                <c:ptCount val="1"/>
                <c:pt idx="0">
                  <c:v>Cumulative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Pages!$F$2:$F$1178</c:f>
              <c:numCache>
                <c:formatCode>General</c:formatCode>
                <c:ptCount val="11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255</c:v>
                </c:pt>
                <c:pt idx="83">
                  <c:v>394</c:v>
                </c:pt>
                <c:pt idx="84">
                  <c:v>430</c:v>
                </c:pt>
                <c:pt idx="85">
                  <c:v>450</c:v>
                </c:pt>
                <c:pt idx="86">
                  <c:v>450</c:v>
                </c:pt>
                <c:pt idx="87">
                  <c:v>450</c:v>
                </c:pt>
                <c:pt idx="88">
                  <c:v>477</c:v>
                </c:pt>
                <c:pt idx="89">
                  <c:v>496</c:v>
                </c:pt>
                <c:pt idx="90">
                  <c:v>496</c:v>
                </c:pt>
                <c:pt idx="91">
                  <c:v>496</c:v>
                </c:pt>
                <c:pt idx="92">
                  <c:v>532</c:v>
                </c:pt>
                <c:pt idx="93">
                  <c:v>532</c:v>
                </c:pt>
                <c:pt idx="94">
                  <c:v>583</c:v>
                </c:pt>
                <c:pt idx="95">
                  <c:v>620</c:v>
                </c:pt>
                <c:pt idx="96">
                  <c:v>661</c:v>
                </c:pt>
                <c:pt idx="97">
                  <c:v>749</c:v>
                </c:pt>
                <c:pt idx="98">
                  <c:v>803</c:v>
                </c:pt>
                <c:pt idx="99">
                  <c:v>803</c:v>
                </c:pt>
                <c:pt idx="100">
                  <c:v>803</c:v>
                </c:pt>
                <c:pt idx="101">
                  <c:v>917</c:v>
                </c:pt>
                <c:pt idx="102">
                  <c:v>917</c:v>
                </c:pt>
                <c:pt idx="103">
                  <c:v>917</c:v>
                </c:pt>
                <c:pt idx="104">
                  <c:v>917</c:v>
                </c:pt>
                <c:pt idx="105">
                  <c:v>917</c:v>
                </c:pt>
                <c:pt idx="106">
                  <c:v>935</c:v>
                </c:pt>
                <c:pt idx="107">
                  <c:v>935</c:v>
                </c:pt>
                <c:pt idx="108">
                  <c:v>951</c:v>
                </c:pt>
                <c:pt idx="109">
                  <c:v>1023</c:v>
                </c:pt>
                <c:pt idx="110">
                  <c:v>1101</c:v>
                </c:pt>
                <c:pt idx="111">
                  <c:v>1319</c:v>
                </c:pt>
                <c:pt idx="112">
                  <c:v>1319</c:v>
                </c:pt>
                <c:pt idx="113">
                  <c:v>1319</c:v>
                </c:pt>
                <c:pt idx="114">
                  <c:v>1356</c:v>
                </c:pt>
                <c:pt idx="115">
                  <c:v>1356</c:v>
                </c:pt>
                <c:pt idx="116">
                  <c:v>1563</c:v>
                </c:pt>
                <c:pt idx="117">
                  <c:v>1563</c:v>
                </c:pt>
                <c:pt idx="118">
                  <c:v>1605</c:v>
                </c:pt>
                <c:pt idx="119">
                  <c:v>1605</c:v>
                </c:pt>
                <c:pt idx="120">
                  <c:v>1605</c:v>
                </c:pt>
                <c:pt idx="121">
                  <c:v>1605</c:v>
                </c:pt>
                <c:pt idx="122">
                  <c:v>1605</c:v>
                </c:pt>
                <c:pt idx="123">
                  <c:v>1638</c:v>
                </c:pt>
                <c:pt idx="124">
                  <c:v>1681</c:v>
                </c:pt>
                <c:pt idx="125">
                  <c:v>1746</c:v>
                </c:pt>
                <c:pt idx="126">
                  <c:v>1746</c:v>
                </c:pt>
                <c:pt idx="127">
                  <c:v>1746</c:v>
                </c:pt>
                <c:pt idx="128">
                  <c:v>1746</c:v>
                </c:pt>
                <c:pt idx="129">
                  <c:v>1746</c:v>
                </c:pt>
                <c:pt idx="130">
                  <c:v>1746</c:v>
                </c:pt>
                <c:pt idx="131">
                  <c:v>1746</c:v>
                </c:pt>
                <c:pt idx="132">
                  <c:v>1746</c:v>
                </c:pt>
                <c:pt idx="133">
                  <c:v>1746</c:v>
                </c:pt>
                <c:pt idx="134">
                  <c:v>1746</c:v>
                </c:pt>
                <c:pt idx="135">
                  <c:v>1746</c:v>
                </c:pt>
                <c:pt idx="136">
                  <c:v>1746</c:v>
                </c:pt>
                <c:pt idx="137">
                  <c:v>1746</c:v>
                </c:pt>
                <c:pt idx="138">
                  <c:v>1746</c:v>
                </c:pt>
                <c:pt idx="139">
                  <c:v>1746</c:v>
                </c:pt>
                <c:pt idx="140">
                  <c:v>1746</c:v>
                </c:pt>
                <c:pt idx="141">
                  <c:v>1746</c:v>
                </c:pt>
                <c:pt idx="142">
                  <c:v>1823</c:v>
                </c:pt>
                <c:pt idx="143">
                  <c:v>1823</c:v>
                </c:pt>
                <c:pt idx="144">
                  <c:v>1844</c:v>
                </c:pt>
                <c:pt idx="145">
                  <c:v>1844</c:v>
                </c:pt>
                <c:pt idx="146">
                  <c:v>1844</c:v>
                </c:pt>
                <c:pt idx="147">
                  <c:v>1844</c:v>
                </c:pt>
                <c:pt idx="148">
                  <c:v>1844</c:v>
                </c:pt>
                <c:pt idx="149">
                  <c:v>1844</c:v>
                </c:pt>
                <c:pt idx="150">
                  <c:v>1844</c:v>
                </c:pt>
                <c:pt idx="151">
                  <c:v>1844</c:v>
                </c:pt>
                <c:pt idx="152">
                  <c:v>1844</c:v>
                </c:pt>
                <c:pt idx="153">
                  <c:v>1844</c:v>
                </c:pt>
                <c:pt idx="154">
                  <c:v>1844</c:v>
                </c:pt>
                <c:pt idx="155">
                  <c:v>1844</c:v>
                </c:pt>
                <c:pt idx="156">
                  <c:v>1844</c:v>
                </c:pt>
                <c:pt idx="157">
                  <c:v>1844</c:v>
                </c:pt>
                <c:pt idx="158">
                  <c:v>1844</c:v>
                </c:pt>
                <c:pt idx="159">
                  <c:v>1844</c:v>
                </c:pt>
                <c:pt idx="160">
                  <c:v>1844</c:v>
                </c:pt>
                <c:pt idx="161">
                  <c:v>1844</c:v>
                </c:pt>
                <c:pt idx="162">
                  <c:v>1844</c:v>
                </c:pt>
                <c:pt idx="163">
                  <c:v>1844</c:v>
                </c:pt>
                <c:pt idx="164">
                  <c:v>1900</c:v>
                </c:pt>
                <c:pt idx="165">
                  <c:v>1900</c:v>
                </c:pt>
                <c:pt idx="166">
                  <c:v>1900</c:v>
                </c:pt>
                <c:pt idx="167">
                  <c:v>1949</c:v>
                </c:pt>
                <c:pt idx="168">
                  <c:v>1949</c:v>
                </c:pt>
                <c:pt idx="169">
                  <c:v>1949</c:v>
                </c:pt>
                <c:pt idx="170">
                  <c:v>1949</c:v>
                </c:pt>
                <c:pt idx="171">
                  <c:v>2024</c:v>
                </c:pt>
                <c:pt idx="172">
                  <c:v>2067</c:v>
                </c:pt>
                <c:pt idx="173">
                  <c:v>2067</c:v>
                </c:pt>
                <c:pt idx="174">
                  <c:v>2150</c:v>
                </c:pt>
                <c:pt idx="175">
                  <c:v>2150</c:v>
                </c:pt>
                <c:pt idx="176">
                  <c:v>2181</c:v>
                </c:pt>
                <c:pt idx="177">
                  <c:v>2206</c:v>
                </c:pt>
                <c:pt idx="178">
                  <c:v>2206</c:v>
                </c:pt>
                <c:pt idx="179">
                  <c:v>2206</c:v>
                </c:pt>
                <c:pt idx="180">
                  <c:v>2206</c:v>
                </c:pt>
                <c:pt idx="181">
                  <c:v>2238</c:v>
                </c:pt>
                <c:pt idx="182">
                  <c:v>2238</c:v>
                </c:pt>
                <c:pt idx="183">
                  <c:v>2238</c:v>
                </c:pt>
                <c:pt idx="184">
                  <c:v>2238</c:v>
                </c:pt>
                <c:pt idx="185">
                  <c:v>2238</c:v>
                </c:pt>
                <c:pt idx="186">
                  <c:v>2238</c:v>
                </c:pt>
                <c:pt idx="187">
                  <c:v>2238</c:v>
                </c:pt>
                <c:pt idx="188">
                  <c:v>2238</c:v>
                </c:pt>
                <c:pt idx="189">
                  <c:v>2274</c:v>
                </c:pt>
                <c:pt idx="190">
                  <c:v>2274</c:v>
                </c:pt>
                <c:pt idx="191">
                  <c:v>2274</c:v>
                </c:pt>
                <c:pt idx="192">
                  <c:v>2274</c:v>
                </c:pt>
                <c:pt idx="193">
                  <c:v>2386</c:v>
                </c:pt>
                <c:pt idx="194">
                  <c:v>2430</c:v>
                </c:pt>
                <c:pt idx="195">
                  <c:v>2467</c:v>
                </c:pt>
                <c:pt idx="196">
                  <c:v>2571</c:v>
                </c:pt>
                <c:pt idx="197">
                  <c:v>2650</c:v>
                </c:pt>
                <c:pt idx="198">
                  <c:v>2714</c:v>
                </c:pt>
                <c:pt idx="199">
                  <c:v>2778</c:v>
                </c:pt>
                <c:pt idx="200">
                  <c:v>2859</c:v>
                </c:pt>
                <c:pt idx="201">
                  <c:v>2913</c:v>
                </c:pt>
                <c:pt idx="202">
                  <c:v>2952</c:v>
                </c:pt>
                <c:pt idx="203">
                  <c:v>2952</c:v>
                </c:pt>
                <c:pt idx="204">
                  <c:v>2952</c:v>
                </c:pt>
                <c:pt idx="205">
                  <c:v>2952</c:v>
                </c:pt>
                <c:pt idx="206">
                  <c:v>2952</c:v>
                </c:pt>
                <c:pt idx="207">
                  <c:v>2996</c:v>
                </c:pt>
                <c:pt idx="208">
                  <c:v>3020</c:v>
                </c:pt>
                <c:pt idx="209">
                  <c:v>3021</c:v>
                </c:pt>
                <c:pt idx="210">
                  <c:v>3043</c:v>
                </c:pt>
                <c:pt idx="211">
                  <c:v>3043</c:v>
                </c:pt>
                <c:pt idx="212">
                  <c:v>3053</c:v>
                </c:pt>
                <c:pt idx="213">
                  <c:v>3053</c:v>
                </c:pt>
                <c:pt idx="214">
                  <c:v>3104</c:v>
                </c:pt>
                <c:pt idx="215">
                  <c:v>3224</c:v>
                </c:pt>
                <c:pt idx="216">
                  <c:v>3309</c:v>
                </c:pt>
                <c:pt idx="217">
                  <c:v>3519</c:v>
                </c:pt>
                <c:pt idx="218">
                  <c:v>3565</c:v>
                </c:pt>
                <c:pt idx="219">
                  <c:v>3648</c:v>
                </c:pt>
                <c:pt idx="220">
                  <c:v>3732</c:v>
                </c:pt>
                <c:pt idx="221">
                  <c:v>3872</c:v>
                </c:pt>
                <c:pt idx="222">
                  <c:v>3970</c:v>
                </c:pt>
                <c:pt idx="223">
                  <c:v>3997</c:v>
                </c:pt>
                <c:pt idx="224">
                  <c:v>3997</c:v>
                </c:pt>
                <c:pt idx="225">
                  <c:v>3998</c:v>
                </c:pt>
                <c:pt idx="226">
                  <c:v>3998</c:v>
                </c:pt>
                <c:pt idx="227">
                  <c:v>3998</c:v>
                </c:pt>
                <c:pt idx="228">
                  <c:v>3998</c:v>
                </c:pt>
                <c:pt idx="229">
                  <c:v>4001</c:v>
                </c:pt>
                <c:pt idx="230">
                  <c:v>4076</c:v>
                </c:pt>
                <c:pt idx="231">
                  <c:v>4076</c:v>
                </c:pt>
                <c:pt idx="232">
                  <c:v>4187</c:v>
                </c:pt>
                <c:pt idx="233">
                  <c:v>4187</c:v>
                </c:pt>
                <c:pt idx="234">
                  <c:v>4187</c:v>
                </c:pt>
                <c:pt idx="235">
                  <c:v>4187</c:v>
                </c:pt>
                <c:pt idx="236">
                  <c:v>4187</c:v>
                </c:pt>
                <c:pt idx="237">
                  <c:v>4188</c:v>
                </c:pt>
                <c:pt idx="238">
                  <c:v>4188</c:v>
                </c:pt>
                <c:pt idx="239">
                  <c:v>4188</c:v>
                </c:pt>
                <c:pt idx="240">
                  <c:v>4188</c:v>
                </c:pt>
                <c:pt idx="241">
                  <c:v>4188</c:v>
                </c:pt>
                <c:pt idx="242">
                  <c:v>4188</c:v>
                </c:pt>
                <c:pt idx="243">
                  <c:v>4188</c:v>
                </c:pt>
                <c:pt idx="244">
                  <c:v>4188</c:v>
                </c:pt>
                <c:pt idx="245">
                  <c:v>4188</c:v>
                </c:pt>
                <c:pt idx="246">
                  <c:v>4188</c:v>
                </c:pt>
                <c:pt idx="247">
                  <c:v>4188</c:v>
                </c:pt>
                <c:pt idx="248">
                  <c:v>4188</c:v>
                </c:pt>
                <c:pt idx="249">
                  <c:v>4189</c:v>
                </c:pt>
                <c:pt idx="250">
                  <c:v>4190</c:v>
                </c:pt>
                <c:pt idx="251">
                  <c:v>4190</c:v>
                </c:pt>
                <c:pt idx="252">
                  <c:v>4190</c:v>
                </c:pt>
                <c:pt idx="253">
                  <c:v>4190</c:v>
                </c:pt>
                <c:pt idx="254">
                  <c:v>4190</c:v>
                </c:pt>
                <c:pt idx="255">
                  <c:v>4190</c:v>
                </c:pt>
                <c:pt idx="256">
                  <c:v>4191</c:v>
                </c:pt>
                <c:pt idx="257">
                  <c:v>4192</c:v>
                </c:pt>
                <c:pt idx="258">
                  <c:v>4192</c:v>
                </c:pt>
                <c:pt idx="259">
                  <c:v>4192</c:v>
                </c:pt>
                <c:pt idx="260">
                  <c:v>4192</c:v>
                </c:pt>
                <c:pt idx="261">
                  <c:v>4192</c:v>
                </c:pt>
                <c:pt idx="262">
                  <c:v>4192</c:v>
                </c:pt>
                <c:pt idx="263">
                  <c:v>4192</c:v>
                </c:pt>
                <c:pt idx="264">
                  <c:v>4192</c:v>
                </c:pt>
                <c:pt idx="265">
                  <c:v>4192</c:v>
                </c:pt>
                <c:pt idx="266">
                  <c:v>4192</c:v>
                </c:pt>
                <c:pt idx="267">
                  <c:v>4192</c:v>
                </c:pt>
                <c:pt idx="268">
                  <c:v>4192</c:v>
                </c:pt>
                <c:pt idx="269">
                  <c:v>4192</c:v>
                </c:pt>
                <c:pt idx="270">
                  <c:v>4192</c:v>
                </c:pt>
                <c:pt idx="271">
                  <c:v>4196</c:v>
                </c:pt>
                <c:pt idx="272">
                  <c:v>4196</c:v>
                </c:pt>
                <c:pt idx="273">
                  <c:v>4196</c:v>
                </c:pt>
                <c:pt idx="274">
                  <c:v>4196</c:v>
                </c:pt>
                <c:pt idx="275">
                  <c:v>4196</c:v>
                </c:pt>
                <c:pt idx="276">
                  <c:v>4196</c:v>
                </c:pt>
                <c:pt idx="277">
                  <c:v>4196</c:v>
                </c:pt>
                <c:pt idx="278">
                  <c:v>4196</c:v>
                </c:pt>
                <c:pt idx="279">
                  <c:v>4196</c:v>
                </c:pt>
                <c:pt idx="280">
                  <c:v>4196</c:v>
                </c:pt>
                <c:pt idx="281">
                  <c:v>4196</c:v>
                </c:pt>
                <c:pt idx="282">
                  <c:v>4196</c:v>
                </c:pt>
                <c:pt idx="283">
                  <c:v>4196</c:v>
                </c:pt>
                <c:pt idx="284">
                  <c:v>4196</c:v>
                </c:pt>
                <c:pt idx="285">
                  <c:v>4200</c:v>
                </c:pt>
                <c:pt idx="286">
                  <c:v>4200</c:v>
                </c:pt>
                <c:pt idx="287">
                  <c:v>4200</c:v>
                </c:pt>
                <c:pt idx="288">
                  <c:v>4200</c:v>
                </c:pt>
                <c:pt idx="289">
                  <c:v>4200</c:v>
                </c:pt>
                <c:pt idx="290">
                  <c:v>4200</c:v>
                </c:pt>
                <c:pt idx="291">
                  <c:v>4205</c:v>
                </c:pt>
                <c:pt idx="292">
                  <c:v>4206</c:v>
                </c:pt>
                <c:pt idx="293">
                  <c:v>4206</c:v>
                </c:pt>
                <c:pt idx="294">
                  <c:v>4206</c:v>
                </c:pt>
                <c:pt idx="295">
                  <c:v>4206</c:v>
                </c:pt>
                <c:pt idx="296">
                  <c:v>4206</c:v>
                </c:pt>
                <c:pt idx="297">
                  <c:v>4206</c:v>
                </c:pt>
                <c:pt idx="298">
                  <c:v>4243</c:v>
                </c:pt>
                <c:pt idx="299">
                  <c:v>4243</c:v>
                </c:pt>
                <c:pt idx="300">
                  <c:v>4275</c:v>
                </c:pt>
                <c:pt idx="301">
                  <c:v>4275</c:v>
                </c:pt>
                <c:pt idx="302">
                  <c:v>4275</c:v>
                </c:pt>
                <c:pt idx="303">
                  <c:v>4275</c:v>
                </c:pt>
                <c:pt idx="304">
                  <c:v>4275</c:v>
                </c:pt>
                <c:pt idx="305">
                  <c:v>4321</c:v>
                </c:pt>
                <c:pt idx="306">
                  <c:v>4321</c:v>
                </c:pt>
                <c:pt idx="307">
                  <c:v>4321</c:v>
                </c:pt>
                <c:pt idx="308">
                  <c:v>4321</c:v>
                </c:pt>
                <c:pt idx="309">
                  <c:v>4321</c:v>
                </c:pt>
                <c:pt idx="310">
                  <c:v>4321</c:v>
                </c:pt>
                <c:pt idx="311">
                  <c:v>4321</c:v>
                </c:pt>
                <c:pt idx="312">
                  <c:v>4321</c:v>
                </c:pt>
                <c:pt idx="313">
                  <c:v>4321</c:v>
                </c:pt>
                <c:pt idx="314">
                  <c:v>4321</c:v>
                </c:pt>
                <c:pt idx="315">
                  <c:v>4321</c:v>
                </c:pt>
                <c:pt idx="316">
                  <c:v>4321</c:v>
                </c:pt>
                <c:pt idx="317">
                  <c:v>4321</c:v>
                </c:pt>
                <c:pt idx="318">
                  <c:v>4321</c:v>
                </c:pt>
                <c:pt idx="319">
                  <c:v>4356</c:v>
                </c:pt>
                <c:pt idx="320">
                  <c:v>4376</c:v>
                </c:pt>
                <c:pt idx="321">
                  <c:v>4435</c:v>
                </c:pt>
                <c:pt idx="322">
                  <c:v>4435</c:v>
                </c:pt>
                <c:pt idx="323">
                  <c:v>4435</c:v>
                </c:pt>
                <c:pt idx="324">
                  <c:v>4435</c:v>
                </c:pt>
                <c:pt idx="325">
                  <c:v>4562</c:v>
                </c:pt>
                <c:pt idx="326">
                  <c:v>4584</c:v>
                </c:pt>
                <c:pt idx="327">
                  <c:v>4654</c:v>
                </c:pt>
                <c:pt idx="328">
                  <c:v>4716</c:v>
                </c:pt>
                <c:pt idx="329">
                  <c:v>4723</c:v>
                </c:pt>
                <c:pt idx="330">
                  <c:v>4730</c:v>
                </c:pt>
                <c:pt idx="331">
                  <c:v>4731</c:v>
                </c:pt>
                <c:pt idx="332">
                  <c:v>4731</c:v>
                </c:pt>
                <c:pt idx="333">
                  <c:v>4731</c:v>
                </c:pt>
                <c:pt idx="334">
                  <c:v>4731</c:v>
                </c:pt>
                <c:pt idx="335">
                  <c:v>4731</c:v>
                </c:pt>
                <c:pt idx="336">
                  <c:v>4731</c:v>
                </c:pt>
                <c:pt idx="337">
                  <c:v>4731</c:v>
                </c:pt>
                <c:pt idx="338">
                  <c:v>4792</c:v>
                </c:pt>
                <c:pt idx="339">
                  <c:v>4800</c:v>
                </c:pt>
                <c:pt idx="340">
                  <c:v>4819</c:v>
                </c:pt>
                <c:pt idx="341">
                  <c:v>4871</c:v>
                </c:pt>
                <c:pt idx="342">
                  <c:v>4871</c:v>
                </c:pt>
                <c:pt idx="343">
                  <c:v>4871</c:v>
                </c:pt>
                <c:pt idx="344">
                  <c:v>4871</c:v>
                </c:pt>
                <c:pt idx="345">
                  <c:v>4871</c:v>
                </c:pt>
                <c:pt idx="346">
                  <c:v>4871</c:v>
                </c:pt>
                <c:pt idx="347">
                  <c:v>4931</c:v>
                </c:pt>
                <c:pt idx="348">
                  <c:v>4941</c:v>
                </c:pt>
                <c:pt idx="349">
                  <c:v>4989</c:v>
                </c:pt>
                <c:pt idx="350">
                  <c:v>4989</c:v>
                </c:pt>
                <c:pt idx="351">
                  <c:v>4989</c:v>
                </c:pt>
                <c:pt idx="352">
                  <c:v>4989</c:v>
                </c:pt>
                <c:pt idx="353">
                  <c:v>4989</c:v>
                </c:pt>
                <c:pt idx="354">
                  <c:v>4989</c:v>
                </c:pt>
                <c:pt idx="355">
                  <c:v>4989</c:v>
                </c:pt>
                <c:pt idx="356">
                  <c:v>5063</c:v>
                </c:pt>
                <c:pt idx="357">
                  <c:v>5211</c:v>
                </c:pt>
                <c:pt idx="358">
                  <c:v>5215</c:v>
                </c:pt>
                <c:pt idx="359">
                  <c:v>5239</c:v>
                </c:pt>
                <c:pt idx="360">
                  <c:v>5308</c:v>
                </c:pt>
                <c:pt idx="361">
                  <c:v>5325</c:v>
                </c:pt>
                <c:pt idx="362">
                  <c:v>5352</c:v>
                </c:pt>
                <c:pt idx="363">
                  <c:v>5403</c:v>
                </c:pt>
                <c:pt idx="364">
                  <c:v>5403</c:v>
                </c:pt>
                <c:pt idx="365">
                  <c:v>5440</c:v>
                </c:pt>
                <c:pt idx="366">
                  <c:v>5440</c:v>
                </c:pt>
                <c:pt idx="367">
                  <c:v>5518</c:v>
                </c:pt>
                <c:pt idx="368">
                  <c:v>5519</c:v>
                </c:pt>
                <c:pt idx="369">
                  <c:v>5519</c:v>
                </c:pt>
                <c:pt idx="370">
                  <c:v>5519</c:v>
                </c:pt>
                <c:pt idx="371">
                  <c:v>5519</c:v>
                </c:pt>
                <c:pt idx="372">
                  <c:v>5519</c:v>
                </c:pt>
                <c:pt idx="373">
                  <c:v>5519</c:v>
                </c:pt>
                <c:pt idx="374">
                  <c:v>5519</c:v>
                </c:pt>
                <c:pt idx="375">
                  <c:v>5519</c:v>
                </c:pt>
                <c:pt idx="376">
                  <c:v>5519</c:v>
                </c:pt>
                <c:pt idx="377">
                  <c:v>5519</c:v>
                </c:pt>
                <c:pt idx="378">
                  <c:v>5519</c:v>
                </c:pt>
                <c:pt idx="379">
                  <c:v>5519</c:v>
                </c:pt>
                <c:pt idx="380">
                  <c:v>5519</c:v>
                </c:pt>
                <c:pt idx="381">
                  <c:v>5519</c:v>
                </c:pt>
                <c:pt idx="382">
                  <c:v>5519</c:v>
                </c:pt>
                <c:pt idx="383">
                  <c:v>5519</c:v>
                </c:pt>
                <c:pt idx="384">
                  <c:v>5519</c:v>
                </c:pt>
                <c:pt idx="385">
                  <c:v>5519</c:v>
                </c:pt>
                <c:pt idx="386">
                  <c:v>5519</c:v>
                </c:pt>
                <c:pt idx="387">
                  <c:v>5519</c:v>
                </c:pt>
                <c:pt idx="388">
                  <c:v>5519</c:v>
                </c:pt>
                <c:pt idx="389">
                  <c:v>5540</c:v>
                </c:pt>
                <c:pt idx="390">
                  <c:v>5550</c:v>
                </c:pt>
                <c:pt idx="391">
                  <c:v>5592</c:v>
                </c:pt>
                <c:pt idx="392">
                  <c:v>5592</c:v>
                </c:pt>
                <c:pt idx="393">
                  <c:v>5688</c:v>
                </c:pt>
                <c:pt idx="394">
                  <c:v>5781</c:v>
                </c:pt>
                <c:pt idx="395">
                  <c:v>5793</c:v>
                </c:pt>
                <c:pt idx="396">
                  <c:v>5793</c:v>
                </c:pt>
                <c:pt idx="397">
                  <c:v>5793</c:v>
                </c:pt>
                <c:pt idx="398">
                  <c:v>5800</c:v>
                </c:pt>
                <c:pt idx="399">
                  <c:v>5800</c:v>
                </c:pt>
                <c:pt idx="400">
                  <c:v>5800</c:v>
                </c:pt>
                <c:pt idx="401">
                  <c:v>5800</c:v>
                </c:pt>
                <c:pt idx="402">
                  <c:v>5800</c:v>
                </c:pt>
                <c:pt idx="403">
                  <c:v>5800</c:v>
                </c:pt>
                <c:pt idx="404">
                  <c:v>5800</c:v>
                </c:pt>
                <c:pt idx="405">
                  <c:v>5800</c:v>
                </c:pt>
                <c:pt idx="406">
                  <c:v>5800</c:v>
                </c:pt>
                <c:pt idx="407">
                  <c:v>5800</c:v>
                </c:pt>
                <c:pt idx="408">
                  <c:v>5800</c:v>
                </c:pt>
                <c:pt idx="409">
                  <c:v>5800</c:v>
                </c:pt>
                <c:pt idx="410">
                  <c:v>5800</c:v>
                </c:pt>
                <c:pt idx="411">
                  <c:v>5800</c:v>
                </c:pt>
                <c:pt idx="412">
                  <c:v>5800</c:v>
                </c:pt>
                <c:pt idx="413">
                  <c:v>5800</c:v>
                </c:pt>
                <c:pt idx="414">
                  <c:v>5800</c:v>
                </c:pt>
                <c:pt idx="415">
                  <c:v>5800</c:v>
                </c:pt>
                <c:pt idx="416">
                  <c:v>5800</c:v>
                </c:pt>
                <c:pt idx="417">
                  <c:v>5800</c:v>
                </c:pt>
                <c:pt idx="418">
                  <c:v>5800</c:v>
                </c:pt>
                <c:pt idx="419">
                  <c:v>5800</c:v>
                </c:pt>
                <c:pt idx="420">
                  <c:v>5800</c:v>
                </c:pt>
                <c:pt idx="421">
                  <c:v>5800</c:v>
                </c:pt>
                <c:pt idx="422">
                  <c:v>5800</c:v>
                </c:pt>
                <c:pt idx="423">
                  <c:v>5800</c:v>
                </c:pt>
                <c:pt idx="424">
                  <c:v>5800</c:v>
                </c:pt>
                <c:pt idx="425">
                  <c:v>5800</c:v>
                </c:pt>
                <c:pt idx="426">
                  <c:v>5800</c:v>
                </c:pt>
                <c:pt idx="427">
                  <c:v>5800</c:v>
                </c:pt>
                <c:pt idx="428">
                  <c:v>5800</c:v>
                </c:pt>
                <c:pt idx="429">
                  <c:v>5800</c:v>
                </c:pt>
                <c:pt idx="430">
                  <c:v>5800</c:v>
                </c:pt>
                <c:pt idx="431">
                  <c:v>5800</c:v>
                </c:pt>
                <c:pt idx="432">
                  <c:v>5800</c:v>
                </c:pt>
                <c:pt idx="433">
                  <c:v>5800</c:v>
                </c:pt>
                <c:pt idx="434">
                  <c:v>5800</c:v>
                </c:pt>
                <c:pt idx="435">
                  <c:v>5800</c:v>
                </c:pt>
                <c:pt idx="436">
                  <c:v>5800</c:v>
                </c:pt>
                <c:pt idx="437">
                  <c:v>5800</c:v>
                </c:pt>
                <c:pt idx="438">
                  <c:v>5800</c:v>
                </c:pt>
                <c:pt idx="439">
                  <c:v>5800</c:v>
                </c:pt>
                <c:pt idx="440">
                  <c:v>5831</c:v>
                </c:pt>
                <c:pt idx="441">
                  <c:v>5831</c:v>
                </c:pt>
                <c:pt idx="442">
                  <c:v>5831</c:v>
                </c:pt>
                <c:pt idx="443">
                  <c:v>5831</c:v>
                </c:pt>
                <c:pt idx="444">
                  <c:v>5831</c:v>
                </c:pt>
                <c:pt idx="445">
                  <c:v>5831</c:v>
                </c:pt>
                <c:pt idx="446">
                  <c:v>5831</c:v>
                </c:pt>
                <c:pt idx="447">
                  <c:v>5831</c:v>
                </c:pt>
                <c:pt idx="448">
                  <c:v>5831</c:v>
                </c:pt>
                <c:pt idx="449">
                  <c:v>5831</c:v>
                </c:pt>
                <c:pt idx="450">
                  <c:v>5831</c:v>
                </c:pt>
                <c:pt idx="451">
                  <c:v>5831</c:v>
                </c:pt>
                <c:pt idx="452">
                  <c:v>5831</c:v>
                </c:pt>
                <c:pt idx="453">
                  <c:v>5831</c:v>
                </c:pt>
                <c:pt idx="454">
                  <c:v>5831</c:v>
                </c:pt>
                <c:pt idx="455">
                  <c:v>5831</c:v>
                </c:pt>
                <c:pt idx="456">
                  <c:v>5831</c:v>
                </c:pt>
                <c:pt idx="457">
                  <c:v>5831</c:v>
                </c:pt>
                <c:pt idx="458">
                  <c:v>5831</c:v>
                </c:pt>
                <c:pt idx="459">
                  <c:v>5831</c:v>
                </c:pt>
                <c:pt idx="460">
                  <c:v>5831</c:v>
                </c:pt>
                <c:pt idx="461">
                  <c:v>5831</c:v>
                </c:pt>
                <c:pt idx="462">
                  <c:v>5831</c:v>
                </c:pt>
                <c:pt idx="463">
                  <c:v>5831</c:v>
                </c:pt>
                <c:pt idx="464">
                  <c:v>5831</c:v>
                </c:pt>
                <c:pt idx="465">
                  <c:v>5831</c:v>
                </c:pt>
                <c:pt idx="466">
                  <c:v>5831</c:v>
                </c:pt>
                <c:pt idx="467">
                  <c:v>5831</c:v>
                </c:pt>
                <c:pt idx="468">
                  <c:v>5831</c:v>
                </c:pt>
                <c:pt idx="469">
                  <c:v>5831</c:v>
                </c:pt>
                <c:pt idx="470">
                  <c:v>5831</c:v>
                </c:pt>
                <c:pt idx="471">
                  <c:v>5831</c:v>
                </c:pt>
                <c:pt idx="472">
                  <c:v>5831</c:v>
                </c:pt>
                <c:pt idx="473">
                  <c:v>5831</c:v>
                </c:pt>
                <c:pt idx="474">
                  <c:v>5831</c:v>
                </c:pt>
                <c:pt idx="475">
                  <c:v>5831</c:v>
                </c:pt>
                <c:pt idx="476">
                  <c:v>5831</c:v>
                </c:pt>
                <c:pt idx="477">
                  <c:v>5831</c:v>
                </c:pt>
                <c:pt idx="478">
                  <c:v>5831</c:v>
                </c:pt>
                <c:pt idx="479">
                  <c:v>5831</c:v>
                </c:pt>
                <c:pt idx="480">
                  <c:v>5831</c:v>
                </c:pt>
                <c:pt idx="481">
                  <c:v>5831</c:v>
                </c:pt>
                <c:pt idx="482">
                  <c:v>5831</c:v>
                </c:pt>
                <c:pt idx="483">
                  <c:v>5831</c:v>
                </c:pt>
                <c:pt idx="484">
                  <c:v>5831</c:v>
                </c:pt>
                <c:pt idx="485">
                  <c:v>5831</c:v>
                </c:pt>
                <c:pt idx="486">
                  <c:v>5831</c:v>
                </c:pt>
                <c:pt idx="487">
                  <c:v>5831</c:v>
                </c:pt>
                <c:pt idx="488">
                  <c:v>5831</c:v>
                </c:pt>
                <c:pt idx="489">
                  <c:v>5831</c:v>
                </c:pt>
                <c:pt idx="490">
                  <c:v>5831</c:v>
                </c:pt>
                <c:pt idx="491">
                  <c:v>5831</c:v>
                </c:pt>
                <c:pt idx="492">
                  <c:v>5831</c:v>
                </c:pt>
                <c:pt idx="493">
                  <c:v>5831</c:v>
                </c:pt>
                <c:pt idx="494">
                  <c:v>5831</c:v>
                </c:pt>
                <c:pt idx="495">
                  <c:v>5831</c:v>
                </c:pt>
                <c:pt idx="496">
                  <c:v>5831</c:v>
                </c:pt>
                <c:pt idx="497">
                  <c:v>5831</c:v>
                </c:pt>
                <c:pt idx="498">
                  <c:v>5831</c:v>
                </c:pt>
                <c:pt idx="499">
                  <c:v>5831</c:v>
                </c:pt>
                <c:pt idx="500">
                  <c:v>5831</c:v>
                </c:pt>
                <c:pt idx="501">
                  <c:v>5831</c:v>
                </c:pt>
                <c:pt idx="502">
                  <c:v>5831</c:v>
                </c:pt>
                <c:pt idx="503">
                  <c:v>5831</c:v>
                </c:pt>
                <c:pt idx="504">
                  <c:v>5831</c:v>
                </c:pt>
                <c:pt idx="505">
                  <c:v>5831</c:v>
                </c:pt>
                <c:pt idx="506">
                  <c:v>5831</c:v>
                </c:pt>
                <c:pt idx="507">
                  <c:v>5831</c:v>
                </c:pt>
                <c:pt idx="508">
                  <c:v>5831</c:v>
                </c:pt>
                <c:pt idx="509">
                  <c:v>5831</c:v>
                </c:pt>
                <c:pt idx="510">
                  <c:v>5831</c:v>
                </c:pt>
                <c:pt idx="511">
                  <c:v>5831</c:v>
                </c:pt>
                <c:pt idx="512">
                  <c:v>5831</c:v>
                </c:pt>
                <c:pt idx="513">
                  <c:v>5831</c:v>
                </c:pt>
                <c:pt idx="514">
                  <c:v>5831</c:v>
                </c:pt>
                <c:pt idx="515">
                  <c:v>5831</c:v>
                </c:pt>
                <c:pt idx="516">
                  <c:v>5831</c:v>
                </c:pt>
                <c:pt idx="517">
                  <c:v>5831</c:v>
                </c:pt>
                <c:pt idx="518">
                  <c:v>5831</c:v>
                </c:pt>
                <c:pt idx="519">
                  <c:v>5831</c:v>
                </c:pt>
                <c:pt idx="520">
                  <c:v>5831</c:v>
                </c:pt>
                <c:pt idx="521">
                  <c:v>5831</c:v>
                </c:pt>
                <c:pt idx="522">
                  <c:v>5831</c:v>
                </c:pt>
                <c:pt idx="523">
                  <c:v>5831</c:v>
                </c:pt>
                <c:pt idx="524">
                  <c:v>5831</c:v>
                </c:pt>
                <c:pt idx="525">
                  <c:v>5831</c:v>
                </c:pt>
                <c:pt idx="526">
                  <c:v>5831</c:v>
                </c:pt>
                <c:pt idx="527">
                  <c:v>5831</c:v>
                </c:pt>
                <c:pt idx="528">
                  <c:v>5831</c:v>
                </c:pt>
                <c:pt idx="529">
                  <c:v>5831</c:v>
                </c:pt>
                <c:pt idx="530">
                  <c:v>5831</c:v>
                </c:pt>
                <c:pt idx="531">
                  <c:v>5831</c:v>
                </c:pt>
                <c:pt idx="532">
                  <c:v>5831</c:v>
                </c:pt>
                <c:pt idx="533">
                  <c:v>5831</c:v>
                </c:pt>
                <c:pt idx="534">
                  <c:v>5831</c:v>
                </c:pt>
                <c:pt idx="535">
                  <c:v>5831</c:v>
                </c:pt>
                <c:pt idx="536">
                  <c:v>5831</c:v>
                </c:pt>
                <c:pt idx="537">
                  <c:v>5831</c:v>
                </c:pt>
                <c:pt idx="538">
                  <c:v>5831</c:v>
                </c:pt>
                <c:pt idx="539">
                  <c:v>5831</c:v>
                </c:pt>
                <c:pt idx="540">
                  <c:v>5831</c:v>
                </c:pt>
                <c:pt idx="541">
                  <c:v>5831</c:v>
                </c:pt>
                <c:pt idx="542">
                  <c:v>5831</c:v>
                </c:pt>
                <c:pt idx="543">
                  <c:v>5831</c:v>
                </c:pt>
                <c:pt idx="544">
                  <c:v>5831</c:v>
                </c:pt>
                <c:pt idx="545">
                  <c:v>5831</c:v>
                </c:pt>
                <c:pt idx="546">
                  <c:v>5831</c:v>
                </c:pt>
                <c:pt idx="547">
                  <c:v>5831</c:v>
                </c:pt>
                <c:pt idx="548">
                  <c:v>5831</c:v>
                </c:pt>
                <c:pt idx="549">
                  <c:v>5831</c:v>
                </c:pt>
                <c:pt idx="550">
                  <c:v>5831</c:v>
                </c:pt>
                <c:pt idx="551">
                  <c:v>5831</c:v>
                </c:pt>
                <c:pt idx="552">
                  <c:v>5831</c:v>
                </c:pt>
                <c:pt idx="553">
                  <c:v>5831</c:v>
                </c:pt>
                <c:pt idx="554">
                  <c:v>5831</c:v>
                </c:pt>
                <c:pt idx="555">
                  <c:v>5831</c:v>
                </c:pt>
                <c:pt idx="556">
                  <c:v>5831</c:v>
                </c:pt>
                <c:pt idx="557">
                  <c:v>5831</c:v>
                </c:pt>
                <c:pt idx="558">
                  <c:v>5831</c:v>
                </c:pt>
                <c:pt idx="559">
                  <c:v>5831</c:v>
                </c:pt>
                <c:pt idx="560">
                  <c:v>5831</c:v>
                </c:pt>
                <c:pt idx="561">
                  <c:v>5831</c:v>
                </c:pt>
                <c:pt idx="562">
                  <c:v>5831</c:v>
                </c:pt>
                <c:pt idx="563">
                  <c:v>5831</c:v>
                </c:pt>
                <c:pt idx="564">
                  <c:v>5831</c:v>
                </c:pt>
                <c:pt idx="565">
                  <c:v>5831</c:v>
                </c:pt>
                <c:pt idx="566">
                  <c:v>5831</c:v>
                </c:pt>
                <c:pt idx="567">
                  <c:v>5831</c:v>
                </c:pt>
                <c:pt idx="568">
                  <c:v>5831</c:v>
                </c:pt>
                <c:pt idx="569">
                  <c:v>5831</c:v>
                </c:pt>
                <c:pt idx="570">
                  <c:v>5831</c:v>
                </c:pt>
                <c:pt idx="571">
                  <c:v>5831</c:v>
                </c:pt>
                <c:pt idx="572">
                  <c:v>5831</c:v>
                </c:pt>
                <c:pt idx="573">
                  <c:v>5831</c:v>
                </c:pt>
                <c:pt idx="574">
                  <c:v>5831</c:v>
                </c:pt>
                <c:pt idx="575">
                  <c:v>5831</c:v>
                </c:pt>
                <c:pt idx="576">
                  <c:v>5831</c:v>
                </c:pt>
                <c:pt idx="577">
                  <c:v>5831</c:v>
                </c:pt>
                <c:pt idx="578">
                  <c:v>5831</c:v>
                </c:pt>
                <c:pt idx="579">
                  <c:v>5831</c:v>
                </c:pt>
                <c:pt idx="580">
                  <c:v>5831</c:v>
                </c:pt>
                <c:pt idx="581">
                  <c:v>5831</c:v>
                </c:pt>
                <c:pt idx="582">
                  <c:v>5831</c:v>
                </c:pt>
                <c:pt idx="583">
                  <c:v>5831</c:v>
                </c:pt>
                <c:pt idx="584">
                  <c:v>5831</c:v>
                </c:pt>
                <c:pt idx="585">
                  <c:v>5831</c:v>
                </c:pt>
                <c:pt idx="586">
                  <c:v>5831</c:v>
                </c:pt>
                <c:pt idx="587">
                  <c:v>5831</c:v>
                </c:pt>
                <c:pt idx="588">
                  <c:v>5831</c:v>
                </c:pt>
                <c:pt idx="589">
                  <c:v>5831</c:v>
                </c:pt>
                <c:pt idx="590">
                  <c:v>5831</c:v>
                </c:pt>
                <c:pt idx="591">
                  <c:v>5831</c:v>
                </c:pt>
                <c:pt idx="592">
                  <c:v>5831</c:v>
                </c:pt>
                <c:pt idx="593">
                  <c:v>5831</c:v>
                </c:pt>
                <c:pt idx="594">
                  <c:v>5831</c:v>
                </c:pt>
                <c:pt idx="595">
                  <c:v>5831</c:v>
                </c:pt>
                <c:pt idx="596">
                  <c:v>5831</c:v>
                </c:pt>
                <c:pt idx="597">
                  <c:v>5831</c:v>
                </c:pt>
                <c:pt idx="598">
                  <c:v>5831</c:v>
                </c:pt>
                <c:pt idx="599">
                  <c:v>5831</c:v>
                </c:pt>
                <c:pt idx="600">
                  <c:v>5831</c:v>
                </c:pt>
                <c:pt idx="601">
                  <c:v>5831</c:v>
                </c:pt>
                <c:pt idx="602">
                  <c:v>5831</c:v>
                </c:pt>
                <c:pt idx="603">
                  <c:v>5831</c:v>
                </c:pt>
                <c:pt idx="604">
                  <c:v>5831</c:v>
                </c:pt>
                <c:pt idx="605">
                  <c:v>5831</c:v>
                </c:pt>
                <c:pt idx="606">
                  <c:v>5831</c:v>
                </c:pt>
                <c:pt idx="607">
                  <c:v>5831</c:v>
                </c:pt>
                <c:pt idx="608">
                  <c:v>5831</c:v>
                </c:pt>
                <c:pt idx="609">
                  <c:v>5831</c:v>
                </c:pt>
                <c:pt idx="610">
                  <c:v>5831</c:v>
                </c:pt>
                <c:pt idx="611">
                  <c:v>5831</c:v>
                </c:pt>
                <c:pt idx="612">
                  <c:v>5831</c:v>
                </c:pt>
                <c:pt idx="613">
                  <c:v>5831</c:v>
                </c:pt>
                <c:pt idx="614">
                  <c:v>5831</c:v>
                </c:pt>
                <c:pt idx="615">
                  <c:v>5831</c:v>
                </c:pt>
                <c:pt idx="616">
                  <c:v>5831</c:v>
                </c:pt>
                <c:pt idx="617">
                  <c:v>5831</c:v>
                </c:pt>
                <c:pt idx="618">
                  <c:v>5831</c:v>
                </c:pt>
                <c:pt idx="619">
                  <c:v>5831</c:v>
                </c:pt>
                <c:pt idx="620">
                  <c:v>5831</c:v>
                </c:pt>
                <c:pt idx="621">
                  <c:v>5831</c:v>
                </c:pt>
                <c:pt idx="622">
                  <c:v>5831</c:v>
                </c:pt>
                <c:pt idx="623">
                  <c:v>5831</c:v>
                </c:pt>
                <c:pt idx="624">
                  <c:v>5831</c:v>
                </c:pt>
                <c:pt idx="625">
                  <c:v>5831</c:v>
                </c:pt>
                <c:pt idx="626">
                  <c:v>5831</c:v>
                </c:pt>
                <c:pt idx="627">
                  <c:v>5831</c:v>
                </c:pt>
                <c:pt idx="628">
                  <c:v>5831</c:v>
                </c:pt>
                <c:pt idx="629">
                  <c:v>5831</c:v>
                </c:pt>
                <c:pt idx="630">
                  <c:v>5831</c:v>
                </c:pt>
                <c:pt idx="631">
                  <c:v>5831</c:v>
                </c:pt>
                <c:pt idx="632">
                  <c:v>5831</c:v>
                </c:pt>
                <c:pt idx="633">
                  <c:v>5831</c:v>
                </c:pt>
                <c:pt idx="634">
                  <c:v>5831</c:v>
                </c:pt>
                <c:pt idx="635">
                  <c:v>5831</c:v>
                </c:pt>
                <c:pt idx="636">
                  <c:v>5831</c:v>
                </c:pt>
                <c:pt idx="637">
                  <c:v>5831</c:v>
                </c:pt>
                <c:pt idx="638">
                  <c:v>5831</c:v>
                </c:pt>
                <c:pt idx="639">
                  <c:v>5831</c:v>
                </c:pt>
                <c:pt idx="640">
                  <c:v>5831</c:v>
                </c:pt>
                <c:pt idx="641">
                  <c:v>5831</c:v>
                </c:pt>
                <c:pt idx="642">
                  <c:v>5831</c:v>
                </c:pt>
                <c:pt idx="643">
                  <c:v>5831</c:v>
                </c:pt>
                <c:pt idx="644">
                  <c:v>5831</c:v>
                </c:pt>
                <c:pt idx="645">
                  <c:v>5831</c:v>
                </c:pt>
                <c:pt idx="646">
                  <c:v>5831</c:v>
                </c:pt>
                <c:pt idx="647">
                  <c:v>5831</c:v>
                </c:pt>
                <c:pt idx="648">
                  <c:v>5831</c:v>
                </c:pt>
                <c:pt idx="649">
                  <c:v>5831</c:v>
                </c:pt>
                <c:pt idx="650">
                  <c:v>5831</c:v>
                </c:pt>
                <c:pt idx="651">
                  <c:v>5831</c:v>
                </c:pt>
                <c:pt idx="652">
                  <c:v>5831</c:v>
                </c:pt>
                <c:pt idx="653">
                  <c:v>5831</c:v>
                </c:pt>
                <c:pt idx="654">
                  <c:v>5831</c:v>
                </c:pt>
                <c:pt idx="655">
                  <c:v>5831</c:v>
                </c:pt>
                <c:pt idx="656">
                  <c:v>5831</c:v>
                </c:pt>
                <c:pt idx="657">
                  <c:v>5831</c:v>
                </c:pt>
                <c:pt idx="658">
                  <c:v>5831</c:v>
                </c:pt>
                <c:pt idx="659">
                  <c:v>5831</c:v>
                </c:pt>
                <c:pt idx="660">
                  <c:v>5831</c:v>
                </c:pt>
                <c:pt idx="661">
                  <c:v>5831</c:v>
                </c:pt>
                <c:pt idx="662">
                  <c:v>5831</c:v>
                </c:pt>
                <c:pt idx="663">
                  <c:v>5831</c:v>
                </c:pt>
                <c:pt idx="664">
                  <c:v>5831</c:v>
                </c:pt>
                <c:pt idx="665">
                  <c:v>5831</c:v>
                </c:pt>
                <c:pt idx="666">
                  <c:v>5831</c:v>
                </c:pt>
                <c:pt idx="667">
                  <c:v>5831</c:v>
                </c:pt>
                <c:pt idx="668">
                  <c:v>5831</c:v>
                </c:pt>
                <c:pt idx="669">
                  <c:v>5831</c:v>
                </c:pt>
                <c:pt idx="670">
                  <c:v>5831</c:v>
                </c:pt>
                <c:pt idx="671">
                  <c:v>5831</c:v>
                </c:pt>
                <c:pt idx="672">
                  <c:v>5831</c:v>
                </c:pt>
                <c:pt idx="673">
                  <c:v>5831</c:v>
                </c:pt>
                <c:pt idx="674">
                  <c:v>5831</c:v>
                </c:pt>
                <c:pt idx="675">
                  <c:v>5831</c:v>
                </c:pt>
                <c:pt idx="676">
                  <c:v>5831</c:v>
                </c:pt>
                <c:pt idx="677">
                  <c:v>5831</c:v>
                </c:pt>
                <c:pt idx="678">
                  <c:v>5831</c:v>
                </c:pt>
                <c:pt idx="679">
                  <c:v>5831</c:v>
                </c:pt>
                <c:pt idx="680">
                  <c:v>5831</c:v>
                </c:pt>
                <c:pt idx="681">
                  <c:v>5831</c:v>
                </c:pt>
                <c:pt idx="682">
                  <c:v>5831</c:v>
                </c:pt>
                <c:pt idx="683">
                  <c:v>5831</c:v>
                </c:pt>
                <c:pt idx="684">
                  <c:v>5831</c:v>
                </c:pt>
                <c:pt idx="685">
                  <c:v>5831</c:v>
                </c:pt>
                <c:pt idx="686">
                  <c:v>5831</c:v>
                </c:pt>
                <c:pt idx="687">
                  <c:v>5831</c:v>
                </c:pt>
                <c:pt idx="688">
                  <c:v>5831</c:v>
                </c:pt>
                <c:pt idx="689">
                  <c:v>5831</c:v>
                </c:pt>
                <c:pt idx="690">
                  <c:v>5831</c:v>
                </c:pt>
                <c:pt idx="691">
                  <c:v>5831</c:v>
                </c:pt>
                <c:pt idx="692">
                  <c:v>5831</c:v>
                </c:pt>
                <c:pt idx="693">
                  <c:v>5831</c:v>
                </c:pt>
                <c:pt idx="694">
                  <c:v>5831</c:v>
                </c:pt>
                <c:pt idx="695">
                  <c:v>5831</c:v>
                </c:pt>
                <c:pt idx="696">
                  <c:v>5831</c:v>
                </c:pt>
                <c:pt idx="697">
                  <c:v>5831</c:v>
                </c:pt>
                <c:pt idx="698">
                  <c:v>5831</c:v>
                </c:pt>
                <c:pt idx="699">
                  <c:v>5831</c:v>
                </c:pt>
                <c:pt idx="700">
                  <c:v>5831</c:v>
                </c:pt>
                <c:pt idx="701">
                  <c:v>5831</c:v>
                </c:pt>
                <c:pt idx="702">
                  <c:v>5831</c:v>
                </c:pt>
                <c:pt idx="703">
                  <c:v>5831</c:v>
                </c:pt>
                <c:pt idx="704">
                  <c:v>5831</c:v>
                </c:pt>
                <c:pt idx="705">
                  <c:v>5831</c:v>
                </c:pt>
                <c:pt idx="706">
                  <c:v>5831</c:v>
                </c:pt>
                <c:pt idx="707">
                  <c:v>5831</c:v>
                </c:pt>
                <c:pt idx="708">
                  <c:v>5831</c:v>
                </c:pt>
                <c:pt idx="709">
                  <c:v>5831</c:v>
                </c:pt>
                <c:pt idx="710">
                  <c:v>5831</c:v>
                </c:pt>
                <c:pt idx="711">
                  <c:v>5831</c:v>
                </c:pt>
                <c:pt idx="712">
                  <c:v>5831</c:v>
                </c:pt>
                <c:pt idx="713">
                  <c:v>5831</c:v>
                </c:pt>
                <c:pt idx="714">
                  <c:v>5831</c:v>
                </c:pt>
                <c:pt idx="715">
                  <c:v>5831</c:v>
                </c:pt>
                <c:pt idx="716">
                  <c:v>5831</c:v>
                </c:pt>
                <c:pt idx="717">
                  <c:v>5831</c:v>
                </c:pt>
                <c:pt idx="718">
                  <c:v>5831</c:v>
                </c:pt>
                <c:pt idx="719">
                  <c:v>5831</c:v>
                </c:pt>
                <c:pt idx="720">
                  <c:v>5831</c:v>
                </c:pt>
                <c:pt idx="721">
                  <c:v>5831</c:v>
                </c:pt>
                <c:pt idx="722">
                  <c:v>5831</c:v>
                </c:pt>
                <c:pt idx="723">
                  <c:v>5831</c:v>
                </c:pt>
                <c:pt idx="724">
                  <c:v>5831</c:v>
                </c:pt>
                <c:pt idx="725">
                  <c:v>5831</c:v>
                </c:pt>
                <c:pt idx="726">
                  <c:v>5831</c:v>
                </c:pt>
                <c:pt idx="727">
                  <c:v>5831</c:v>
                </c:pt>
                <c:pt idx="728">
                  <c:v>5831</c:v>
                </c:pt>
                <c:pt idx="729">
                  <c:v>5831</c:v>
                </c:pt>
                <c:pt idx="730">
                  <c:v>5831</c:v>
                </c:pt>
                <c:pt idx="731">
                  <c:v>5831</c:v>
                </c:pt>
                <c:pt idx="732">
                  <c:v>5831</c:v>
                </c:pt>
                <c:pt idx="733">
                  <c:v>5831</c:v>
                </c:pt>
                <c:pt idx="734">
                  <c:v>5831</c:v>
                </c:pt>
                <c:pt idx="735">
                  <c:v>5831</c:v>
                </c:pt>
                <c:pt idx="736">
                  <c:v>5831</c:v>
                </c:pt>
                <c:pt idx="737">
                  <c:v>5831</c:v>
                </c:pt>
                <c:pt idx="738">
                  <c:v>5831</c:v>
                </c:pt>
                <c:pt idx="739">
                  <c:v>5831</c:v>
                </c:pt>
                <c:pt idx="740">
                  <c:v>5831</c:v>
                </c:pt>
                <c:pt idx="741">
                  <c:v>5831</c:v>
                </c:pt>
                <c:pt idx="742">
                  <c:v>5831</c:v>
                </c:pt>
                <c:pt idx="743">
                  <c:v>5831</c:v>
                </c:pt>
                <c:pt idx="744">
                  <c:v>5831</c:v>
                </c:pt>
                <c:pt idx="745">
                  <c:v>5831</c:v>
                </c:pt>
                <c:pt idx="746">
                  <c:v>5831</c:v>
                </c:pt>
                <c:pt idx="747">
                  <c:v>5831</c:v>
                </c:pt>
                <c:pt idx="748">
                  <c:v>5831</c:v>
                </c:pt>
                <c:pt idx="749">
                  <c:v>5831</c:v>
                </c:pt>
                <c:pt idx="750">
                  <c:v>5831</c:v>
                </c:pt>
                <c:pt idx="751">
                  <c:v>5831</c:v>
                </c:pt>
                <c:pt idx="752">
                  <c:v>5831</c:v>
                </c:pt>
                <c:pt idx="753">
                  <c:v>5831</c:v>
                </c:pt>
                <c:pt idx="754">
                  <c:v>5831</c:v>
                </c:pt>
                <c:pt idx="755">
                  <c:v>5831</c:v>
                </c:pt>
                <c:pt idx="756">
                  <c:v>5831</c:v>
                </c:pt>
                <c:pt idx="757">
                  <c:v>5831</c:v>
                </c:pt>
                <c:pt idx="758">
                  <c:v>5831</c:v>
                </c:pt>
                <c:pt idx="759">
                  <c:v>5831</c:v>
                </c:pt>
                <c:pt idx="760">
                  <c:v>5831</c:v>
                </c:pt>
                <c:pt idx="761">
                  <c:v>5831</c:v>
                </c:pt>
                <c:pt idx="762">
                  <c:v>5831</c:v>
                </c:pt>
                <c:pt idx="763">
                  <c:v>5831</c:v>
                </c:pt>
                <c:pt idx="764">
                  <c:v>5831</c:v>
                </c:pt>
                <c:pt idx="765">
                  <c:v>5831</c:v>
                </c:pt>
                <c:pt idx="766">
                  <c:v>5831</c:v>
                </c:pt>
                <c:pt idx="767">
                  <c:v>5831</c:v>
                </c:pt>
                <c:pt idx="768">
                  <c:v>5831</c:v>
                </c:pt>
                <c:pt idx="769">
                  <c:v>5831</c:v>
                </c:pt>
                <c:pt idx="770">
                  <c:v>5831</c:v>
                </c:pt>
                <c:pt idx="771">
                  <c:v>5831</c:v>
                </c:pt>
                <c:pt idx="772">
                  <c:v>5831</c:v>
                </c:pt>
                <c:pt idx="773">
                  <c:v>5831</c:v>
                </c:pt>
                <c:pt idx="774">
                  <c:v>5831</c:v>
                </c:pt>
                <c:pt idx="775">
                  <c:v>5831</c:v>
                </c:pt>
                <c:pt idx="776">
                  <c:v>5831</c:v>
                </c:pt>
                <c:pt idx="777">
                  <c:v>5831</c:v>
                </c:pt>
                <c:pt idx="778">
                  <c:v>5831</c:v>
                </c:pt>
                <c:pt idx="779">
                  <c:v>5831</c:v>
                </c:pt>
                <c:pt idx="780">
                  <c:v>5831</c:v>
                </c:pt>
                <c:pt idx="781">
                  <c:v>5831</c:v>
                </c:pt>
                <c:pt idx="782">
                  <c:v>5831</c:v>
                </c:pt>
                <c:pt idx="783">
                  <c:v>5831</c:v>
                </c:pt>
                <c:pt idx="784">
                  <c:v>5831</c:v>
                </c:pt>
                <c:pt idx="785">
                  <c:v>5831</c:v>
                </c:pt>
                <c:pt idx="786">
                  <c:v>5831</c:v>
                </c:pt>
                <c:pt idx="787">
                  <c:v>5831</c:v>
                </c:pt>
                <c:pt idx="788">
                  <c:v>5831</c:v>
                </c:pt>
                <c:pt idx="789">
                  <c:v>5831</c:v>
                </c:pt>
                <c:pt idx="790">
                  <c:v>5831</c:v>
                </c:pt>
                <c:pt idx="791">
                  <c:v>5831</c:v>
                </c:pt>
                <c:pt idx="792">
                  <c:v>5831</c:v>
                </c:pt>
                <c:pt idx="793">
                  <c:v>5831</c:v>
                </c:pt>
                <c:pt idx="794">
                  <c:v>5831</c:v>
                </c:pt>
                <c:pt idx="795">
                  <c:v>5831</c:v>
                </c:pt>
                <c:pt idx="796">
                  <c:v>5831</c:v>
                </c:pt>
                <c:pt idx="797">
                  <c:v>5831</c:v>
                </c:pt>
                <c:pt idx="798">
                  <c:v>5831</c:v>
                </c:pt>
                <c:pt idx="799">
                  <c:v>5831</c:v>
                </c:pt>
                <c:pt idx="800">
                  <c:v>5831</c:v>
                </c:pt>
                <c:pt idx="801">
                  <c:v>5831</c:v>
                </c:pt>
                <c:pt idx="802">
                  <c:v>5831</c:v>
                </c:pt>
                <c:pt idx="803">
                  <c:v>5831</c:v>
                </c:pt>
                <c:pt idx="804">
                  <c:v>5831</c:v>
                </c:pt>
                <c:pt idx="805">
                  <c:v>5831</c:v>
                </c:pt>
                <c:pt idx="806">
                  <c:v>5831</c:v>
                </c:pt>
                <c:pt idx="807">
                  <c:v>5831</c:v>
                </c:pt>
                <c:pt idx="808">
                  <c:v>5831</c:v>
                </c:pt>
                <c:pt idx="809">
                  <c:v>5831</c:v>
                </c:pt>
                <c:pt idx="810">
                  <c:v>5831</c:v>
                </c:pt>
                <c:pt idx="811">
                  <c:v>5831</c:v>
                </c:pt>
                <c:pt idx="812">
                  <c:v>5831</c:v>
                </c:pt>
                <c:pt idx="813">
                  <c:v>5831</c:v>
                </c:pt>
                <c:pt idx="814">
                  <c:v>5831</c:v>
                </c:pt>
                <c:pt idx="815">
                  <c:v>5831</c:v>
                </c:pt>
                <c:pt idx="816">
                  <c:v>5831</c:v>
                </c:pt>
                <c:pt idx="817">
                  <c:v>5831</c:v>
                </c:pt>
                <c:pt idx="818">
                  <c:v>5831</c:v>
                </c:pt>
                <c:pt idx="819">
                  <c:v>5831</c:v>
                </c:pt>
                <c:pt idx="820">
                  <c:v>5831</c:v>
                </c:pt>
                <c:pt idx="821">
                  <c:v>5831</c:v>
                </c:pt>
                <c:pt idx="822">
                  <c:v>5831</c:v>
                </c:pt>
                <c:pt idx="823">
                  <c:v>5831</c:v>
                </c:pt>
                <c:pt idx="824">
                  <c:v>5831</c:v>
                </c:pt>
                <c:pt idx="825">
                  <c:v>5831</c:v>
                </c:pt>
                <c:pt idx="826">
                  <c:v>5831</c:v>
                </c:pt>
                <c:pt idx="827">
                  <c:v>5831</c:v>
                </c:pt>
                <c:pt idx="828">
                  <c:v>5831</c:v>
                </c:pt>
                <c:pt idx="829">
                  <c:v>5831</c:v>
                </c:pt>
                <c:pt idx="830">
                  <c:v>5831</c:v>
                </c:pt>
                <c:pt idx="831">
                  <c:v>5831</c:v>
                </c:pt>
                <c:pt idx="832">
                  <c:v>5831</c:v>
                </c:pt>
                <c:pt idx="833">
                  <c:v>5831</c:v>
                </c:pt>
                <c:pt idx="834">
                  <c:v>5831</c:v>
                </c:pt>
                <c:pt idx="835">
                  <c:v>5831</c:v>
                </c:pt>
                <c:pt idx="836">
                  <c:v>5831</c:v>
                </c:pt>
                <c:pt idx="837">
                  <c:v>5831</c:v>
                </c:pt>
                <c:pt idx="838">
                  <c:v>5831</c:v>
                </c:pt>
                <c:pt idx="839">
                  <c:v>5831</c:v>
                </c:pt>
                <c:pt idx="840">
                  <c:v>5831</c:v>
                </c:pt>
                <c:pt idx="841">
                  <c:v>5831</c:v>
                </c:pt>
                <c:pt idx="842">
                  <c:v>5831</c:v>
                </c:pt>
                <c:pt idx="843">
                  <c:v>5831</c:v>
                </c:pt>
                <c:pt idx="844">
                  <c:v>5831</c:v>
                </c:pt>
                <c:pt idx="845">
                  <c:v>5831</c:v>
                </c:pt>
                <c:pt idx="846">
                  <c:v>5831</c:v>
                </c:pt>
                <c:pt idx="847">
                  <c:v>5831</c:v>
                </c:pt>
                <c:pt idx="848">
                  <c:v>5831</c:v>
                </c:pt>
                <c:pt idx="849">
                  <c:v>5831</c:v>
                </c:pt>
                <c:pt idx="850">
                  <c:v>5831</c:v>
                </c:pt>
                <c:pt idx="851">
                  <c:v>5831</c:v>
                </c:pt>
                <c:pt idx="852">
                  <c:v>5831</c:v>
                </c:pt>
                <c:pt idx="853">
                  <c:v>5831</c:v>
                </c:pt>
                <c:pt idx="854">
                  <c:v>5831</c:v>
                </c:pt>
                <c:pt idx="855">
                  <c:v>5831</c:v>
                </c:pt>
                <c:pt idx="856">
                  <c:v>5831</c:v>
                </c:pt>
                <c:pt idx="857">
                  <c:v>5831</c:v>
                </c:pt>
                <c:pt idx="858">
                  <c:v>5831</c:v>
                </c:pt>
                <c:pt idx="859">
                  <c:v>5831</c:v>
                </c:pt>
                <c:pt idx="860">
                  <c:v>5831</c:v>
                </c:pt>
                <c:pt idx="861">
                  <c:v>5831</c:v>
                </c:pt>
                <c:pt idx="862">
                  <c:v>5831</c:v>
                </c:pt>
                <c:pt idx="863">
                  <c:v>5831</c:v>
                </c:pt>
                <c:pt idx="864">
                  <c:v>5831</c:v>
                </c:pt>
                <c:pt idx="865">
                  <c:v>5831</c:v>
                </c:pt>
                <c:pt idx="866">
                  <c:v>5831</c:v>
                </c:pt>
                <c:pt idx="867">
                  <c:v>5831</c:v>
                </c:pt>
                <c:pt idx="868">
                  <c:v>5831</c:v>
                </c:pt>
                <c:pt idx="869">
                  <c:v>5831</c:v>
                </c:pt>
                <c:pt idx="870">
                  <c:v>5831</c:v>
                </c:pt>
                <c:pt idx="871">
                  <c:v>5831</c:v>
                </c:pt>
                <c:pt idx="872">
                  <c:v>5831</c:v>
                </c:pt>
                <c:pt idx="873">
                  <c:v>5831</c:v>
                </c:pt>
                <c:pt idx="874">
                  <c:v>5831</c:v>
                </c:pt>
                <c:pt idx="875">
                  <c:v>5831</c:v>
                </c:pt>
                <c:pt idx="876">
                  <c:v>5831</c:v>
                </c:pt>
                <c:pt idx="877">
                  <c:v>5831</c:v>
                </c:pt>
                <c:pt idx="878">
                  <c:v>5831</c:v>
                </c:pt>
                <c:pt idx="879">
                  <c:v>5831</c:v>
                </c:pt>
                <c:pt idx="880">
                  <c:v>5831</c:v>
                </c:pt>
                <c:pt idx="881">
                  <c:v>5831</c:v>
                </c:pt>
                <c:pt idx="882">
                  <c:v>5831</c:v>
                </c:pt>
                <c:pt idx="883">
                  <c:v>5831</c:v>
                </c:pt>
                <c:pt idx="884">
                  <c:v>5831</c:v>
                </c:pt>
                <c:pt idx="885">
                  <c:v>5831</c:v>
                </c:pt>
                <c:pt idx="886">
                  <c:v>5831</c:v>
                </c:pt>
                <c:pt idx="887">
                  <c:v>5831</c:v>
                </c:pt>
                <c:pt idx="888">
                  <c:v>5831</c:v>
                </c:pt>
                <c:pt idx="889">
                  <c:v>5831</c:v>
                </c:pt>
                <c:pt idx="890">
                  <c:v>5831</c:v>
                </c:pt>
                <c:pt idx="891">
                  <c:v>5831</c:v>
                </c:pt>
                <c:pt idx="892">
                  <c:v>5831</c:v>
                </c:pt>
                <c:pt idx="893">
                  <c:v>5831</c:v>
                </c:pt>
                <c:pt idx="894">
                  <c:v>5831</c:v>
                </c:pt>
                <c:pt idx="895">
                  <c:v>5831</c:v>
                </c:pt>
                <c:pt idx="896">
                  <c:v>5831</c:v>
                </c:pt>
                <c:pt idx="897">
                  <c:v>5831</c:v>
                </c:pt>
                <c:pt idx="898">
                  <c:v>5831</c:v>
                </c:pt>
                <c:pt idx="899">
                  <c:v>5831</c:v>
                </c:pt>
                <c:pt idx="900">
                  <c:v>5831</c:v>
                </c:pt>
                <c:pt idx="901">
                  <c:v>5831</c:v>
                </c:pt>
                <c:pt idx="902">
                  <c:v>5831</c:v>
                </c:pt>
                <c:pt idx="903">
                  <c:v>5831</c:v>
                </c:pt>
                <c:pt idx="904">
                  <c:v>5831</c:v>
                </c:pt>
                <c:pt idx="905">
                  <c:v>5831</c:v>
                </c:pt>
                <c:pt idx="906">
                  <c:v>5831</c:v>
                </c:pt>
                <c:pt idx="907">
                  <c:v>5831</c:v>
                </c:pt>
                <c:pt idx="908">
                  <c:v>5831</c:v>
                </c:pt>
                <c:pt idx="909">
                  <c:v>5831</c:v>
                </c:pt>
                <c:pt idx="910">
                  <c:v>5831</c:v>
                </c:pt>
                <c:pt idx="911">
                  <c:v>5831</c:v>
                </c:pt>
                <c:pt idx="912">
                  <c:v>5831</c:v>
                </c:pt>
                <c:pt idx="913">
                  <c:v>5831</c:v>
                </c:pt>
                <c:pt idx="914">
                  <c:v>5831</c:v>
                </c:pt>
                <c:pt idx="915">
                  <c:v>5831</c:v>
                </c:pt>
                <c:pt idx="916">
                  <c:v>5831</c:v>
                </c:pt>
                <c:pt idx="917">
                  <c:v>5831</c:v>
                </c:pt>
                <c:pt idx="918">
                  <c:v>5831</c:v>
                </c:pt>
                <c:pt idx="919">
                  <c:v>5831</c:v>
                </c:pt>
                <c:pt idx="920">
                  <c:v>5831</c:v>
                </c:pt>
                <c:pt idx="921">
                  <c:v>5831</c:v>
                </c:pt>
                <c:pt idx="922">
                  <c:v>5831</c:v>
                </c:pt>
                <c:pt idx="923">
                  <c:v>5831</c:v>
                </c:pt>
                <c:pt idx="924">
                  <c:v>5831</c:v>
                </c:pt>
                <c:pt idx="925">
                  <c:v>5831</c:v>
                </c:pt>
                <c:pt idx="926">
                  <c:v>5831</c:v>
                </c:pt>
                <c:pt idx="927">
                  <c:v>5831</c:v>
                </c:pt>
                <c:pt idx="928">
                  <c:v>5831</c:v>
                </c:pt>
                <c:pt idx="929">
                  <c:v>5831</c:v>
                </c:pt>
                <c:pt idx="930">
                  <c:v>5831</c:v>
                </c:pt>
                <c:pt idx="931">
                  <c:v>5831</c:v>
                </c:pt>
                <c:pt idx="932">
                  <c:v>5831</c:v>
                </c:pt>
                <c:pt idx="933">
                  <c:v>5831</c:v>
                </c:pt>
                <c:pt idx="934">
                  <c:v>5831</c:v>
                </c:pt>
                <c:pt idx="935">
                  <c:v>5831</c:v>
                </c:pt>
                <c:pt idx="936">
                  <c:v>5831</c:v>
                </c:pt>
                <c:pt idx="937">
                  <c:v>5831</c:v>
                </c:pt>
                <c:pt idx="938">
                  <c:v>5831</c:v>
                </c:pt>
                <c:pt idx="939">
                  <c:v>5831</c:v>
                </c:pt>
                <c:pt idx="940">
                  <c:v>5831</c:v>
                </c:pt>
                <c:pt idx="941">
                  <c:v>5831</c:v>
                </c:pt>
                <c:pt idx="942">
                  <c:v>5831</c:v>
                </c:pt>
                <c:pt idx="943">
                  <c:v>5831</c:v>
                </c:pt>
                <c:pt idx="944">
                  <c:v>5831</c:v>
                </c:pt>
                <c:pt idx="945">
                  <c:v>5831</c:v>
                </c:pt>
                <c:pt idx="946">
                  <c:v>5831</c:v>
                </c:pt>
                <c:pt idx="947">
                  <c:v>5831</c:v>
                </c:pt>
                <c:pt idx="948">
                  <c:v>5831</c:v>
                </c:pt>
                <c:pt idx="949">
                  <c:v>5831</c:v>
                </c:pt>
                <c:pt idx="950">
                  <c:v>5831</c:v>
                </c:pt>
                <c:pt idx="951">
                  <c:v>5831</c:v>
                </c:pt>
                <c:pt idx="952">
                  <c:v>5831</c:v>
                </c:pt>
                <c:pt idx="953">
                  <c:v>5831</c:v>
                </c:pt>
                <c:pt idx="954">
                  <c:v>5831</c:v>
                </c:pt>
                <c:pt idx="955">
                  <c:v>5831</c:v>
                </c:pt>
                <c:pt idx="956">
                  <c:v>5831</c:v>
                </c:pt>
                <c:pt idx="957">
                  <c:v>5831</c:v>
                </c:pt>
                <c:pt idx="958">
                  <c:v>5831</c:v>
                </c:pt>
                <c:pt idx="959">
                  <c:v>5831</c:v>
                </c:pt>
                <c:pt idx="960">
                  <c:v>5831</c:v>
                </c:pt>
                <c:pt idx="961">
                  <c:v>5831</c:v>
                </c:pt>
                <c:pt idx="962">
                  <c:v>5831</c:v>
                </c:pt>
                <c:pt idx="963">
                  <c:v>5831</c:v>
                </c:pt>
                <c:pt idx="964">
                  <c:v>5831</c:v>
                </c:pt>
                <c:pt idx="965">
                  <c:v>5831</c:v>
                </c:pt>
                <c:pt idx="966">
                  <c:v>5831</c:v>
                </c:pt>
                <c:pt idx="967">
                  <c:v>5831</c:v>
                </c:pt>
                <c:pt idx="968">
                  <c:v>5831</c:v>
                </c:pt>
                <c:pt idx="969">
                  <c:v>5831</c:v>
                </c:pt>
                <c:pt idx="970">
                  <c:v>5831</c:v>
                </c:pt>
                <c:pt idx="971">
                  <c:v>5831</c:v>
                </c:pt>
                <c:pt idx="972">
                  <c:v>5831</c:v>
                </c:pt>
                <c:pt idx="973">
                  <c:v>5831</c:v>
                </c:pt>
                <c:pt idx="974">
                  <c:v>5831</c:v>
                </c:pt>
                <c:pt idx="975">
                  <c:v>5831</c:v>
                </c:pt>
                <c:pt idx="976">
                  <c:v>5831</c:v>
                </c:pt>
                <c:pt idx="977">
                  <c:v>5831</c:v>
                </c:pt>
                <c:pt idx="978">
                  <c:v>5831</c:v>
                </c:pt>
                <c:pt idx="979">
                  <c:v>5831</c:v>
                </c:pt>
                <c:pt idx="980">
                  <c:v>5831</c:v>
                </c:pt>
                <c:pt idx="981">
                  <c:v>5831</c:v>
                </c:pt>
                <c:pt idx="982">
                  <c:v>5831</c:v>
                </c:pt>
                <c:pt idx="983">
                  <c:v>5831</c:v>
                </c:pt>
                <c:pt idx="984">
                  <c:v>5831</c:v>
                </c:pt>
                <c:pt idx="985">
                  <c:v>5831</c:v>
                </c:pt>
                <c:pt idx="986">
                  <c:v>5831</c:v>
                </c:pt>
                <c:pt idx="987">
                  <c:v>5831</c:v>
                </c:pt>
                <c:pt idx="988">
                  <c:v>5831</c:v>
                </c:pt>
                <c:pt idx="989">
                  <c:v>5831</c:v>
                </c:pt>
                <c:pt idx="990">
                  <c:v>5831</c:v>
                </c:pt>
                <c:pt idx="991">
                  <c:v>5831</c:v>
                </c:pt>
                <c:pt idx="992">
                  <c:v>5831</c:v>
                </c:pt>
                <c:pt idx="993">
                  <c:v>5831</c:v>
                </c:pt>
                <c:pt idx="994">
                  <c:v>5831</c:v>
                </c:pt>
                <c:pt idx="995">
                  <c:v>5831</c:v>
                </c:pt>
                <c:pt idx="996">
                  <c:v>5831</c:v>
                </c:pt>
                <c:pt idx="997">
                  <c:v>5831</c:v>
                </c:pt>
                <c:pt idx="998">
                  <c:v>5831</c:v>
                </c:pt>
                <c:pt idx="999">
                  <c:v>5831</c:v>
                </c:pt>
                <c:pt idx="1000">
                  <c:v>5831</c:v>
                </c:pt>
                <c:pt idx="1001">
                  <c:v>5831</c:v>
                </c:pt>
                <c:pt idx="1002">
                  <c:v>5831</c:v>
                </c:pt>
                <c:pt idx="1003">
                  <c:v>5831</c:v>
                </c:pt>
                <c:pt idx="1004">
                  <c:v>5831</c:v>
                </c:pt>
                <c:pt idx="1005">
                  <c:v>5831</c:v>
                </c:pt>
                <c:pt idx="1006">
                  <c:v>5831</c:v>
                </c:pt>
                <c:pt idx="1007">
                  <c:v>5831</c:v>
                </c:pt>
                <c:pt idx="1008">
                  <c:v>5831</c:v>
                </c:pt>
                <c:pt idx="1009">
                  <c:v>5831</c:v>
                </c:pt>
                <c:pt idx="1010">
                  <c:v>5831</c:v>
                </c:pt>
                <c:pt idx="1011">
                  <c:v>5831</c:v>
                </c:pt>
                <c:pt idx="1012">
                  <c:v>5831</c:v>
                </c:pt>
                <c:pt idx="1013">
                  <c:v>5831</c:v>
                </c:pt>
                <c:pt idx="1014">
                  <c:v>5831</c:v>
                </c:pt>
                <c:pt idx="1015">
                  <c:v>5831</c:v>
                </c:pt>
                <c:pt idx="1016">
                  <c:v>5831</c:v>
                </c:pt>
                <c:pt idx="1017">
                  <c:v>5831</c:v>
                </c:pt>
                <c:pt idx="1018">
                  <c:v>5831</c:v>
                </c:pt>
                <c:pt idx="1019">
                  <c:v>5831</c:v>
                </c:pt>
                <c:pt idx="1020">
                  <c:v>5831</c:v>
                </c:pt>
                <c:pt idx="1021">
                  <c:v>5831</c:v>
                </c:pt>
                <c:pt idx="1022">
                  <c:v>5831</c:v>
                </c:pt>
                <c:pt idx="1023">
                  <c:v>5831</c:v>
                </c:pt>
                <c:pt idx="1024">
                  <c:v>5831</c:v>
                </c:pt>
                <c:pt idx="1025">
                  <c:v>5831</c:v>
                </c:pt>
                <c:pt idx="1026">
                  <c:v>5831</c:v>
                </c:pt>
                <c:pt idx="1027">
                  <c:v>5831</c:v>
                </c:pt>
                <c:pt idx="1028">
                  <c:v>5831</c:v>
                </c:pt>
                <c:pt idx="1029">
                  <c:v>5831</c:v>
                </c:pt>
                <c:pt idx="1030">
                  <c:v>5831</c:v>
                </c:pt>
                <c:pt idx="1031">
                  <c:v>5831</c:v>
                </c:pt>
                <c:pt idx="1032">
                  <c:v>5831</c:v>
                </c:pt>
                <c:pt idx="1033">
                  <c:v>5831</c:v>
                </c:pt>
                <c:pt idx="1034">
                  <c:v>5831</c:v>
                </c:pt>
                <c:pt idx="1035">
                  <c:v>5831</c:v>
                </c:pt>
                <c:pt idx="1036">
                  <c:v>5831</c:v>
                </c:pt>
                <c:pt idx="1037">
                  <c:v>5831</c:v>
                </c:pt>
                <c:pt idx="1038">
                  <c:v>5831</c:v>
                </c:pt>
                <c:pt idx="1039">
                  <c:v>5831</c:v>
                </c:pt>
                <c:pt idx="1040">
                  <c:v>5831</c:v>
                </c:pt>
                <c:pt idx="1041">
                  <c:v>5831</c:v>
                </c:pt>
                <c:pt idx="1042">
                  <c:v>5831</c:v>
                </c:pt>
                <c:pt idx="1043">
                  <c:v>5831</c:v>
                </c:pt>
                <c:pt idx="1044">
                  <c:v>5831</c:v>
                </c:pt>
                <c:pt idx="1045">
                  <c:v>5831</c:v>
                </c:pt>
                <c:pt idx="1046">
                  <c:v>5831</c:v>
                </c:pt>
                <c:pt idx="1047">
                  <c:v>5831</c:v>
                </c:pt>
                <c:pt idx="1048">
                  <c:v>5831</c:v>
                </c:pt>
                <c:pt idx="1049">
                  <c:v>5831</c:v>
                </c:pt>
                <c:pt idx="1050">
                  <c:v>5831</c:v>
                </c:pt>
                <c:pt idx="1051">
                  <c:v>5831</c:v>
                </c:pt>
                <c:pt idx="1052">
                  <c:v>5831</c:v>
                </c:pt>
                <c:pt idx="1053">
                  <c:v>5831</c:v>
                </c:pt>
                <c:pt idx="1054">
                  <c:v>5831</c:v>
                </c:pt>
                <c:pt idx="1055">
                  <c:v>5831</c:v>
                </c:pt>
                <c:pt idx="1056">
                  <c:v>5831</c:v>
                </c:pt>
                <c:pt idx="1057">
                  <c:v>5831</c:v>
                </c:pt>
                <c:pt idx="1058">
                  <c:v>5831</c:v>
                </c:pt>
                <c:pt idx="1059">
                  <c:v>5831</c:v>
                </c:pt>
                <c:pt idx="1060">
                  <c:v>5831</c:v>
                </c:pt>
                <c:pt idx="1061">
                  <c:v>5831</c:v>
                </c:pt>
                <c:pt idx="1062">
                  <c:v>5831</c:v>
                </c:pt>
                <c:pt idx="1063">
                  <c:v>5831</c:v>
                </c:pt>
                <c:pt idx="1064">
                  <c:v>5831</c:v>
                </c:pt>
                <c:pt idx="1065">
                  <c:v>5831</c:v>
                </c:pt>
                <c:pt idx="1066">
                  <c:v>5831</c:v>
                </c:pt>
                <c:pt idx="1067">
                  <c:v>5831</c:v>
                </c:pt>
                <c:pt idx="1068">
                  <c:v>5831</c:v>
                </c:pt>
                <c:pt idx="1069">
                  <c:v>5831</c:v>
                </c:pt>
                <c:pt idx="1070">
                  <c:v>5831</c:v>
                </c:pt>
                <c:pt idx="1071">
                  <c:v>5831</c:v>
                </c:pt>
                <c:pt idx="1072">
                  <c:v>5831</c:v>
                </c:pt>
                <c:pt idx="1073">
                  <c:v>5831</c:v>
                </c:pt>
                <c:pt idx="1074">
                  <c:v>5831</c:v>
                </c:pt>
                <c:pt idx="1075">
                  <c:v>5831</c:v>
                </c:pt>
                <c:pt idx="1076">
                  <c:v>5831</c:v>
                </c:pt>
                <c:pt idx="1077">
                  <c:v>5831</c:v>
                </c:pt>
                <c:pt idx="1078">
                  <c:v>5831</c:v>
                </c:pt>
                <c:pt idx="1079">
                  <c:v>5831</c:v>
                </c:pt>
                <c:pt idx="1080">
                  <c:v>5831</c:v>
                </c:pt>
                <c:pt idx="1081">
                  <c:v>5831</c:v>
                </c:pt>
                <c:pt idx="1082">
                  <c:v>5831</c:v>
                </c:pt>
                <c:pt idx="1083">
                  <c:v>5831</c:v>
                </c:pt>
                <c:pt idx="1084">
                  <c:v>5831</c:v>
                </c:pt>
                <c:pt idx="1085">
                  <c:v>5831</c:v>
                </c:pt>
                <c:pt idx="1086">
                  <c:v>5831</c:v>
                </c:pt>
                <c:pt idx="1087">
                  <c:v>5831</c:v>
                </c:pt>
                <c:pt idx="1088">
                  <c:v>5831</c:v>
                </c:pt>
                <c:pt idx="1089">
                  <c:v>5831</c:v>
                </c:pt>
                <c:pt idx="1090">
                  <c:v>5831</c:v>
                </c:pt>
                <c:pt idx="1091">
                  <c:v>5831</c:v>
                </c:pt>
                <c:pt idx="1092">
                  <c:v>5831</c:v>
                </c:pt>
                <c:pt idx="1093">
                  <c:v>5831</c:v>
                </c:pt>
                <c:pt idx="1094">
                  <c:v>5831</c:v>
                </c:pt>
                <c:pt idx="1095">
                  <c:v>5831</c:v>
                </c:pt>
                <c:pt idx="1096">
                  <c:v>5831</c:v>
                </c:pt>
                <c:pt idx="1097">
                  <c:v>5831</c:v>
                </c:pt>
                <c:pt idx="1098">
                  <c:v>5831</c:v>
                </c:pt>
                <c:pt idx="1099">
                  <c:v>5831</c:v>
                </c:pt>
                <c:pt idx="1100">
                  <c:v>5831</c:v>
                </c:pt>
                <c:pt idx="1101">
                  <c:v>5831</c:v>
                </c:pt>
                <c:pt idx="1102">
                  <c:v>5831</c:v>
                </c:pt>
                <c:pt idx="1103">
                  <c:v>5831</c:v>
                </c:pt>
                <c:pt idx="1104">
                  <c:v>5831</c:v>
                </c:pt>
                <c:pt idx="1105">
                  <c:v>5831</c:v>
                </c:pt>
                <c:pt idx="1106">
                  <c:v>5831</c:v>
                </c:pt>
                <c:pt idx="1107">
                  <c:v>5831</c:v>
                </c:pt>
                <c:pt idx="1108">
                  <c:v>5831</c:v>
                </c:pt>
                <c:pt idx="1109">
                  <c:v>5831</c:v>
                </c:pt>
                <c:pt idx="1110">
                  <c:v>5831</c:v>
                </c:pt>
                <c:pt idx="1111">
                  <c:v>5831</c:v>
                </c:pt>
                <c:pt idx="1112">
                  <c:v>5831</c:v>
                </c:pt>
                <c:pt idx="1113">
                  <c:v>5831</c:v>
                </c:pt>
                <c:pt idx="1114">
                  <c:v>5831</c:v>
                </c:pt>
                <c:pt idx="1115">
                  <c:v>5831</c:v>
                </c:pt>
                <c:pt idx="1116">
                  <c:v>5831</c:v>
                </c:pt>
                <c:pt idx="1117">
                  <c:v>5831</c:v>
                </c:pt>
                <c:pt idx="1118">
                  <c:v>5831</c:v>
                </c:pt>
                <c:pt idx="1119">
                  <c:v>5831</c:v>
                </c:pt>
                <c:pt idx="1120">
                  <c:v>5831</c:v>
                </c:pt>
                <c:pt idx="1121">
                  <c:v>5831</c:v>
                </c:pt>
                <c:pt idx="1122">
                  <c:v>5831</c:v>
                </c:pt>
                <c:pt idx="1123">
                  <c:v>5831</c:v>
                </c:pt>
                <c:pt idx="1124">
                  <c:v>5831</c:v>
                </c:pt>
                <c:pt idx="1125">
                  <c:v>5831</c:v>
                </c:pt>
                <c:pt idx="1126">
                  <c:v>5831</c:v>
                </c:pt>
                <c:pt idx="1127">
                  <c:v>5831</c:v>
                </c:pt>
                <c:pt idx="1128">
                  <c:v>5831</c:v>
                </c:pt>
                <c:pt idx="1129">
                  <c:v>5831</c:v>
                </c:pt>
                <c:pt idx="1130">
                  <c:v>5831</c:v>
                </c:pt>
                <c:pt idx="1131">
                  <c:v>5831</c:v>
                </c:pt>
                <c:pt idx="1132">
                  <c:v>5831</c:v>
                </c:pt>
                <c:pt idx="1133">
                  <c:v>5831</c:v>
                </c:pt>
                <c:pt idx="1134">
                  <c:v>5831</c:v>
                </c:pt>
                <c:pt idx="1135">
                  <c:v>5831</c:v>
                </c:pt>
                <c:pt idx="1136">
                  <c:v>5831</c:v>
                </c:pt>
                <c:pt idx="1137">
                  <c:v>5831</c:v>
                </c:pt>
                <c:pt idx="1138">
                  <c:v>5831</c:v>
                </c:pt>
                <c:pt idx="1139">
                  <c:v>5831</c:v>
                </c:pt>
                <c:pt idx="1140">
                  <c:v>5831</c:v>
                </c:pt>
                <c:pt idx="1141">
                  <c:v>5831</c:v>
                </c:pt>
                <c:pt idx="1142">
                  <c:v>5831</c:v>
                </c:pt>
                <c:pt idx="1143">
                  <c:v>5831</c:v>
                </c:pt>
                <c:pt idx="1144">
                  <c:v>5831</c:v>
                </c:pt>
                <c:pt idx="1145">
                  <c:v>5831</c:v>
                </c:pt>
                <c:pt idx="1146">
                  <c:v>5831</c:v>
                </c:pt>
                <c:pt idx="1147">
                  <c:v>5831</c:v>
                </c:pt>
                <c:pt idx="1148">
                  <c:v>5831</c:v>
                </c:pt>
                <c:pt idx="1149">
                  <c:v>5831</c:v>
                </c:pt>
                <c:pt idx="1150">
                  <c:v>5831</c:v>
                </c:pt>
                <c:pt idx="1151">
                  <c:v>5831</c:v>
                </c:pt>
                <c:pt idx="1152">
                  <c:v>5831</c:v>
                </c:pt>
                <c:pt idx="1153">
                  <c:v>5831</c:v>
                </c:pt>
                <c:pt idx="1154">
                  <c:v>5831</c:v>
                </c:pt>
                <c:pt idx="1155">
                  <c:v>5831</c:v>
                </c:pt>
                <c:pt idx="1156">
                  <c:v>5831</c:v>
                </c:pt>
                <c:pt idx="1157">
                  <c:v>5831</c:v>
                </c:pt>
                <c:pt idx="1158">
                  <c:v>5831</c:v>
                </c:pt>
                <c:pt idx="1159">
                  <c:v>5831</c:v>
                </c:pt>
                <c:pt idx="1160">
                  <c:v>5831</c:v>
                </c:pt>
                <c:pt idx="1161">
                  <c:v>5831</c:v>
                </c:pt>
                <c:pt idx="1162">
                  <c:v>5831</c:v>
                </c:pt>
                <c:pt idx="1163">
                  <c:v>5831</c:v>
                </c:pt>
                <c:pt idx="1164">
                  <c:v>5831</c:v>
                </c:pt>
                <c:pt idx="1165">
                  <c:v>5831</c:v>
                </c:pt>
                <c:pt idx="1166">
                  <c:v>5831</c:v>
                </c:pt>
                <c:pt idx="1167">
                  <c:v>5831</c:v>
                </c:pt>
                <c:pt idx="1168">
                  <c:v>5831</c:v>
                </c:pt>
                <c:pt idx="1169">
                  <c:v>5831</c:v>
                </c:pt>
                <c:pt idx="1170">
                  <c:v>5831</c:v>
                </c:pt>
                <c:pt idx="1171">
                  <c:v>5831</c:v>
                </c:pt>
                <c:pt idx="1172">
                  <c:v>5831</c:v>
                </c:pt>
                <c:pt idx="1173">
                  <c:v>5831</c:v>
                </c:pt>
                <c:pt idx="1174">
                  <c:v>5831</c:v>
                </c:pt>
                <c:pt idx="1175">
                  <c:v>5831</c:v>
                </c:pt>
                <c:pt idx="1176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C6-4C65-A131-DA07D474BCED}"/>
            </c:ext>
          </c:extLst>
        </c:ser>
        <c:ser>
          <c:idx val="3"/>
          <c:order val="3"/>
          <c:tx>
            <c:strRef>
              <c:f>Pages!$H$1</c:f>
              <c:strCache>
                <c:ptCount val="1"/>
                <c:pt idx="0">
                  <c:v>Cumulative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Pages!$H$2:$H$1178</c:f>
              <c:numCache>
                <c:formatCode>General</c:formatCode>
                <c:ptCount val="11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30</c:v>
                </c:pt>
                <c:pt idx="457">
                  <c:v>53</c:v>
                </c:pt>
                <c:pt idx="458">
                  <c:v>85</c:v>
                </c:pt>
                <c:pt idx="459">
                  <c:v>85</c:v>
                </c:pt>
                <c:pt idx="460">
                  <c:v>85</c:v>
                </c:pt>
                <c:pt idx="461">
                  <c:v>85</c:v>
                </c:pt>
                <c:pt idx="462">
                  <c:v>85</c:v>
                </c:pt>
                <c:pt idx="463">
                  <c:v>85</c:v>
                </c:pt>
                <c:pt idx="464">
                  <c:v>85</c:v>
                </c:pt>
                <c:pt idx="465">
                  <c:v>85</c:v>
                </c:pt>
                <c:pt idx="466">
                  <c:v>85</c:v>
                </c:pt>
                <c:pt idx="467">
                  <c:v>85</c:v>
                </c:pt>
                <c:pt idx="468">
                  <c:v>85</c:v>
                </c:pt>
                <c:pt idx="469">
                  <c:v>107</c:v>
                </c:pt>
                <c:pt idx="470">
                  <c:v>122</c:v>
                </c:pt>
                <c:pt idx="471">
                  <c:v>122</c:v>
                </c:pt>
                <c:pt idx="472">
                  <c:v>156</c:v>
                </c:pt>
                <c:pt idx="473">
                  <c:v>156</c:v>
                </c:pt>
                <c:pt idx="474">
                  <c:v>156</c:v>
                </c:pt>
                <c:pt idx="475">
                  <c:v>156</c:v>
                </c:pt>
                <c:pt idx="476">
                  <c:v>156</c:v>
                </c:pt>
                <c:pt idx="477">
                  <c:v>156</c:v>
                </c:pt>
                <c:pt idx="478">
                  <c:v>156</c:v>
                </c:pt>
                <c:pt idx="479">
                  <c:v>156</c:v>
                </c:pt>
                <c:pt idx="480">
                  <c:v>156</c:v>
                </c:pt>
                <c:pt idx="481">
                  <c:v>156</c:v>
                </c:pt>
                <c:pt idx="482">
                  <c:v>156</c:v>
                </c:pt>
                <c:pt idx="483">
                  <c:v>156</c:v>
                </c:pt>
                <c:pt idx="484">
                  <c:v>189</c:v>
                </c:pt>
                <c:pt idx="485">
                  <c:v>277</c:v>
                </c:pt>
                <c:pt idx="486">
                  <c:v>277</c:v>
                </c:pt>
                <c:pt idx="487">
                  <c:v>315</c:v>
                </c:pt>
                <c:pt idx="488">
                  <c:v>315</c:v>
                </c:pt>
                <c:pt idx="489">
                  <c:v>349</c:v>
                </c:pt>
                <c:pt idx="490">
                  <c:v>349</c:v>
                </c:pt>
                <c:pt idx="491">
                  <c:v>349</c:v>
                </c:pt>
                <c:pt idx="492">
                  <c:v>478</c:v>
                </c:pt>
                <c:pt idx="493">
                  <c:v>478</c:v>
                </c:pt>
                <c:pt idx="494">
                  <c:v>478</c:v>
                </c:pt>
                <c:pt idx="495">
                  <c:v>497</c:v>
                </c:pt>
                <c:pt idx="496">
                  <c:v>522</c:v>
                </c:pt>
                <c:pt idx="497">
                  <c:v>545</c:v>
                </c:pt>
                <c:pt idx="498">
                  <c:v>545</c:v>
                </c:pt>
                <c:pt idx="499">
                  <c:v>617</c:v>
                </c:pt>
                <c:pt idx="500">
                  <c:v>663</c:v>
                </c:pt>
                <c:pt idx="501">
                  <c:v>675</c:v>
                </c:pt>
                <c:pt idx="502">
                  <c:v>675</c:v>
                </c:pt>
                <c:pt idx="503">
                  <c:v>675</c:v>
                </c:pt>
                <c:pt idx="504">
                  <c:v>675</c:v>
                </c:pt>
                <c:pt idx="505">
                  <c:v>675</c:v>
                </c:pt>
                <c:pt idx="506">
                  <c:v>675</c:v>
                </c:pt>
                <c:pt idx="507">
                  <c:v>782</c:v>
                </c:pt>
                <c:pt idx="508">
                  <c:v>782</c:v>
                </c:pt>
                <c:pt idx="509">
                  <c:v>782</c:v>
                </c:pt>
                <c:pt idx="510">
                  <c:v>782</c:v>
                </c:pt>
                <c:pt idx="511">
                  <c:v>782</c:v>
                </c:pt>
                <c:pt idx="512">
                  <c:v>782</c:v>
                </c:pt>
                <c:pt idx="513">
                  <c:v>782</c:v>
                </c:pt>
                <c:pt idx="514">
                  <c:v>782</c:v>
                </c:pt>
                <c:pt idx="515">
                  <c:v>782</c:v>
                </c:pt>
                <c:pt idx="516">
                  <c:v>782</c:v>
                </c:pt>
                <c:pt idx="517">
                  <c:v>782</c:v>
                </c:pt>
                <c:pt idx="518">
                  <c:v>782</c:v>
                </c:pt>
                <c:pt idx="519">
                  <c:v>782</c:v>
                </c:pt>
                <c:pt idx="520">
                  <c:v>782</c:v>
                </c:pt>
                <c:pt idx="521">
                  <c:v>782</c:v>
                </c:pt>
                <c:pt idx="522">
                  <c:v>782</c:v>
                </c:pt>
                <c:pt idx="523">
                  <c:v>782</c:v>
                </c:pt>
                <c:pt idx="524">
                  <c:v>782</c:v>
                </c:pt>
                <c:pt idx="525">
                  <c:v>782</c:v>
                </c:pt>
                <c:pt idx="526">
                  <c:v>782</c:v>
                </c:pt>
                <c:pt idx="527">
                  <c:v>782</c:v>
                </c:pt>
                <c:pt idx="528">
                  <c:v>782</c:v>
                </c:pt>
                <c:pt idx="529">
                  <c:v>782</c:v>
                </c:pt>
                <c:pt idx="530">
                  <c:v>782</c:v>
                </c:pt>
                <c:pt idx="531">
                  <c:v>782</c:v>
                </c:pt>
                <c:pt idx="532">
                  <c:v>782</c:v>
                </c:pt>
                <c:pt idx="533">
                  <c:v>782</c:v>
                </c:pt>
                <c:pt idx="534">
                  <c:v>782</c:v>
                </c:pt>
                <c:pt idx="535">
                  <c:v>782</c:v>
                </c:pt>
                <c:pt idx="536">
                  <c:v>782</c:v>
                </c:pt>
                <c:pt idx="537">
                  <c:v>782</c:v>
                </c:pt>
                <c:pt idx="538">
                  <c:v>782</c:v>
                </c:pt>
                <c:pt idx="539">
                  <c:v>782</c:v>
                </c:pt>
                <c:pt idx="540">
                  <c:v>782</c:v>
                </c:pt>
                <c:pt idx="541">
                  <c:v>782</c:v>
                </c:pt>
                <c:pt idx="542">
                  <c:v>782</c:v>
                </c:pt>
                <c:pt idx="543">
                  <c:v>782</c:v>
                </c:pt>
                <c:pt idx="544">
                  <c:v>782</c:v>
                </c:pt>
                <c:pt idx="545">
                  <c:v>782</c:v>
                </c:pt>
                <c:pt idx="546">
                  <c:v>782</c:v>
                </c:pt>
                <c:pt idx="547">
                  <c:v>782</c:v>
                </c:pt>
                <c:pt idx="548">
                  <c:v>782</c:v>
                </c:pt>
                <c:pt idx="549">
                  <c:v>782</c:v>
                </c:pt>
                <c:pt idx="550">
                  <c:v>782</c:v>
                </c:pt>
                <c:pt idx="551">
                  <c:v>782</c:v>
                </c:pt>
                <c:pt idx="552">
                  <c:v>782</c:v>
                </c:pt>
                <c:pt idx="553">
                  <c:v>782</c:v>
                </c:pt>
                <c:pt idx="554">
                  <c:v>782</c:v>
                </c:pt>
                <c:pt idx="555">
                  <c:v>782</c:v>
                </c:pt>
                <c:pt idx="556">
                  <c:v>782</c:v>
                </c:pt>
                <c:pt idx="557">
                  <c:v>782</c:v>
                </c:pt>
                <c:pt idx="558">
                  <c:v>782</c:v>
                </c:pt>
                <c:pt idx="559">
                  <c:v>782</c:v>
                </c:pt>
                <c:pt idx="560">
                  <c:v>782</c:v>
                </c:pt>
                <c:pt idx="561">
                  <c:v>782</c:v>
                </c:pt>
                <c:pt idx="562">
                  <c:v>782</c:v>
                </c:pt>
                <c:pt idx="563">
                  <c:v>782</c:v>
                </c:pt>
                <c:pt idx="564">
                  <c:v>782</c:v>
                </c:pt>
                <c:pt idx="565">
                  <c:v>782</c:v>
                </c:pt>
                <c:pt idx="566">
                  <c:v>782</c:v>
                </c:pt>
                <c:pt idx="567">
                  <c:v>782</c:v>
                </c:pt>
                <c:pt idx="568">
                  <c:v>782</c:v>
                </c:pt>
                <c:pt idx="569">
                  <c:v>782</c:v>
                </c:pt>
                <c:pt idx="570">
                  <c:v>782</c:v>
                </c:pt>
                <c:pt idx="571">
                  <c:v>782</c:v>
                </c:pt>
                <c:pt idx="572">
                  <c:v>782</c:v>
                </c:pt>
                <c:pt idx="573">
                  <c:v>782</c:v>
                </c:pt>
                <c:pt idx="574">
                  <c:v>782</c:v>
                </c:pt>
                <c:pt idx="575">
                  <c:v>782</c:v>
                </c:pt>
                <c:pt idx="576">
                  <c:v>782</c:v>
                </c:pt>
                <c:pt idx="577">
                  <c:v>782</c:v>
                </c:pt>
                <c:pt idx="578">
                  <c:v>782</c:v>
                </c:pt>
                <c:pt idx="579">
                  <c:v>782</c:v>
                </c:pt>
                <c:pt idx="580">
                  <c:v>827</c:v>
                </c:pt>
                <c:pt idx="581">
                  <c:v>827</c:v>
                </c:pt>
                <c:pt idx="582">
                  <c:v>827</c:v>
                </c:pt>
                <c:pt idx="583">
                  <c:v>827</c:v>
                </c:pt>
                <c:pt idx="584">
                  <c:v>827</c:v>
                </c:pt>
                <c:pt idx="585">
                  <c:v>827</c:v>
                </c:pt>
                <c:pt idx="586">
                  <c:v>827</c:v>
                </c:pt>
                <c:pt idx="587">
                  <c:v>827</c:v>
                </c:pt>
                <c:pt idx="588">
                  <c:v>827</c:v>
                </c:pt>
                <c:pt idx="589">
                  <c:v>827</c:v>
                </c:pt>
                <c:pt idx="590">
                  <c:v>827</c:v>
                </c:pt>
                <c:pt idx="591">
                  <c:v>827</c:v>
                </c:pt>
                <c:pt idx="592">
                  <c:v>827</c:v>
                </c:pt>
                <c:pt idx="593">
                  <c:v>827</c:v>
                </c:pt>
                <c:pt idx="594">
                  <c:v>827</c:v>
                </c:pt>
                <c:pt idx="595">
                  <c:v>827</c:v>
                </c:pt>
                <c:pt idx="596">
                  <c:v>827</c:v>
                </c:pt>
                <c:pt idx="597">
                  <c:v>827</c:v>
                </c:pt>
                <c:pt idx="598">
                  <c:v>827</c:v>
                </c:pt>
                <c:pt idx="599">
                  <c:v>827</c:v>
                </c:pt>
                <c:pt idx="600">
                  <c:v>827</c:v>
                </c:pt>
                <c:pt idx="601">
                  <c:v>827</c:v>
                </c:pt>
                <c:pt idx="602">
                  <c:v>827</c:v>
                </c:pt>
                <c:pt idx="603">
                  <c:v>827</c:v>
                </c:pt>
                <c:pt idx="604">
                  <c:v>827</c:v>
                </c:pt>
                <c:pt idx="605">
                  <c:v>827</c:v>
                </c:pt>
                <c:pt idx="606">
                  <c:v>827</c:v>
                </c:pt>
                <c:pt idx="607">
                  <c:v>827</c:v>
                </c:pt>
                <c:pt idx="608">
                  <c:v>831</c:v>
                </c:pt>
                <c:pt idx="609">
                  <c:v>831</c:v>
                </c:pt>
                <c:pt idx="610">
                  <c:v>831</c:v>
                </c:pt>
                <c:pt idx="611">
                  <c:v>831</c:v>
                </c:pt>
                <c:pt idx="612">
                  <c:v>831</c:v>
                </c:pt>
                <c:pt idx="613">
                  <c:v>831</c:v>
                </c:pt>
                <c:pt idx="614">
                  <c:v>831</c:v>
                </c:pt>
                <c:pt idx="615">
                  <c:v>831</c:v>
                </c:pt>
                <c:pt idx="616">
                  <c:v>831</c:v>
                </c:pt>
                <c:pt idx="617">
                  <c:v>831</c:v>
                </c:pt>
                <c:pt idx="618">
                  <c:v>831</c:v>
                </c:pt>
                <c:pt idx="619">
                  <c:v>831</c:v>
                </c:pt>
                <c:pt idx="620">
                  <c:v>831</c:v>
                </c:pt>
                <c:pt idx="621">
                  <c:v>831</c:v>
                </c:pt>
                <c:pt idx="622">
                  <c:v>831</c:v>
                </c:pt>
                <c:pt idx="623">
                  <c:v>831</c:v>
                </c:pt>
                <c:pt idx="624">
                  <c:v>831</c:v>
                </c:pt>
                <c:pt idx="625">
                  <c:v>831</c:v>
                </c:pt>
                <c:pt idx="626">
                  <c:v>831</c:v>
                </c:pt>
                <c:pt idx="627">
                  <c:v>831</c:v>
                </c:pt>
                <c:pt idx="628">
                  <c:v>831</c:v>
                </c:pt>
                <c:pt idx="629">
                  <c:v>831</c:v>
                </c:pt>
                <c:pt idx="630">
                  <c:v>831</c:v>
                </c:pt>
                <c:pt idx="631">
                  <c:v>831</c:v>
                </c:pt>
                <c:pt idx="632">
                  <c:v>831</c:v>
                </c:pt>
                <c:pt idx="633">
                  <c:v>831</c:v>
                </c:pt>
                <c:pt idx="634">
                  <c:v>831</c:v>
                </c:pt>
                <c:pt idx="635">
                  <c:v>831</c:v>
                </c:pt>
                <c:pt idx="636">
                  <c:v>831</c:v>
                </c:pt>
                <c:pt idx="637">
                  <c:v>831</c:v>
                </c:pt>
                <c:pt idx="638">
                  <c:v>831</c:v>
                </c:pt>
                <c:pt idx="639">
                  <c:v>831</c:v>
                </c:pt>
                <c:pt idx="640">
                  <c:v>831</c:v>
                </c:pt>
                <c:pt idx="641">
                  <c:v>831</c:v>
                </c:pt>
                <c:pt idx="642">
                  <c:v>831</c:v>
                </c:pt>
                <c:pt idx="643">
                  <c:v>831</c:v>
                </c:pt>
                <c:pt idx="644">
                  <c:v>831</c:v>
                </c:pt>
                <c:pt idx="645">
                  <c:v>831</c:v>
                </c:pt>
                <c:pt idx="646">
                  <c:v>831</c:v>
                </c:pt>
                <c:pt idx="647">
                  <c:v>831</c:v>
                </c:pt>
                <c:pt idx="648">
                  <c:v>831</c:v>
                </c:pt>
                <c:pt idx="649">
                  <c:v>831</c:v>
                </c:pt>
                <c:pt idx="650">
                  <c:v>831</c:v>
                </c:pt>
                <c:pt idx="651">
                  <c:v>831</c:v>
                </c:pt>
                <c:pt idx="652">
                  <c:v>831</c:v>
                </c:pt>
                <c:pt idx="653">
                  <c:v>831</c:v>
                </c:pt>
                <c:pt idx="654">
                  <c:v>831</c:v>
                </c:pt>
                <c:pt idx="655">
                  <c:v>831</c:v>
                </c:pt>
                <c:pt idx="656">
                  <c:v>831</c:v>
                </c:pt>
                <c:pt idx="657">
                  <c:v>831</c:v>
                </c:pt>
                <c:pt idx="658">
                  <c:v>831</c:v>
                </c:pt>
                <c:pt idx="659">
                  <c:v>831</c:v>
                </c:pt>
                <c:pt idx="660">
                  <c:v>831</c:v>
                </c:pt>
                <c:pt idx="661">
                  <c:v>831</c:v>
                </c:pt>
                <c:pt idx="662">
                  <c:v>831</c:v>
                </c:pt>
                <c:pt idx="663">
                  <c:v>831</c:v>
                </c:pt>
                <c:pt idx="664">
                  <c:v>831</c:v>
                </c:pt>
                <c:pt idx="665">
                  <c:v>831</c:v>
                </c:pt>
                <c:pt idx="666">
                  <c:v>831</c:v>
                </c:pt>
                <c:pt idx="667">
                  <c:v>831</c:v>
                </c:pt>
                <c:pt idx="668">
                  <c:v>831</c:v>
                </c:pt>
                <c:pt idx="669">
                  <c:v>831</c:v>
                </c:pt>
                <c:pt idx="670">
                  <c:v>831</c:v>
                </c:pt>
                <c:pt idx="671">
                  <c:v>831</c:v>
                </c:pt>
                <c:pt idx="672">
                  <c:v>831</c:v>
                </c:pt>
                <c:pt idx="673">
                  <c:v>831</c:v>
                </c:pt>
                <c:pt idx="674">
                  <c:v>868</c:v>
                </c:pt>
                <c:pt idx="675">
                  <c:v>868</c:v>
                </c:pt>
                <c:pt idx="676">
                  <c:v>868</c:v>
                </c:pt>
                <c:pt idx="677">
                  <c:v>868</c:v>
                </c:pt>
                <c:pt idx="678">
                  <c:v>868</c:v>
                </c:pt>
                <c:pt idx="679">
                  <c:v>911</c:v>
                </c:pt>
                <c:pt idx="680">
                  <c:v>911</c:v>
                </c:pt>
                <c:pt idx="681">
                  <c:v>936</c:v>
                </c:pt>
                <c:pt idx="682">
                  <c:v>936</c:v>
                </c:pt>
                <c:pt idx="683">
                  <c:v>936</c:v>
                </c:pt>
                <c:pt idx="684">
                  <c:v>936</c:v>
                </c:pt>
                <c:pt idx="685">
                  <c:v>936</c:v>
                </c:pt>
                <c:pt idx="686">
                  <c:v>979</c:v>
                </c:pt>
                <c:pt idx="687">
                  <c:v>979</c:v>
                </c:pt>
                <c:pt idx="688">
                  <c:v>1009</c:v>
                </c:pt>
                <c:pt idx="689">
                  <c:v>1134</c:v>
                </c:pt>
                <c:pt idx="690">
                  <c:v>1134</c:v>
                </c:pt>
                <c:pt idx="691">
                  <c:v>1134</c:v>
                </c:pt>
                <c:pt idx="692">
                  <c:v>1134</c:v>
                </c:pt>
                <c:pt idx="693">
                  <c:v>1134</c:v>
                </c:pt>
                <c:pt idx="694">
                  <c:v>1134</c:v>
                </c:pt>
                <c:pt idx="695">
                  <c:v>1134</c:v>
                </c:pt>
                <c:pt idx="696">
                  <c:v>1134</c:v>
                </c:pt>
                <c:pt idx="697">
                  <c:v>1134</c:v>
                </c:pt>
                <c:pt idx="698">
                  <c:v>1134</c:v>
                </c:pt>
                <c:pt idx="699">
                  <c:v>1134</c:v>
                </c:pt>
                <c:pt idx="700">
                  <c:v>1134</c:v>
                </c:pt>
                <c:pt idx="701">
                  <c:v>1134</c:v>
                </c:pt>
                <c:pt idx="702">
                  <c:v>1134</c:v>
                </c:pt>
                <c:pt idx="703">
                  <c:v>1134</c:v>
                </c:pt>
                <c:pt idx="704">
                  <c:v>1134</c:v>
                </c:pt>
                <c:pt idx="705">
                  <c:v>1134</c:v>
                </c:pt>
                <c:pt idx="706">
                  <c:v>1134</c:v>
                </c:pt>
                <c:pt idx="707">
                  <c:v>1134</c:v>
                </c:pt>
                <c:pt idx="708">
                  <c:v>1134</c:v>
                </c:pt>
                <c:pt idx="709">
                  <c:v>1134</c:v>
                </c:pt>
                <c:pt idx="710">
                  <c:v>1134</c:v>
                </c:pt>
                <c:pt idx="711">
                  <c:v>1134</c:v>
                </c:pt>
                <c:pt idx="712">
                  <c:v>1199</c:v>
                </c:pt>
                <c:pt idx="713">
                  <c:v>1285</c:v>
                </c:pt>
                <c:pt idx="714">
                  <c:v>1322</c:v>
                </c:pt>
                <c:pt idx="715">
                  <c:v>1343</c:v>
                </c:pt>
                <c:pt idx="716">
                  <c:v>1343</c:v>
                </c:pt>
                <c:pt idx="717">
                  <c:v>1343</c:v>
                </c:pt>
                <c:pt idx="718">
                  <c:v>1377</c:v>
                </c:pt>
                <c:pt idx="719">
                  <c:v>1377</c:v>
                </c:pt>
                <c:pt idx="720">
                  <c:v>1377</c:v>
                </c:pt>
                <c:pt idx="721">
                  <c:v>1377</c:v>
                </c:pt>
                <c:pt idx="722">
                  <c:v>1377</c:v>
                </c:pt>
                <c:pt idx="723">
                  <c:v>1377</c:v>
                </c:pt>
                <c:pt idx="724">
                  <c:v>1377</c:v>
                </c:pt>
                <c:pt idx="725">
                  <c:v>1377</c:v>
                </c:pt>
                <c:pt idx="726">
                  <c:v>1377</c:v>
                </c:pt>
                <c:pt idx="727">
                  <c:v>1377</c:v>
                </c:pt>
                <c:pt idx="728">
                  <c:v>1377</c:v>
                </c:pt>
                <c:pt idx="729">
                  <c:v>1377</c:v>
                </c:pt>
                <c:pt idx="730">
                  <c:v>1377</c:v>
                </c:pt>
                <c:pt idx="731">
                  <c:v>1377</c:v>
                </c:pt>
                <c:pt idx="732">
                  <c:v>1377</c:v>
                </c:pt>
                <c:pt idx="733">
                  <c:v>1377</c:v>
                </c:pt>
                <c:pt idx="734">
                  <c:v>1377</c:v>
                </c:pt>
                <c:pt idx="735">
                  <c:v>1377</c:v>
                </c:pt>
                <c:pt idx="736">
                  <c:v>1377</c:v>
                </c:pt>
                <c:pt idx="737">
                  <c:v>1377</c:v>
                </c:pt>
                <c:pt idx="738">
                  <c:v>1377</c:v>
                </c:pt>
                <c:pt idx="739">
                  <c:v>1377</c:v>
                </c:pt>
                <c:pt idx="740">
                  <c:v>1377</c:v>
                </c:pt>
                <c:pt idx="741">
                  <c:v>1377</c:v>
                </c:pt>
                <c:pt idx="742">
                  <c:v>1377</c:v>
                </c:pt>
                <c:pt idx="743">
                  <c:v>1377</c:v>
                </c:pt>
                <c:pt idx="744">
                  <c:v>1377</c:v>
                </c:pt>
                <c:pt idx="745">
                  <c:v>1377</c:v>
                </c:pt>
                <c:pt idx="746">
                  <c:v>1377</c:v>
                </c:pt>
                <c:pt idx="747">
                  <c:v>1377</c:v>
                </c:pt>
                <c:pt idx="748">
                  <c:v>1377</c:v>
                </c:pt>
                <c:pt idx="749">
                  <c:v>1377</c:v>
                </c:pt>
                <c:pt idx="750">
                  <c:v>1377</c:v>
                </c:pt>
                <c:pt idx="751">
                  <c:v>1377</c:v>
                </c:pt>
                <c:pt idx="752">
                  <c:v>1377</c:v>
                </c:pt>
                <c:pt idx="753">
                  <c:v>1377</c:v>
                </c:pt>
                <c:pt idx="754">
                  <c:v>1377</c:v>
                </c:pt>
                <c:pt idx="755">
                  <c:v>1377</c:v>
                </c:pt>
                <c:pt idx="756">
                  <c:v>1377</c:v>
                </c:pt>
                <c:pt idx="757">
                  <c:v>1377</c:v>
                </c:pt>
                <c:pt idx="758">
                  <c:v>1377</c:v>
                </c:pt>
                <c:pt idx="759">
                  <c:v>1377</c:v>
                </c:pt>
                <c:pt idx="760">
                  <c:v>1377</c:v>
                </c:pt>
                <c:pt idx="761">
                  <c:v>1377</c:v>
                </c:pt>
                <c:pt idx="762">
                  <c:v>1377</c:v>
                </c:pt>
                <c:pt idx="763">
                  <c:v>1377</c:v>
                </c:pt>
                <c:pt idx="764">
                  <c:v>1377</c:v>
                </c:pt>
                <c:pt idx="765">
                  <c:v>1377</c:v>
                </c:pt>
                <c:pt idx="766">
                  <c:v>1377</c:v>
                </c:pt>
                <c:pt idx="767">
                  <c:v>1377</c:v>
                </c:pt>
                <c:pt idx="768">
                  <c:v>1377</c:v>
                </c:pt>
                <c:pt idx="769">
                  <c:v>1377</c:v>
                </c:pt>
                <c:pt idx="770">
                  <c:v>1377</c:v>
                </c:pt>
                <c:pt idx="771">
                  <c:v>1377</c:v>
                </c:pt>
                <c:pt idx="772">
                  <c:v>1377</c:v>
                </c:pt>
                <c:pt idx="773">
                  <c:v>1377</c:v>
                </c:pt>
                <c:pt idx="774">
                  <c:v>1377</c:v>
                </c:pt>
                <c:pt idx="775">
                  <c:v>1377</c:v>
                </c:pt>
                <c:pt idx="776">
                  <c:v>1377</c:v>
                </c:pt>
                <c:pt idx="777">
                  <c:v>1377</c:v>
                </c:pt>
                <c:pt idx="778">
                  <c:v>1377</c:v>
                </c:pt>
                <c:pt idx="779">
                  <c:v>1377</c:v>
                </c:pt>
                <c:pt idx="780">
                  <c:v>1377</c:v>
                </c:pt>
                <c:pt idx="781">
                  <c:v>1377</c:v>
                </c:pt>
                <c:pt idx="782">
                  <c:v>1377</c:v>
                </c:pt>
                <c:pt idx="783">
                  <c:v>1377</c:v>
                </c:pt>
                <c:pt idx="784">
                  <c:v>1377</c:v>
                </c:pt>
                <c:pt idx="785">
                  <c:v>1377</c:v>
                </c:pt>
                <c:pt idx="786">
                  <c:v>1377</c:v>
                </c:pt>
                <c:pt idx="787">
                  <c:v>1377</c:v>
                </c:pt>
                <c:pt idx="788">
                  <c:v>1377</c:v>
                </c:pt>
                <c:pt idx="789">
                  <c:v>1377</c:v>
                </c:pt>
                <c:pt idx="790">
                  <c:v>1377</c:v>
                </c:pt>
                <c:pt idx="791">
                  <c:v>1377</c:v>
                </c:pt>
                <c:pt idx="792">
                  <c:v>1377</c:v>
                </c:pt>
                <c:pt idx="793">
                  <c:v>1377</c:v>
                </c:pt>
                <c:pt idx="794">
                  <c:v>1377</c:v>
                </c:pt>
                <c:pt idx="795">
                  <c:v>1377</c:v>
                </c:pt>
                <c:pt idx="796">
                  <c:v>1377</c:v>
                </c:pt>
                <c:pt idx="797">
                  <c:v>1377</c:v>
                </c:pt>
                <c:pt idx="798">
                  <c:v>1377</c:v>
                </c:pt>
                <c:pt idx="799">
                  <c:v>1377</c:v>
                </c:pt>
                <c:pt idx="800">
                  <c:v>1377</c:v>
                </c:pt>
                <c:pt idx="801">
                  <c:v>1377</c:v>
                </c:pt>
                <c:pt idx="802">
                  <c:v>1377</c:v>
                </c:pt>
                <c:pt idx="803">
                  <c:v>1377</c:v>
                </c:pt>
                <c:pt idx="804">
                  <c:v>1377</c:v>
                </c:pt>
                <c:pt idx="805">
                  <c:v>1377</c:v>
                </c:pt>
                <c:pt idx="806">
                  <c:v>1377</c:v>
                </c:pt>
                <c:pt idx="807">
                  <c:v>1377</c:v>
                </c:pt>
                <c:pt idx="808">
                  <c:v>1377</c:v>
                </c:pt>
                <c:pt idx="809">
                  <c:v>1377</c:v>
                </c:pt>
                <c:pt idx="810">
                  <c:v>1377</c:v>
                </c:pt>
                <c:pt idx="811">
                  <c:v>1377</c:v>
                </c:pt>
                <c:pt idx="812">
                  <c:v>1377</c:v>
                </c:pt>
                <c:pt idx="813">
                  <c:v>1377</c:v>
                </c:pt>
                <c:pt idx="814">
                  <c:v>1377</c:v>
                </c:pt>
                <c:pt idx="815">
                  <c:v>1377</c:v>
                </c:pt>
                <c:pt idx="816">
                  <c:v>1377</c:v>
                </c:pt>
                <c:pt idx="817">
                  <c:v>1377</c:v>
                </c:pt>
                <c:pt idx="818">
                  <c:v>1377</c:v>
                </c:pt>
                <c:pt idx="819">
                  <c:v>1377</c:v>
                </c:pt>
                <c:pt idx="820">
                  <c:v>1377</c:v>
                </c:pt>
                <c:pt idx="821">
                  <c:v>1377</c:v>
                </c:pt>
                <c:pt idx="822">
                  <c:v>1377</c:v>
                </c:pt>
                <c:pt idx="823">
                  <c:v>1377</c:v>
                </c:pt>
                <c:pt idx="824">
                  <c:v>1377</c:v>
                </c:pt>
                <c:pt idx="825">
                  <c:v>1377</c:v>
                </c:pt>
                <c:pt idx="826">
                  <c:v>1377</c:v>
                </c:pt>
                <c:pt idx="827">
                  <c:v>1377</c:v>
                </c:pt>
                <c:pt idx="828">
                  <c:v>1377</c:v>
                </c:pt>
                <c:pt idx="829">
                  <c:v>1377</c:v>
                </c:pt>
                <c:pt idx="830">
                  <c:v>1377</c:v>
                </c:pt>
                <c:pt idx="831">
                  <c:v>1377</c:v>
                </c:pt>
                <c:pt idx="832">
                  <c:v>1377</c:v>
                </c:pt>
                <c:pt idx="833">
                  <c:v>1377</c:v>
                </c:pt>
                <c:pt idx="834">
                  <c:v>1377</c:v>
                </c:pt>
                <c:pt idx="835">
                  <c:v>1377</c:v>
                </c:pt>
                <c:pt idx="836">
                  <c:v>1377</c:v>
                </c:pt>
                <c:pt idx="837">
                  <c:v>1377</c:v>
                </c:pt>
                <c:pt idx="838">
                  <c:v>1377</c:v>
                </c:pt>
                <c:pt idx="839">
                  <c:v>1377</c:v>
                </c:pt>
                <c:pt idx="840">
                  <c:v>1377</c:v>
                </c:pt>
                <c:pt idx="841">
                  <c:v>1377</c:v>
                </c:pt>
                <c:pt idx="842">
                  <c:v>1377</c:v>
                </c:pt>
                <c:pt idx="843">
                  <c:v>1377</c:v>
                </c:pt>
                <c:pt idx="844">
                  <c:v>1377</c:v>
                </c:pt>
                <c:pt idx="845">
                  <c:v>1377</c:v>
                </c:pt>
                <c:pt idx="846">
                  <c:v>1377</c:v>
                </c:pt>
                <c:pt idx="847">
                  <c:v>1377</c:v>
                </c:pt>
                <c:pt idx="848">
                  <c:v>1377</c:v>
                </c:pt>
                <c:pt idx="849">
                  <c:v>1377</c:v>
                </c:pt>
                <c:pt idx="850">
                  <c:v>1377</c:v>
                </c:pt>
                <c:pt idx="851">
                  <c:v>1377</c:v>
                </c:pt>
                <c:pt idx="852">
                  <c:v>1377</c:v>
                </c:pt>
                <c:pt idx="853">
                  <c:v>1377</c:v>
                </c:pt>
                <c:pt idx="854">
                  <c:v>1377</c:v>
                </c:pt>
                <c:pt idx="855">
                  <c:v>1377</c:v>
                </c:pt>
                <c:pt idx="856">
                  <c:v>1377</c:v>
                </c:pt>
                <c:pt idx="857">
                  <c:v>1377</c:v>
                </c:pt>
                <c:pt idx="858">
                  <c:v>1377</c:v>
                </c:pt>
                <c:pt idx="859">
                  <c:v>1377</c:v>
                </c:pt>
                <c:pt idx="860">
                  <c:v>1377</c:v>
                </c:pt>
                <c:pt idx="861">
                  <c:v>1377</c:v>
                </c:pt>
                <c:pt idx="862">
                  <c:v>1377</c:v>
                </c:pt>
                <c:pt idx="863">
                  <c:v>1377</c:v>
                </c:pt>
                <c:pt idx="864">
                  <c:v>1377</c:v>
                </c:pt>
                <c:pt idx="865">
                  <c:v>1377</c:v>
                </c:pt>
                <c:pt idx="866">
                  <c:v>1377</c:v>
                </c:pt>
                <c:pt idx="867">
                  <c:v>1377</c:v>
                </c:pt>
                <c:pt idx="868">
                  <c:v>1377</c:v>
                </c:pt>
                <c:pt idx="869">
                  <c:v>1377</c:v>
                </c:pt>
                <c:pt idx="870">
                  <c:v>1377</c:v>
                </c:pt>
                <c:pt idx="871">
                  <c:v>1377</c:v>
                </c:pt>
                <c:pt idx="872">
                  <c:v>1377</c:v>
                </c:pt>
                <c:pt idx="873">
                  <c:v>1377</c:v>
                </c:pt>
                <c:pt idx="874">
                  <c:v>1377</c:v>
                </c:pt>
                <c:pt idx="875">
                  <c:v>1377</c:v>
                </c:pt>
                <c:pt idx="876">
                  <c:v>1377</c:v>
                </c:pt>
                <c:pt idx="877">
                  <c:v>1377</c:v>
                </c:pt>
                <c:pt idx="878">
                  <c:v>1377</c:v>
                </c:pt>
                <c:pt idx="879">
                  <c:v>1377</c:v>
                </c:pt>
                <c:pt idx="880">
                  <c:v>1377</c:v>
                </c:pt>
                <c:pt idx="881">
                  <c:v>1377</c:v>
                </c:pt>
                <c:pt idx="882">
                  <c:v>1377</c:v>
                </c:pt>
                <c:pt idx="883">
                  <c:v>1377</c:v>
                </c:pt>
                <c:pt idx="884">
                  <c:v>1377</c:v>
                </c:pt>
                <c:pt idx="885">
                  <c:v>1377</c:v>
                </c:pt>
                <c:pt idx="886">
                  <c:v>1377</c:v>
                </c:pt>
                <c:pt idx="887">
                  <c:v>1377</c:v>
                </c:pt>
                <c:pt idx="888">
                  <c:v>1377</c:v>
                </c:pt>
                <c:pt idx="889">
                  <c:v>1377</c:v>
                </c:pt>
                <c:pt idx="890">
                  <c:v>1377</c:v>
                </c:pt>
                <c:pt idx="891">
                  <c:v>1377</c:v>
                </c:pt>
                <c:pt idx="892">
                  <c:v>1377</c:v>
                </c:pt>
                <c:pt idx="893">
                  <c:v>1377</c:v>
                </c:pt>
                <c:pt idx="894">
                  <c:v>1377</c:v>
                </c:pt>
                <c:pt idx="895">
                  <c:v>1377</c:v>
                </c:pt>
                <c:pt idx="896">
                  <c:v>1377</c:v>
                </c:pt>
                <c:pt idx="897">
                  <c:v>1377</c:v>
                </c:pt>
                <c:pt idx="898">
                  <c:v>1377</c:v>
                </c:pt>
                <c:pt idx="899">
                  <c:v>1377</c:v>
                </c:pt>
                <c:pt idx="900">
                  <c:v>1377</c:v>
                </c:pt>
                <c:pt idx="901">
                  <c:v>1377</c:v>
                </c:pt>
                <c:pt idx="902">
                  <c:v>1377</c:v>
                </c:pt>
                <c:pt idx="903">
                  <c:v>1377</c:v>
                </c:pt>
                <c:pt idx="904">
                  <c:v>1377</c:v>
                </c:pt>
                <c:pt idx="905">
                  <c:v>1377</c:v>
                </c:pt>
                <c:pt idx="906">
                  <c:v>1377</c:v>
                </c:pt>
                <c:pt idx="907">
                  <c:v>1377</c:v>
                </c:pt>
                <c:pt idx="908">
                  <c:v>1377</c:v>
                </c:pt>
                <c:pt idx="909">
                  <c:v>1377</c:v>
                </c:pt>
                <c:pt idx="910">
                  <c:v>1377</c:v>
                </c:pt>
                <c:pt idx="911">
                  <c:v>1377</c:v>
                </c:pt>
                <c:pt idx="912">
                  <c:v>1377</c:v>
                </c:pt>
                <c:pt idx="913">
                  <c:v>1377</c:v>
                </c:pt>
                <c:pt idx="914">
                  <c:v>1377</c:v>
                </c:pt>
                <c:pt idx="915">
                  <c:v>1377</c:v>
                </c:pt>
                <c:pt idx="916">
                  <c:v>1377</c:v>
                </c:pt>
                <c:pt idx="917">
                  <c:v>1377</c:v>
                </c:pt>
                <c:pt idx="918">
                  <c:v>1377</c:v>
                </c:pt>
                <c:pt idx="919">
                  <c:v>1377</c:v>
                </c:pt>
                <c:pt idx="920">
                  <c:v>1377</c:v>
                </c:pt>
                <c:pt idx="921">
                  <c:v>1377</c:v>
                </c:pt>
                <c:pt idx="922">
                  <c:v>1377</c:v>
                </c:pt>
                <c:pt idx="923">
                  <c:v>1377</c:v>
                </c:pt>
                <c:pt idx="924">
                  <c:v>1377</c:v>
                </c:pt>
                <c:pt idx="925">
                  <c:v>1377</c:v>
                </c:pt>
                <c:pt idx="926">
                  <c:v>1377</c:v>
                </c:pt>
                <c:pt idx="927">
                  <c:v>1377</c:v>
                </c:pt>
                <c:pt idx="928">
                  <c:v>1377</c:v>
                </c:pt>
                <c:pt idx="929">
                  <c:v>1377</c:v>
                </c:pt>
                <c:pt idx="930">
                  <c:v>1377</c:v>
                </c:pt>
                <c:pt idx="931">
                  <c:v>1377</c:v>
                </c:pt>
                <c:pt idx="932">
                  <c:v>1377</c:v>
                </c:pt>
                <c:pt idx="933">
                  <c:v>1377</c:v>
                </c:pt>
                <c:pt idx="934">
                  <c:v>1377</c:v>
                </c:pt>
                <c:pt idx="935">
                  <c:v>1377</c:v>
                </c:pt>
                <c:pt idx="936">
                  <c:v>1377</c:v>
                </c:pt>
                <c:pt idx="937">
                  <c:v>1377</c:v>
                </c:pt>
                <c:pt idx="938">
                  <c:v>1377</c:v>
                </c:pt>
                <c:pt idx="939">
                  <c:v>1377</c:v>
                </c:pt>
                <c:pt idx="940">
                  <c:v>1377</c:v>
                </c:pt>
                <c:pt idx="941">
                  <c:v>1377</c:v>
                </c:pt>
                <c:pt idx="942">
                  <c:v>1377</c:v>
                </c:pt>
                <c:pt idx="943">
                  <c:v>1377</c:v>
                </c:pt>
                <c:pt idx="944">
                  <c:v>1377</c:v>
                </c:pt>
                <c:pt idx="945">
                  <c:v>1377</c:v>
                </c:pt>
                <c:pt idx="946">
                  <c:v>1377</c:v>
                </c:pt>
                <c:pt idx="947">
                  <c:v>1377</c:v>
                </c:pt>
                <c:pt idx="948">
                  <c:v>1377</c:v>
                </c:pt>
                <c:pt idx="949">
                  <c:v>1377</c:v>
                </c:pt>
                <c:pt idx="950">
                  <c:v>1377</c:v>
                </c:pt>
                <c:pt idx="951">
                  <c:v>1377</c:v>
                </c:pt>
                <c:pt idx="952">
                  <c:v>1377</c:v>
                </c:pt>
                <c:pt idx="953">
                  <c:v>1377</c:v>
                </c:pt>
                <c:pt idx="954">
                  <c:v>1377</c:v>
                </c:pt>
                <c:pt idx="955">
                  <c:v>1377</c:v>
                </c:pt>
                <c:pt idx="956">
                  <c:v>1377</c:v>
                </c:pt>
                <c:pt idx="957">
                  <c:v>1377</c:v>
                </c:pt>
                <c:pt idx="958">
                  <c:v>1377</c:v>
                </c:pt>
                <c:pt idx="959">
                  <c:v>1377</c:v>
                </c:pt>
                <c:pt idx="960">
                  <c:v>1377</c:v>
                </c:pt>
                <c:pt idx="961">
                  <c:v>1377</c:v>
                </c:pt>
                <c:pt idx="962">
                  <c:v>1377</c:v>
                </c:pt>
                <c:pt idx="963">
                  <c:v>1377</c:v>
                </c:pt>
                <c:pt idx="964">
                  <c:v>1377</c:v>
                </c:pt>
                <c:pt idx="965">
                  <c:v>1377</c:v>
                </c:pt>
                <c:pt idx="966">
                  <c:v>1377</c:v>
                </c:pt>
                <c:pt idx="967">
                  <c:v>1377</c:v>
                </c:pt>
                <c:pt idx="968">
                  <c:v>1377</c:v>
                </c:pt>
                <c:pt idx="969">
                  <c:v>1377</c:v>
                </c:pt>
                <c:pt idx="970">
                  <c:v>1377</c:v>
                </c:pt>
                <c:pt idx="971">
                  <c:v>1377</c:v>
                </c:pt>
                <c:pt idx="972">
                  <c:v>1377</c:v>
                </c:pt>
                <c:pt idx="973">
                  <c:v>1377</c:v>
                </c:pt>
                <c:pt idx="974">
                  <c:v>1377</c:v>
                </c:pt>
                <c:pt idx="975">
                  <c:v>1377</c:v>
                </c:pt>
                <c:pt idx="976">
                  <c:v>1377</c:v>
                </c:pt>
                <c:pt idx="977">
                  <c:v>1377</c:v>
                </c:pt>
                <c:pt idx="978">
                  <c:v>1377</c:v>
                </c:pt>
                <c:pt idx="979">
                  <c:v>1377</c:v>
                </c:pt>
                <c:pt idx="980">
                  <c:v>1377</c:v>
                </c:pt>
                <c:pt idx="981">
                  <c:v>1377</c:v>
                </c:pt>
                <c:pt idx="982">
                  <c:v>1377</c:v>
                </c:pt>
                <c:pt idx="983">
                  <c:v>1377</c:v>
                </c:pt>
                <c:pt idx="984">
                  <c:v>1377</c:v>
                </c:pt>
                <c:pt idx="985">
                  <c:v>1377</c:v>
                </c:pt>
                <c:pt idx="986">
                  <c:v>1377</c:v>
                </c:pt>
                <c:pt idx="987">
                  <c:v>1377</c:v>
                </c:pt>
                <c:pt idx="988">
                  <c:v>1377</c:v>
                </c:pt>
                <c:pt idx="989">
                  <c:v>1377</c:v>
                </c:pt>
                <c:pt idx="990">
                  <c:v>1377</c:v>
                </c:pt>
                <c:pt idx="991">
                  <c:v>1377</c:v>
                </c:pt>
                <c:pt idx="992">
                  <c:v>1377</c:v>
                </c:pt>
                <c:pt idx="993">
                  <c:v>1377</c:v>
                </c:pt>
                <c:pt idx="994">
                  <c:v>1377</c:v>
                </c:pt>
                <c:pt idx="995">
                  <c:v>1377</c:v>
                </c:pt>
                <c:pt idx="996">
                  <c:v>1377</c:v>
                </c:pt>
                <c:pt idx="997">
                  <c:v>1377</c:v>
                </c:pt>
                <c:pt idx="998">
                  <c:v>1377</c:v>
                </c:pt>
                <c:pt idx="999">
                  <c:v>1377</c:v>
                </c:pt>
                <c:pt idx="1000">
                  <c:v>1377</c:v>
                </c:pt>
                <c:pt idx="1001">
                  <c:v>1377</c:v>
                </c:pt>
                <c:pt idx="1002">
                  <c:v>1377</c:v>
                </c:pt>
                <c:pt idx="1003">
                  <c:v>1377</c:v>
                </c:pt>
                <c:pt idx="1004">
                  <c:v>1377</c:v>
                </c:pt>
                <c:pt idx="1005">
                  <c:v>1377</c:v>
                </c:pt>
                <c:pt idx="1006">
                  <c:v>1377</c:v>
                </c:pt>
                <c:pt idx="1007">
                  <c:v>1377</c:v>
                </c:pt>
                <c:pt idx="1008">
                  <c:v>1377</c:v>
                </c:pt>
                <c:pt idx="1009">
                  <c:v>1377</c:v>
                </c:pt>
                <c:pt idx="1010">
                  <c:v>1377</c:v>
                </c:pt>
                <c:pt idx="1011">
                  <c:v>1377</c:v>
                </c:pt>
                <c:pt idx="1012">
                  <c:v>1377</c:v>
                </c:pt>
                <c:pt idx="1013">
                  <c:v>1377</c:v>
                </c:pt>
                <c:pt idx="1014">
                  <c:v>1377</c:v>
                </c:pt>
                <c:pt idx="1015">
                  <c:v>1377</c:v>
                </c:pt>
                <c:pt idx="1016">
                  <c:v>1377</c:v>
                </c:pt>
                <c:pt idx="1017">
                  <c:v>1377</c:v>
                </c:pt>
                <c:pt idx="1018">
                  <c:v>1377</c:v>
                </c:pt>
                <c:pt idx="1019">
                  <c:v>1377</c:v>
                </c:pt>
                <c:pt idx="1020">
                  <c:v>1377</c:v>
                </c:pt>
                <c:pt idx="1021">
                  <c:v>1377</c:v>
                </c:pt>
                <c:pt idx="1022">
                  <c:v>1377</c:v>
                </c:pt>
                <c:pt idx="1023">
                  <c:v>1377</c:v>
                </c:pt>
                <c:pt idx="1024">
                  <c:v>1377</c:v>
                </c:pt>
                <c:pt idx="1025">
                  <c:v>1377</c:v>
                </c:pt>
                <c:pt idx="1026">
                  <c:v>1377</c:v>
                </c:pt>
                <c:pt idx="1027">
                  <c:v>1377</c:v>
                </c:pt>
                <c:pt idx="1028">
                  <c:v>1377</c:v>
                </c:pt>
                <c:pt idx="1029">
                  <c:v>1377</c:v>
                </c:pt>
                <c:pt idx="1030">
                  <c:v>1377</c:v>
                </c:pt>
                <c:pt idx="1031">
                  <c:v>1377</c:v>
                </c:pt>
                <c:pt idx="1032">
                  <c:v>1377</c:v>
                </c:pt>
                <c:pt idx="1033">
                  <c:v>1377</c:v>
                </c:pt>
                <c:pt idx="1034">
                  <c:v>1377</c:v>
                </c:pt>
                <c:pt idx="1035">
                  <c:v>1377</c:v>
                </c:pt>
                <c:pt idx="1036">
                  <c:v>1377</c:v>
                </c:pt>
                <c:pt idx="1037">
                  <c:v>1377</c:v>
                </c:pt>
                <c:pt idx="1038">
                  <c:v>1377</c:v>
                </c:pt>
                <c:pt idx="1039">
                  <c:v>1377</c:v>
                </c:pt>
                <c:pt idx="1040">
                  <c:v>1377</c:v>
                </c:pt>
                <c:pt idx="1041">
                  <c:v>1377</c:v>
                </c:pt>
                <c:pt idx="1042">
                  <c:v>1377</c:v>
                </c:pt>
                <c:pt idx="1043">
                  <c:v>1377</c:v>
                </c:pt>
                <c:pt idx="1044">
                  <c:v>1377</c:v>
                </c:pt>
                <c:pt idx="1045">
                  <c:v>1377</c:v>
                </c:pt>
                <c:pt idx="1046">
                  <c:v>1377</c:v>
                </c:pt>
                <c:pt idx="1047">
                  <c:v>1377</c:v>
                </c:pt>
                <c:pt idx="1048">
                  <c:v>1377</c:v>
                </c:pt>
                <c:pt idx="1049">
                  <c:v>1377</c:v>
                </c:pt>
                <c:pt idx="1050">
                  <c:v>1377</c:v>
                </c:pt>
                <c:pt idx="1051">
                  <c:v>1377</c:v>
                </c:pt>
                <c:pt idx="1052">
                  <c:v>1377</c:v>
                </c:pt>
                <c:pt idx="1053">
                  <c:v>1377</c:v>
                </c:pt>
                <c:pt idx="1054">
                  <c:v>1377</c:v>
                </c:pt>
                <c:pt idx="1055">
                  <c:v>1377</c:v>
                </c:pt>
                <c:pt idx="1056">
                  <c:v>1377</c:v>
                </c:pt>
                <c:pt idx="1057">
                  <c:v>1377</c:v>
                </c:pt>
                <c:pt idx="1058">
                  <c:v>1377</c:v>
                </c:pt>
                <c:pt idx="1059">
                  <c:v>1377</c:v>
                </c:pt>
                <c:pt idx="1060">
                  <c:v>1377</c:v>
                </c:pt>
                <c:pt idx="1061">
                  <c:v>1377</c:v>
                </c:pt>
                <c:pt idx="1062">
                  <c:v>1377</c:v>
                </c:pt>
                <c:pt idx="1063">
                  <c:v>1377</c:v>
                </c:pt>
                <c:pt idx="1064">
                  <c:v>1377</c:v>
                </c:pt>
                <c:pt idx="1065">
                  <c:v>1377</c:v>
                </c:pt>
                <c:pt idx="1066">
                  <c:v>1377</c:v>
                </c:pt>
                <c:pt idx="1067">
                  <c:v>1377</c:v>
                </c:pt>
                <c:pt idx="1068">
                  <c:v>1377</c:v>
                </c:pt>
                <c:pt idx="1069">
                  <c:v>1377</c:v>
                </c:pt>
                <c:pt idx="1070">
                  <c:v>1377</c:v>
                </c:pt>
                <c:pt idx="1071">
                  <c:v>1377</c:v>
                </c:pt>
                <c:pt idx="1072">
                  <c:v>1377</c:v>
                </c:pt>
                <c:pt idx="1073">
                  <c:v>1377</c:v>
                </c:pt>
                <c:pt idx="1074">
                  <c:v>1377</c:v>
                </c:pt>
                <c:pt idx="1075">
                  <c:v>1377</c:v>
                </c:pt>
                <c:pt idx="1076">
                  <c:v>1377</c:v>
                </c:pt>
                <c:pt idx="1077">
                  <c:v>1377</c:v>
                </c:pt>
                <c:pt idx="1078">
                  <c:v>1377</c:v>
                </c:pt>
                <c:pt idx="1079">
                  <c:v>1377</c:v>
                </c:pt>
                <c:pt idx="1080">
                  <c:v>1377</c:v>
                </c:pt>
                <c:pt idx="1081">
                  <c:v>1377</c:v>
                </c:pt>
                <c:pt idx="1082">
                  <c:v>1377</c:v>
                </c:pt>
                <c:pt idx="1083">
                  <c:v>1377</c:v>
                </c:pt>
                <c:pt idx="1084">
                  <c:v>1377</c:v>
                </c:pt>
                <c:pt idx="1085">
                  <c:v>1377</c:v>
                </c:pt>
                <c:pt idx="1086">
                  <c:v>1377</c:v>
                </c:pt>
                <c:pt idx="1087">
                  <c:v>1377</c:v>
                </c:pt>
                <c:pt idx="1088">
                  <c:v>1377</c:v>
                </c:pt>
                <c:pt idx="1089">
                  <c:v>1377</c:v>
                </c:pt>
                <c:pt idx="1090">
                  <c:v>1377</c:v>
                </c:pt>
                <c:pt idx="1091">
                  <c:v>1377</c:v>
                </c:pt>
                <c:pt idx="1092">
                  <c:v>1377</c:v>
                </c:pt>
                <c:pt idx="1093">
                  <c:v>1377</c:v>
                </c:pt>
                <c:pt idx="1094">
                  <c:v>1377</c:v>
                </c:pt>
                <c:pt idx="1095">
                  <c:v>1377</c:v>
                </c:pt>
                <c:pt idx="1096">
                  <c:v>1377</c:v>
                </c:pt>
                <c:pt idx="1097">
                  <c:v>1377</c:v>
                </c:pt>
                <c:pt idx="1098">
                  <c:v>1377</c:v>
                </c:pt>
                <c:pt idx="1099">
                  <c:v>1377</c:v>
                </c:pt>
                <c:pt idx="1100">
                  <c:v>1377</c:v>
                </c:pt>
                <c:pt idx="1101">
                  <c:v>1377</c:v>
                </c:pt>
                <c:pt idx="1102">
                  <c:v>1377</c:v>
                </c:pt>
                <c:pt idx="1103">
                  <c:v>1377</c:v>
                </c:pt>
                <c:pt idx="1104">
                  <c:v>1377</c:v>
                </c:pt>
                <c:pt idx="1105">
                  <c:v>1377</c:v>
                </c:pt>
                <c:pt idx="1106">
                  <c:v>1377</c:v>
                </c:pt>
                <c:pt idx="1107">
                  <c:v>1377</c:v>
                </c:pt>
                <c:pt idx="1108">
                  <c:v>1377</c:v>
                </c:pt>
                <c:pt idx="1109">
                  <c:v>1377</c:v>
                </c:pt>
                <c:pt idx="1110">
                  <c:v>1377</c:v>
                </c:pt>
                <c:pt idx="1111">
                  <c:v>1377</c:v>
                </c:pt>
                <c:pt idx="1112">
                  <c:v>1377</c:v>
                </c:pt>
                <c:pt idx="1113">
                  <c:v>1377</c:v>
                </c:pt>
                <c:pt idx="1114">
                  <c:v>1377</c:v>
                </c:pt>
                <c:pt idx="1115">
                  <c:v>1377</c:v>
                </c:pt>
                <c:pt idx="1116">
                  <c:v>1377</c:v>
                </c:pt>
                <c:pt idx="1117">
                  <c:v>1377</c:v>
                </c:pt>
                <c:pt idx="1118">
                  <c:v>1377</c:v>
                </c:pt>
                <c:pt idx="1119">
                  <c:v>1377</c:v>
                </c:pt>
                <c:pt idx="1120">
                  <c:v>1377</c:v>
                </c:pt>
                <c:pt idx="1121">
                  <c:v>1377</c:v>
                </c:pt>
                <c:pt idx="1122">
                  <c:v>1377</c:v>
                </c:pt>
                <c:pt idx="1123">
                  <c:v>1377</c:v>
                </c:pt>
                <c:pt idx="1124">
                  <c:v>1377</c:v>
                </c:pt>
                <c:pt idx="1125">
                  <c:v>1377</c:v>
                </c:pt>
                <c:pt idx="1126">
                  <c:v>1377</c:v>
                </c:pt>
                <c:pt idx="1127">
                  <c:v>1377</c:v>
                </c:pt>
                <c:pt idx="1128">
                  <c:v>1377</c:v>
                </c:pt>
                <c:pt idx="1129">
                  <c:v>1377</c:v>
                </c:pt>
                <c:pt idx="1130">
                  <c:v>1377</c:v>
                </c:pt>
                <c:pt idx="1131">
                  <c:v>1377</c:v>
                </c:pt>
                <c:pt idx="1132">
                  <c:v>1377</c:v>
                </c:pt>
                <c:pt idx="1133">
                  <c:v>1377</c:v>
                </c:pt>
                <c:pt idx="1134">
                  <c:v>1377</c:v>
                </c:pt>
                <c:pt idx="1135">
                  <c:v>1377</c:v>
                </c:pt>
                <c:pt idx="1136">
                  <c:v>1377</c:v>
                </c:pt>
                <c:pt idx="1137">
                  <c:v>1377</c:v>
                </c:pt>
                <c:pt idx="1138">
                  <c:v>1377</c:v>
                </c:pt>
                <c:pt idx="1139">
                  <c:v>1377</c:v>
                </c:pt>
                <c:pt idx="1140">
                  <c:v>1377</c:v>
                </c:pt>
                <c:pt idx="1141">
                  <c:v>1377</c:v>
                </c:pt>
                <c:pt idx="1142">
                  <c:v>1377</c:v>
                </c:pt>
                <c:pt idx="1143">
                  <c:v>1377</c:v>
                </c:pt>
                <c:pt idx="1144">
                  <c:v>1377</c:v>
                </c:pt>
                <c:pt idx="1145">
                  <c:v>1377</c:v>
                </c:pt>
                <c:pt idx="1146">
                  <c:v>1377</c:v>
                </c:pt>
                <c:pt idx="1147">
                  <c:v>1377</c:v>
                </c:pt>
                <c:pt idx="1148">
                  <c:v>1377</c:v>
                </c:pt>
                <c:pt idx="1149">
                  <c:v>1377</c:v>
                </c:pt>
                <c:pt idx="1150">
                  <c:v>1377</c:v>
                </c:pt>
                <c:pt idx="1151">
                  <c:v>1377</c:v>
                </c:pt>
                <c:pt idx="1152">
                  <c:v>1377</c:v>
                </c:pt>
                <c:pt idx="1153">
                  <c:v>1377</c:v>
                </c:pt>
                <c:pt idx="1154">
                  <c:v>1377</c:v>
                </c:pt>
                <c:pt idx="1155">
                  <c:v>1377</c:v>
                </c:pt>
                <c:pt idx="1156">
                  <c:v>1377</c:v>
                </c:pt>
                <c:pt idx="1157">
                  <c:v>1377</c:v>
                </c:pt>
                <c:pt idx="1158">
                  <c:v>1377</c:v>
                </c:pt>
                <c:pt idx="1159">
                  <c:v>1377</c:v>
                </c:pt>
                <c:pt idx="1160">
                  <c:v>1377</c:v>
                </c:pt>
                <c:pt idx="1161">
                  <c:v>1377</c:v>
                </c:pt>
                <c:pt idx="1162">
                  <c:v>1377</c:v>
                </c:pt>
                <c:pt idx="1163">
                  <c:v>1377</c:v>
                </c:pt>
                <c:pt idx="1164">
                  <c:v>1377</c:v>
                </c:pt>
                <c:pt idx="1165">
                  <c:v>1377</c:v>
                </c:pt>
                <c:pt idx="1166">
                  <c:v>1377</c:v>
                </c:pt>
                <c:pt idx="1167">
                  <c:v>1377</c:v>
                </c:pt>
                <c:pt idx="1168">
                  <c:v>1377</c:v>
                </c:pt>
                <c:pt idx="1169">
                  <c:v>1377</c:v>
                </c:pt>
                <c:pt idx="1170">
                  <c:v>1377</c:v>
                </c:pt>
                <c:pt idx="1171">
                  <c:v>1377</c:v>
                </c:pt>
                <c:pt idx="1172">
                  <c:v>1377</c:v>
                </c:pt>
                <c:pt idx="1173">
                  <c:v>1377</c:v>
                </c:pt>
                <c:pt idx="1174">
                  <c:v>1377</c:v>
                </c:pt>
                <c:pt idx="1175">
                  <c:v>1377</c:v>
                </c:pt>
                <c:pt idx="1176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C6-4C65-A131-DA07D474BCED}"/>
            </c:ext>
          </c:extLst>
        </c:ser>
        <c:ser>
          <c:idx val="4"/>
          <c:order val="4"/>
          <c:tx>
            <c:strRef>
              <c:f>Pages!$J$1</c:f>
              <c:strCache>
                <c:ptCount val="1"/>
                <c:pt idx="0">
                  <c:v>Cumulative 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[0]!PagesDateAll</c:f>
              <c:numCache>
                <c:formatCode>m/d/yyyy</c:formatCode>
                <c:ptCount val="1114"/>
                <c:pt idx="0">
                  <c:v>45211</c:v>
                </c:pt>
                <c:pt idx="1">
                  <c:v>45212</c:v>
                </c:pt>
                <c:pt idx="2">
                  <c:v>45213</c:v>
                </c:pt>
                <c:pt idx="3">
                  <c:v>45214</c:v>
                </c:pt>
                <c:pt idx="4">
                  <c:v>45215</c:v>
                </c:pt>
                <c:pt idx="5">
                  <c:v>45216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45220</c:v>
                </c:pt>
                <c:pt idx="10">
                  <c:v>45221</c:v>
                </c:pt>
                <c:pt idx="11">
                  <c:v>45222</c:v>
                </c:pt>
                <c:pt idx="12">
                  <c:v>45223</c:v>
                </c:pt>
                <c:pt idx="13">
                  <c:v>45224</c:v>
                </c:pt>
                <c:pt idx="14">
                  <c:v>45225</c:v>
                </c:pt>
                <c:pt idx="15">
                  <c:v>45226</c:v>
                </c:pt>
                <c:pt idx="16">
                  <c:v>45227</c:v>
                </c:pt>
                <c:pt idx="17">
                  <c:v>45228</c:v>
                </c:pt>
                <c:pt idx="18">
                  <c:v>45229</c:v>
                </c:pt>
                <c:pt idx="19">
                  <c:v>45230</c:v>
                </c:pt>
                <c:pt idx="20">
                  <c:v>45231</c:v>
                </c:pt>
                <c:pt idx="21">
                  <c:v>45232</c:v>
                </c:pt>
                <c:pt idx="22">
                  <c:v>45233</c:v>
                </c:pt>
                <c:pt idx="23">
                  <c:v>45234</c:v>
                </c:pt>
                <c:pt idx="24">
                  <c:v>45235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45241</c:v>
                </c:pt>
                <c:pt idx="31">
                  <c:v>45242</c:v>
                </c:pt>
                <c:pt idx="32">
                  <c:v>45243</c:v>
                </c:pt>
                <c:pt idx="33">
                  <c:v>45244</c:v>
                </c:pt>
                <c:pt idx="34">
                  <c:v>45245</c:v>
                </c:pt>
                <c:pt idx="35">
                  <c:v>45246</c:v>
                </c:pt>
                <c:pt idx="36">
                  <c:v>45247</c:v>
                </c:pt>
                <c:pt idx="37">
                  <c:v>45248</c:v>
                </c:pt>
                <c:pt idx="38">
                  <c:v>45249</c:v>
                </c:pt>
                <c:pt idx="39">
                  <c:v>45250</c:v>
                </c:pt>
                <c:pt idx="40">
                  <c:v>45251</c:v>
                </c:pt>
                <c:pt idx="41">
                  <c:v>45252</c:v>
                </c:pt>
                <c:pt idx="42">
                  <c:v>45253</c:v>
                </c:pt>
                <c:pt idx="43">
                  <c:v>45254</c:v>
                </c:pt>
                <c:pt idx="44">
                  <c:v>45255</c:v>
                </c:pt>
                <c:pt idx="45">
                  <c:v>45256</c:v>
                </c:pt>
                <c:pt idx="46">
                  <c:v>45257</c:v>
                </c:pt>
                <c:pt idx="47">
                  <c:v>45258</c:v>
                </c:pt>
                <c:pt idx="48">
                  <c:v>45259</c:v>
                </c:pt>
                <c:pt idx="49">
                  <c:v>45260</c:v>
                </c:pt>
                <c:pt idx="50">
                  <c:v>45261</c:v>
                </c:pt>
                <c:pt idx="51">
                  <c:v>45262</c:v>
                </c:pt>
                <c:pt idx="52">
                  <c:v>45263</c:v>
                </c:pt>
                <c:pt idx="53">
                  <c:v>45264</c:v>
                </c:pt>
                <c:pt idx="54">
                  <c:v>45265</c:v>
                </c:pt>
                <c:pt idx="55">
                  <c:v>45266</c:v>
                </c:pt>
                <c:pt idx="56">
                  <c:v>45267</c:v>
                </c:pt>
                <c:pt idx="57">
                  <c:v>45268</c:v>
                </c:pt>
                <c:pt idx="58">
                  <c:v>45269</c:v>
                </c:pt>
                <c:pt idx="59">
                  <c:v>45270</c:v>
                </c:pt>
                <c:pt idx="60">
                  <c:v>45271</c:v>
                </c:pt>
                <c:pt idx="61">
                  <c:v>45272</c:v>
                </c:pt>
                <c:pt idx="62">
                  <c:v>45273</c:v>
                </c:pt>
                <c:pt idx="63">
                  <c:v>45274</c:v>
                </c:pt>
                <c:pt idx="64">
                  <c:v>45275</c:v>
                </c:pt>
                <c:pt idx="65">
                  <c:v>45276</c:v>
                </c:pt>
                <c:pt idx="66">
                  <c:v>45277</c:v>
                </c:pt>
                <c:pt idx="67">
                  <c:v>45278</c:v>
                </c:pt>
                <c:pt idx="68">
                  <c:v>45279</c:v>
                </c:pt>
                <c:pt idx="69">
                  <c:v>45280</c:v>
                </c:pt>
                <c:pt idx="70">
                  <c:v>45281</c:v>
                </c:pt>
                <c:pt idx="71">
                  <c:v>45282</c:v>
                </c:pt>
                <c:pt idx="72">
                  <c:v>45283</c:v>
                </c:pt>
                <c:pt idx="73">
                  <c:v>45284</c:v>
                </c:pt>
                <c:pt idx="74">
                  <c:v>45285</c:v>
                </c:pt>
                <c:pt idx="75">
                  <c:v>45286</c:v>
                </c:pt>
                <c:pt idx="76">
                  <c:v>45287</c:v>
                </c:pt>
                <c:pt idx="77">
                  <c:v>45288</c:v>
                </c:pt>
                <c:pt idx="78">
                  <c:v>45289</c:v>
                </c:pt>
                <c:pt idx="79">
                  <c:v>45290</c:v>
                </c:pt>
                <c:pt idx="80">
                  <c:v>45291</c:v>
                </c:pt>
                <c:pt idx="81">
                  <c:v>45292</c:v>
                </c:pt>
                <c:pt idx="82">
                  <c:v>45293</c:v>
                </c:pt>
                <c:pt idx="83">
                  <c:v>45294</c:v>
                </c:pt>
                <c:pt idx="84">
                  <c:v>45295</c:v>
                </c:pt>
                <c:pt idx="85">
                  <c:v>45296</c:v>
                </c:pt>
                <c:pt idx="86">
                  <c:v>45297</c:v>
                </c:pt>
                <c:pt idx="87">
                  <c:v>45298</c:v>
                </c:pt>
                <c:pt idx="88">
                  <c:v>45299</c:v>
                </c:pt>
                <c:pt idx="89">
                  <c:v>45300</c:v>
                </c:pt>
                <c:pt idx="90">
                  <c:v>45301</c:v>
                </c:pt>
                <c:pt idx="91">
                  <c:v>45302</c:v>
                </c:pt>
                <c:pt idx="92">
                  <c:v>45303</c:v>
                </c:pt>
                <c:pt idx="93">
                  <c:v>45304</c:v>
                </c:pt>
                <c:pt idx="94">
                  <c:v>45305</c:v>
                </c:pt>
                <c:pt idx="95">
                  <c:v>45306</c:v>
                </c:pt>
                <c:pt idx="96">
                  <c:v>45307</c:v>
                </c:pt>
                <c:pt idx="97">
                  <c:v>45308</c:v>
                </c:pt>
                <c:pt idx="98">
                  <c:v>45309</c:v>
                </c:pt>
                <c:pt idx="99">
                  <c:v>45310</c:v>
                </c:pt>
                <c:pt idx="100">
                  <c:v>45311</c:v>
                </c:pt>
                <c:pt idx="101">
                  <c:v>45312</c:v>
                </c:pt>
                <c:pt idx="102">
                  <c:v>45313</c:v>
                </c:pt>
                <c:pt idx="103">
                  <c:v>45314</c:v>
                </c:pt>
                <c:pt idx="104">
                  <c:v>45315</c:v>
                </c:pt>
                <c:pt idx="105">
                  <c:v>45316</c:v>
                </c:pt>
                <c:pt idx="106">
                  <c:v>45317</c:v>
                </c:pt>
                <c:pt idx="107">
                  <c:v>45318</c:v>
                </c:pt>
                <c:pt idx="108">
                  <c:v>45319</c:v>
                </c:pt>
                <c:pt idx="109">
                  <c:v>45320</c:v>
                </c:pt>
                <c:pt idx="110">
                  <c:v>45321</c:v>
                </c:pt>
                <c:pt idx="111">
                  <c:v>45322</c:v>
                </c:pt>
                <c:pt idx="112">
                  <c:v>45323</c:v>
                </c:pt>
                <c:pt idx="113">
                  <c:v>45324</c:v>
                </c:pt>
                <c:pt idx="114">
                  <c:v>45325</c:v>
                </c:pt>
                <c:pt idx="115">
                  <c:v>45326</c:v>
                </c:pt>
                <c:pt idx="116">
                  <c:v>45327</c:v>
                </c:pt>
                <c:pt idx="117">
                  <c:v>45328</c:v>
                </c:pt>
                <c:pt idx="118">
                  <c:v>45329</c:v>
                </c:pt>
                <c:pt idx="119">
                  <c:v>45330</c:v>
                </c:pt>
                <c:pt idx="120">
                  <c:v>45331</c:v>
                </c:pt>
                <c:pt idx="121">
                  <c:v>45332</c:v>
                </c:pt>
                <c:pt idx="122">
                  <c:v>45333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45339</c:v>
                </c:pt>
                <c:pt idx="129">
                  <c:v>45340</c:v>
                </c:pt>
                <c:pt idx="130">
                  <c:v>45341</c:v>
                </c:pt>
                <c:pt idx="131">
                  <c:v>45342</c:v>
                </c:pt>
                <c:pt idx="132">
                  <c:v>45343</c:v>
                </c:pt>
                <c:pt idx="133">
                  <c:v>45344</c:v>
                </c:pt>
                <c:pt idx="134">
                  <c:v>45345</c:v>
                </c:pt>
                <c:pt idx="135">
                  <c:v>45346</c:v>
                </c:pt>
                <c:pt idx="136">
                  <c:v>45347</c:v>
                </c:pt>
                <c:pt idx="137">
                  <c:v>45348</c:v>
                </c:pt>
                <c:pt idx="138">
                  <c:v>45349</c:v>
                </c:pt>
                <c:pt idx="139">
                  <c:v>45350</c:v>
                </c:pt>
                <c:pt idx="140">
                  <c:v>45351</c:v>
                </c:pt>
                <c:pt idx="141">
                  <c:v>45352</c:v>
                </c:pt>
                <c:pt idx="142">
                  <c:v>45353</c:v>
                </c:pt>
                <c:pt idx="143">
                  <c:v>45354</c:v>
                </c:pt>
                <c:pt idx="144">
                  <c:v>45355</c:v>
                </c:pt>
                <c:pt idx="145">
                  <c:v>45356</c:v>
                </c:pt>
                <c:pt idx="146">
                  <c:v>45357</c:v>
                </c:pt>
                <c:pt idx="147">
                  <c:v>45358</c:v>
                </c:pt>
                <c:pt idx="148">
                  <c:v>45359</c:v>
                </c:pt>
                <c:pt idx="149">
                  <c:v>45360</c:v>
                </c:pt>
                <c:pt idx="150">
                  <c:v>45361</c:v>
                </c:pt>
                <c:pt idx="151">
                  <c:v>45362</c:v>
                </c:pt>
                <c:pt idx="152">
                  <c:v>45363</c:v>
                </c:pt>
                <c:pt idx="153">
                  <c:v>45364</c:v>
                </c:pt>
                <c:pt idx="154">
                  <c:v>45365</c:v>
                </c:pt>
                <c:pt idx="155">
                  <c:v>45366</c:v>
                </c:pt>
                <c:pt idx="156">
                  <c:v>45367</c:v>
                </c:pt>
                <c:pt idx="157">
                  <c:v>45368</c:v>
                </c:pt>
                <c:pt idx="158">
                  <c:v>45369</c:v>
                </c:pt>
                <c:pt idx="159">
                  <c:v>45370</c:v>
                </c:pt>
                <c:pt idx="160">
                  <c:v>45371</c:v>
                </c:pt>
                <c:pt idx="161">
                  <c:v>45372</c:v>
                </c:pt>
                <c:pt idx="162">
                  <c:v>45373</c:v>
                </c:pt>
                <c:pt idx="163">
                  <c:v>45374</c:v>
                </c:pt>
                <c:pt idx="164">
                  <c:v>45375</c:v>
                </c:pt>
                <c:pt idx="165">
                  <c:v>45376</c:v>
                </c:pt>
                <c:pt idx="166">
                  <c:v>45377</c:v>
                </c:pt>
                <c:pt idx="167">
                  <c:v>45378</c:v>
                </c:pt>
                <c:pt idx="168">
                  <c:v>45379</c:v>
                </c:pt>
                <c:pt idx="169">
                  <c:v>45380</c:v>
                </c:pt>
                <c:pt idx="170">
                  <c:v>45381</c:v>
                </c:pt>
                <c:pt idx="171">
                  <c:v>45382</c:v>
                </c:pt>
                <c:pt idx="172">
                  <c:v>45383</c:v>
                </c:pt>
                <c:pt idx="173">
                  <c:v>45384</c:v>
                </c:pt>
                <c:pt idx="174">
                  <c:v>45385</c:v>
                </c:pt>
                <c:pt idx="175">
                  <c:v>45386</c:v>
                </c:pt>
                <c:pt idx="176">
                  <c:v>45387</c:v>
                </c:pt>
                <c:pt idx="177">
                  <c:v>45388</c:v>
                </c:pt>
                <c:pt idx="178">
                  <c:v>45389</c:v>
                </c:pt>
                <c:pt idx="179">
                  <c:v>45390</c:v>
                </c:pt>
                <c:pt idx="180">
                  <c:v>45391</c:v>
                </c:pt>
                <c:pt idx="181">
                  <c:v>45392</c:v>
                </c:pt>
                <c:pt idx="182">
                  <c:v>45393</c:v>
                </c:pt>
                <c:pt idx="183">
                  <c:v>45394</c:v>
                </c:pt>
                <c:pt idx="184">
                  <c:v>45395</c:v>
                </c:pt>
                <c:pt idx="185">
                  <c:v>45396</c:v>
                </c:pt>
                <c:pt idx="186">
                  <c:v>45397</c:v>
                </c:pt>
                <c:pt idx="187">
                  <c:v>45398</c:v>
                </c:pt>
                <c:pt idx="188">
                  <c:v>45399</c:v>
                </c:pt>
                <c:pt idx="189">
                  <c:v>45400</c:v>
                </c:pt>
                <c:pt idx="190">
                  <c:v>45401</c:v>
                </c:pt>
                <c:pt idx="191">
                  <c:v>45402</c:v>
                </c:pt>
                <c:pt idx="192">
                  <c:v>45403</c:v>
                </c:pt>
                <c:pt idx="193">
                  <c:v>45404</c:v>
                </c:pt>
                <c:pt idx="194">
                  <c:v>45405</c:v>
                </c:pt>
                <c:pt idx="195">
                  <c:v>45406</c:v>
                </c:pt>
                <c:pt idx="196">
                  <c:v>45407</c:v>
                </c:pt>
                <c:pt idx="197">
                  <c:v>45408</c:v>
                </c:pt>
                <c:pt idx="198">
                  <c:v>45409</c:v>
                </c:pt>
                <c:pt idx="199">
                  <c:v>45410</c:v>
                </c:pt>
                <c:pt idx="200">
                  <c:v>45411</c:v>
                </c:pt>
                <c:pt idx="201">
                  <c:v>45412</c:v>
                </c:pt>
                <c:pt idx="202">
                  <c:v>45413</c:v>
                </c:pt>
                <c:pt idx="203">
                  <c:v>45414</c:v>
                </c:pt>
                <c:pt idx="204">
                  <c:v>45415</c:v>
                </c:pt>
                <c:pt idx="205">
                  <c:v>45416</c:v>
                </c:pt>
                <c:pt idx="206">
                  <c:v>45417</c:v>
                </c:pt>
                <c:pt idx="207">
                  <c:v>45418</c:v>
                </c:pt>
                <c:pt idx="208">
                  <c:v>45419</c:v>
                </c:pt>
                <c:pt idx="209">
                  <c:v>45420</c:v>
                </c:pt>
                <c:pt idx="210">
                  <c:v>45421</c:v>
                </c:pt>
                <c:pt idx="211">
                  <c:v>45422</c:v>
                </c:pt>
                <c:pt idx="212">
                  <c:v>45423</c:v>
                </c:pt>
                <c:pt idx="213">
                  <c:v>45424</c:v>
                </c:pt>
                <c:pt idx="214">
                  <c:v>45425</c:v>
                </c:pt>
                <c:pt idx="215">
                  <c:v>45426</c:v>
                </c:pt>
                <c:pt idx="216">
                  <c:v>45427</c:v>
                </c:pt>
                <c:pt idx="217">
                  <c:v>45428</c:v>
                </c:pt>
                <c:pt idx="218">
                  <c:v>45429</c:v>
                </c:pt>
                <c:pt idx="219">
                  <c:v>45430</c:v>
                </c:pt>
                <c:pt idx="220">
                  <c:v>45431</c:v>
                </c:pt>
                <c:pt idx="221">
                  <c:v>45432</c:v>
                </c:pt>
                <c:pt idx="222">
                  <c:v>45433</c:v>
                </c:pt>
                <c:pt idx="223">
                  <c:v>45434</c:v>
                </c:pt>
                <c:pt idx="224">
                  <c:v>45435</c:v>
                </c:pt>
                <c:pt idx="225">
                  <c:v>45436</c:v>
                </c:pt>
                <c:pt idx="226">
                  <c:v>45437</c:v>
                </c:pt>
                <c:pt idx="227">
                  <c:v>45438</c:v>
                </c:pt>
                <c:pt idx="228">
                  <c:v>45439</c:v>
                </c:pt>
                <c:pt idx="229">
                  <c:v>45440</c:v>
                </c:pt>
                <c:pt idx="230">
                  <c:v>45441</c:v>
                </c:pt>
                <c:pt idx="231">
                  <c:v>45442</c:v>
                </c:pt>
                <c:pt idx="232">
                  <c:v>45443</c:v>
                </c:pt>
                <c:pt idx="233">
                  <c:v>45444</c:v>
                </c:pt>
                <c:pt idx="234">
                  <c:v>45445</c:v>
                </c:pt>
                <c:pt idx="235">
                  <c:v>45446</c:v>
                </c:pt>
                <c:pt idx="236">
                  <c:v>45447</c:v>
                </c:pt>
                <c:pt idx="237">
                  <c:v>45448</c:v>
                </c:pt>
                <c:pt idx="238">
                  <c:v>45449</c:v>
                </c:pt>
                <c:pt idx="239">
                  <c:v>45450</c:v>
                </c:pt>
                <c:pt idx="240">
                  <c:v>45451</c:v>
                </c:pt>
                <c:pt idx="241">
                  <c:v>45452</c:v>
                </c:pt>
                <c:pt idx="242">
                  <c:v>45453</c:v>
                </c:pt>
                <c:pt idx="243">
                  <c:v>45454</c:v>
                </c:pt>
                <c:pt idx="244">
                  <c:v>45455</c:v>
                </c:pt>
                <c:pt idx="245">
                  <c:v>45456</c:v>
                </c:pt>
                <c:pt idx="246">
                  <c:v>45457</c:v>
                </c:pt>
                <c:pt idx="247">
                  <c:v>45458</c:v>
                </c:pt>
                <c:pt idx="248">
                  <c:v>45459</c:v>
                </c:pt>
                <c:pt idx="249">
                  <c:v>45460</c:v>
                </c:pt>
                <c:pt idx="250">
                  <c:v>45461</c:v>
                </c:pt>
                <c:pt idx="251">
                  <c:v>45462</c:v>
                </c:pt>
                <c:pt idx="252">
                  <c:v>45463</c:v>
                </c:pt>
                <c:pt idx="253">
                  <c:v>45464</c:v>
                </c:pt>
                <c:pt idx="254">
                  <c:v>45465</c:v>
                </c:pt>
                <c:pt idx="255">
                  <c:v>45466</c:v>
                </c:pt>
                <c:pt idx="256">
                  <c:v>45467</c:v>
                </c:pt>
                <c:pt idx="257">
                  <c:v>45468</c:v>
                </c:pt>
                <c:pt idx="258">
                  <c:v>45469</c:v>
                </c:pt>
                <c:pt idx="259">
                  <c:v>45470</c:v>
                </c:pt>
                <c:pt idx="260">
                  <c:v>45471</c:v>
                </c:pt>
                <c:pt idx="261">
                  <c:v>45472</c:v>
                </c:pt>
                <c:pt idx="262">
                  <c:v>45473</c:v>
                </c:pt>
                <c:pt idx="263">
                  <c:v>45474</c:v>
                </c:pt>
                <c:pt idx="264">
                  <c:v>45475</c:v>
                </c:pt>
                <c:pt idx="265">
                  <c:v>45476</c:v>
                </c:pt>
                <c:pt idx="266">
                  <c:v>45477</c:v>
                </c:pt>
                <c:pt idx="267">
                  <c:v>45478</c:v>
                </c:pt>
                <c:pt idx="268">
                  <c:v>45479</c:v>
                </c:pt>
                <c:pt idx="269">
                  <c:v>45480</c:v>
                </c:pt>
                <c:pt idx="270">
                  <c:v>45481</c:v>
                </c:pt>
                <c:pt idx="271">
                  <c:v>45482</c:v>
                </c:pt>
                <c:pt idx="272">
                  <c:v>45483</c:v>
                </c:pt>
                <c:pt idx="273">
                  <c:v>45484</c:v>
                </c:pt>
                <c:pt idx="274">
                  <c:v>45485</c:v>
                </c:pt>
                <c:pt idx="275">
                  <c:v>45486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45492</c:v>
                </c:pt>
                <c:pt idx="282">
                  <c:v>45493</c:v>
                </c:pt>
                <c:pt idx="283">
                  <c:v>45494</c:v>
                </c:pt>
                <c:pt idx="284">
                  <c:v>45495</c:v>
                </c:pt>
                <c:pt idx="285">
                  <c:v>45496</c:v>
                </c:pt>
                <c:pt idx="286">
                  <c:v>45497</c:v>
                </c:pt>
                <c:pt idx="287">
                  <c:v>45498</c:v>
                </c:pt>
                <c:pt idx="288">
                  <c:v>45499</c:v>
                </c:pt>
                <c:pt idx="289">
                  <c:v>45500</c:v>
                </c:pt>
                <c:pt idx="290">
                  <c:v>45501</c:v>
                </c:pt>
                <c:pt idx="291">
                  <c:v>45502</c:v>
                </c:pt>
                <c:pt idx="292">
                  <c:v>45503</c:v>
                </c:pt>
                <c:pt idx="293">
                  <c:v>45504</c:v>
                </c:pt>
                <c:pt idx="294">
                  <c:v>45505</c:v>
                </c:pt>
                <c:pt idx="295">
                  <c:v>45506</c:v>
                </c:pt>
                <c:pt idx="296">
                  <c:v>45507</c:v>
                </c:pt>
                <c:pt idx="297">
                  <c:v>45508</c:v>
                </c:pt>
                <c:pt idx="298">
                  <c:v>45509</c:v>
                </c:pt>
                <c:pt idx="299">
                  <c:v>45510</c:v>
                </c:pt>
                <c:pt idx="300">
                  <c:v>45511</c:v>
                </c:pt>
                <c:pt idx="301">
                  <c:v>45512</c:v>
                </c:pt>
                <c:pt idx="302">
                  <c:v>45513</c:v>
                </c:pt>
                <c:pt idx="303">
                  <c:v>45514</c:v>
                </c:pt>
                <c:pt idx="304">
                  <c:v>45515</c:v>
                </c:pt>
                <c:pt idx="305">
                  <c:v>45516</c:v>
                </c:pt>
                <c:pt idx="306">
                  <c:v>45517</c:v>
                </c:pt>
                <c:pt idx="307">
                  <c:v>45518</c:v>
                </c:pt>
                <c:pt idx="308">
                  <c:v>45519</c:v>
                </c:pt>
                <c:pt idx="309">
                  <c:v>45520</c:v>
                </c:pt>
                <c:pt idx="310">
                  <c:v>45521</c:v>
                </c:pt>
                <c:pt idx="311">
                  <c:v>45522</c:v>
                </c:pt>
                <c:pt idx="312">
                  <c:v>45523</c:v>
                </c:pt>
                <c:pt idx="313">
                  <c:v>45524</c:v>
                </c:pt>
                <c:pt idx="314">
                  <c:v>45525</c:v>
                </c:pt>
                <c:pt idx="315">
                  <c:v>45526</c:v>
                </c:pt>
                <c:pt idx="316">
                  <c:v>45527</c:v>
                </c:pt>
                <c:pt idx="317">
                  <c:v>45528</c:v>
                </c:pt>
                <c:pt idx="318">
                  <c:v>45529</c:v>
                </c:pt>
                <c:pt idx="319">
                  <c:v>45530</c:v>
                </c:pt>
                <c:pt idx="320">
                  <c:v>45531</c:v>
                </c:pt>
                <c:pt idx="321">
                  <c:v>45532</c:v>
                </c:pt>
                <c:pt idx="322">
                  <c:v>45533</c:v>
                </c:pt>
                <c:pt idx="323">
                  <c:v>45534</c:v>
                </c:pt>
                <c:pt idx="324">
                  <c:v>45535</c:v>
                </c:pt>
                <c:pt idx="325">
                  <c:v>45536</c:v>
                </c:pt>
                <c:pt idx="326">
                  <c:v>45537</c:v>
                </c:pt>
                <c:pt idx="327">
                  <c:v>45538</c:v>
                </c:pt>
                <c:pt idx="328">
                  <c:v>45539</c:v>
                </c:pt>
                <c:pt idx="329">
                  <c:v>45540</c:v>
                </c:pt>
                <c:pt idx="330">
                  <c:v>45541</c:v>
                </c:pt>
                <c:pt idx="331">
                  <c:v>45542</c:v>
                </c:pt>
                <c:pt idx="332">
                  <c:v>45543</c:v>
                </c:pt>
                <c:pt idx="333">
                  <c:v>45544</c:v>
                </c:pt>
                <c:pt idx="334">
                  <c:v>45545</c:v>
                </c:pt>
                <c:pt idx="335">
                  <c:v>45546</c:v>
                </c:pt>
                <c:pt idx="336">
                  <c:v>45547</c:v>
                </c:pt>
                <c:pt idx="337">
                  <c:v>45548</c:v>
                </c:pt>
                <c:pt idx="338">
                  <c:v>45549</c:v>
                </c:pt>
                <c:pt idx="339">
                  <c:v>45550</c:v>
                </c:pt>
                <c:pt idx="340">
                  <c:v>45551</c:v>
                </c:pt>
                <c:pt idx="341">
                  <c:v>45552</c:v>
                </c:pt>
                <c:pt idx="342">
                  <c:v>45553</c:v>
                </c:pt>
                <c:pt idx="343">
                  <c:v>45554</c:v>
                </c:pt>
                <c:pt idx="344">
                  <c:v>45555</c:v>
                </c:pt>
                <c:pt idx="345">
                  <c:v>45556</c:v>
                </c:pt>
                <c:pt idx="346">
                  <c:v>45557</c:v>
                </c:pt>
                <c:pt idx="347">
                  <c:v>45558</c:v>
                </c:pt>
                <c:pt idx="348">
                  <c:v>45559</c:v>
                </c:pt>
                <c:pt idx="349">
                  <c:v>45560</c:v>
                </c:pt>
                <c:pt idx="350">
                  <c:v>45561</c:v>
                </c:pt>
                <c:pt idx="351">
                  <c:v>45562</c:v>
                </c:pt>
                <c:pt idx="352">
                  <c:v>45563</c:v>
                </c:pt>
                <c:pt idx="353">
                  <c:v>45564</c:v>
                </c:pt>
                <c:pt idx="354">
                  <c:v>45565</c:v>
                </c:pt>
                <c:pt idx="355">
                  <c:v>45566</c:v>
                </c:pt>
                <c:pt idx="356">
                  <c:v>45567</c:v>
                </c:pt>
                <c:pt idx="357">
                  <c:v>45568</c:v>
                </c:pt>
                <c:pt idx="358">
                  <c:v>45569</c:v>
                </c:pt>
                <c:pt idx="359">
                  <c:v>45570</c:v>
                </c:pt>
                <c:pt idx="360">
                  <c:v>45571</c:v>
                </c:pt>
                <c:pt idx="361">
                  <c:v>45572</c:v>
                </c:pt>
                <c:pt idx="362">
                  <c:v>45573</c:v>
                </c:pt>
                <c:pt idx="363">
                  <c:v>45574</c:v>
                </c:pt>
                <c:pt idx="364">
                  <c:v>45575</c:v>
                </c:pt>
                <c:pt idx="365">
                  <c:v>45576</c:v>
                </c:pt>
                <c:pt idx="366">
                  <c:v>45577</c:v>
                </c:pt>
                <c:pt idx="367">
                  <c:v>45578</c:v>
                </c:pt>
                <c:pt idx="368">
                  <c:v>45579</c:v>
                </c:pt>
                <c:pt idx="369">
                  <c:v>45580</c:v>
                </c:pt>
                <c:pt idx="370">
                  <c:v>45581</c:v>
                </c:pt>
                <c:pt idx="371">
                  <c:v>45582</c:v>
                </c:pt>
                <c:pt idx="372">
                  <c:v>45583</c:v>
                </c:pt>
                <c:pt idx="373">
                  <c:v>45584</c:v>
                </c:pt>
                <c:pt idx="374">
                  <c:v>45585</c:v>
                </c:pt>
                <c:pt idx="375">
                  <c:v>45586</c:v>
                </c:pt>
                <c:pt idx="376">
                  <c:v>45587</c:v>
                </c:pt>
                <c:pt idx="377">
                  <c:v>45588</c:v>
                </c:pt>
                <c:pt idx="378">
                  <c:v>45589</c:v>
                </c:pt>
                <c:pt idx="379">
                  <c:v>45590</c:v>
                </c:pt>
                <c:pt idx="380">
                  <c:v>45591</c:v>
                </c:pt>
                <c:pt idx="381">
                  <c:v>45592</c:v>
                </c:pt>
                <c:pt idx="382">
                  <c:v>45593</c:v>
                </c:pt>
                <c:pt idx="383">
                  <c:v>45594</c:v>
                </c:pt>
                <c:pt idx="384">
                  <c:v>45595</c:v>
                </c:pt>
                <c:pt idx="385">
                  <c:v>45596</c:v>
                </c:pt>
                <c:pt idx="386">
                  <c:v>45597</c:v>
                </c:pt>
                <c:pt idx="387">
                  <c:v>45598</c:v>
                </c:pt>
                <c:pt idx="388">
                  <c:v>45599</c:v>
                </c:pt>
                <c:pt idx="389">
                  <c:v>45600</c:v>
                </c:pt>
                <c:pt idx="390">
                  <c:v>45601</c:v>
                </c:pt>
                <c:pt idx="391">
                  <c:v>45602</c:v>
                </c:pt>
                <c:pt idx="392">
                  <c:v>45603</c:v>
                </c:pt>
                <c:pt idx="393">
                  <c:v>45604</c:v>
                </c:pt>
                <c:pt idx="394">
                  <c:v>45605</c:v>
                </c:pt>
                <c:pt idx="395">
                  <c:v>45606</c:v>
                </c:pt>
                <c:pt idx="396">
                  <c:v>45607</c:v>
                </c:pt>
                <c:pt idx="397">
                  <c:v>45608</c:v>
                </c:pt>
                <c:pt idx="398">
                  <c:v>45609</c:v>
                </c:pt>
                <c:pt idx="399">
                  <c:v>45610</c:v>
                </c:pt>
                <c:pt idx="400">
                  <c:v>45611</c:v>
                </c:pt>
                <c:pt idx="401">
                  <c:v>45612</c:v>
                </c:pt>
                <c:pt idx="402">
                  <c:v>45613</c:v>
                </c:pt>
                <c:pt idx="403">
                  <c:v>45614</c:v>
                </c:pt>
                <c:pt idx="404">
                  <c:v>45615</c:v>
                </c:pt>
                <c:pt idx="405">
                  <c:v>45616</c:v>
                </c:pt>
                <c:pt idx="406">
                  <c:v>45617</c:v>
                </c:pt>
                <c:pt idx="407">
                  <c:v>45618</c:v>
                </c:pt>
                <c:pt idx="408">
                  <c:v>45619</c:v>
                </c:pt>
                <c:pt idx="409">
                  <c:v>45620</c:v>
                </c:pt>
                <c:pt idx="410">
                  <c:v>45621</c:v>
                </c:pt>
                <c:pt idx="411">
                  <c:v>45622</c:v>
                </c:pt>
                <c:pt idx="412">
                  <c:v>45623</c:v>
                </c:pt>
                <c:pt idx="413">
                  <c:v>45624</c:v>
                </c:pt>
                <c:pt idx="414">
                  <c:v>45625</c:v>
                </c:pt>
                <c:pt idx="415">
                  <c:v>45626</c:v>
                </c:pt>
                <c:pt idx="416">
                  <c:v>45627</c:v>
                </c:pt>
                <c:pt idx="417">
                  <c:v>45628</c:v>
                </c:pt>
                <c:pt idx="418">
                  <c:v>45629</c:v>
                </c:pt>
                <c:pt idx="419">
                  <c:v>45630</c:v>
                </c:pt>
                <c:pt idx="420">
                  <c:v>45631</c:v>
                </c:pt>
                <c:pt idx="421">
                  <c:v>45632</c:v>
                </c:pt>
                <c:pt idx="422">
                  <c:v>45633</c:v>
                </c:pt>
                <c:pt idx="423">
                  <c:v>45634</c:v>
                </c:pt>
                <c:pt idx="424">
                  <c:v>45635</c:v>
                </c:pt>
                <c:pt idx="425">
                  <c:v>45636</c:v>
                </c:pt>
                <c:pt idx="426">
                  <c:v>45637</c:v>
                </c:pt>
                <c:pt idx="427">
                  <c:v>45638</c:v>
                </c:pt>
                <c:pt idx="428">
                  <c:v>45639</c:v>
                </c:pt>
                <c:pt idx="429">
                  <c:v>45640</c:v>
                </c:pt>
                <c:pt idx="430">
                  <c:v>45641</c:v>
                </c:pt>
                <c:pt idx="431">
                  <c:v>45642</c:v>
                </c:pt>
                <c:pt idx="432">
                  <c:v>45643</c:v>
                </c:pt>
                <c:pt idx="433">
                  <c:v>45644</c:v>
                </c:pt>
                <c:pt idx="434">
                  <c:v>45645</c:v>
                </c:pt>
                <c:pt idx="435">
                  <c:v>45646</c:v>
                </c:pt>
                <c:pt idx="436">
                  <c:v>45647</c:v>
                </c:pt>
                <c:pt idx="437">
                  <c:v>45648</c:v>
                </c:pt>
                <c:pt idx="438">
                  <c:v>45649</c:v>
                </c:pt>
                <c:pt idx="439">
                  <c:v>45650</c:v>
                </c:pt>
                <c:pt idx="440">
                  <c:v>45651</c:v>
                </c:pt>
                <c:pt idx="441">
                  <c:v>45652</c:v>
                </c:pt>
                <c:pt idx="442">
                  <c:v>45653</c:v>
                </c:pt>
                <c:pt idx="443">
                  <c:v>45654</c:v>
                </c:pt>
                <c:pt idx="444">
                  <c:v>45655</c:v>
                </c:pt>
                <c:pt idx="445">
                  <c:v>45656</c:v>
                </c:pt>
                <c:pt idx="446">
                  <c:v>45657</c:v>
                </c:pt>
                <c:pt idx="447">
                  <c:v>45658</c:v>
                </c:pt>
                <c:pt idx="448">
                  <c:v>45659</c:v>
                </c:pt>
                <c:pt idx="449">
                  <c:v>45660</c:v>
                </c:pt>
                <c:pt idx="450">
                  <c:v>45661</c:v>
                </c:pt>
                <c:pt idx="451">
                  <c:v>45662</c:v>
                </c:pt>
                <c:pt idx="452">
                  <c:v>45663</c:v>
                </c:pt>
                <c:pt idx="453">
                  <c:v>45664</c:v>
                </c:pt>
                <c:pt idx="454">
                  <c:v>45665</c:v>
                </c:pt>
                <c:pt idx="455">
                  <c:v>45666</c:v>
                </c:pt>
                <c:pt idx="456">
                  <c:v>45667</c:v>
                </c:pt>
                <c:pt idx="457">
                  <c:v>45668</c:v>
                </c:pt>
                <c:pt idx="458">
                  <c:v>45669</c:v>
                </c:pt>
                <c:pt idx="459">
                  <c:v>45670</c:v>
                </c:pt>
                <c:pt idx="460">
                  <c:v>45671</c:v>
                </c:pt>
                <c:pt idx="461">
                  <c:v>45672</c:v>
                </c:pt>
                <c:pt idx="462">
                  <c:v>45673</c:v>
                </c:pt>
                <c:pt idx="463">
                  <c:v>45674</c:v>
                </c:pt>
                <c:pt idx="464">
                  <c:v>45675</c:v>
                </c:pt>
                <c:pt idx="465">
                  <c:v>45676</c:v>
                </c:pt>
                <c:pt idx="466">
                  <c:v>45677</c:v>
                </c:pt>
                <c:pt idx="467">
                  <c:v>45678</c:v>
                </c:pt>
                <c:pt idx="468">
                  <c:v>45679</c:v>
                </c:pt>
                <c:pt idx="469">
                  <c:v>45680</c:v>
                </c:pt>
                <c:pt idx="470">
                  <c:v>45681</c:v>
                </c:pt>
                <c:pt idx="471">
                  <c:v>45682</c:v>
                </c:pt>
                <c:pt idx="472">
                  <c:v>45683</c:v>
                </c:pt>
                <c:pt idx="473">
                  <c:v>45684</c:v>
                </c:pt>
                <c:pt idx="474">
                  <c:v>45685</c:v>
                </c:pt>
                <c:pt idx="475">
                  <c:v>45686</c:v>
                </c:pt>
                <c:pt idx="476">
                  <c:v>45687</c:v>
                </c:pt>
                <c:pt idx="477">
                  <c:v>45688</c:v>
                </c:pt>
                <c:pt idx="478">
                  <c:v>45689</c:v>
                </c:pt>
                <c:pt idx="479">
                  <c:v>45690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45696</c:v>
                </c:pt>
                <c:pt idx="486">
                  <c:v>45697</c:v>
                </c:pt>
                <c:pt idx="487">
                  <c:v>45698</c:v>
                </c:pt>
                <c:pt idx="488">
                  <c:v>45699</c:v>
                </c:pt>
                <c:pt idx="489">
                  <c:v>45700</c:v>
                </c:pt>
                <c:pt idx="490">
                  <c:v>45701</c:v>
                </c:pt>
                <c:pt idx="491">
                  <c:v>45702</c:v>
                </c:pt>
                <c:pt idx="492">
                  <c:v>45703</c:v>
                </c:pt>
                <c:pt idx="493">
                  <c:v>45704</c:v>
                </c:pt>
                <c:pt idx="494">
                  <c:v>45705</c:v>
                </c:pt>
                <c:pt idx="495">
                  <c:v>45706</c:v>
                </c:pt>
                <c:pt idx="496">
                  <c:v>45707</c:v>
                </c:pt>
                <c:pt idx="497">
                  <c:v>45708</c:v>
                </c:pt>
                <c:pt idx="498">
                  <c:v>45709</c:v>
                </c:pt>
                <c:pt idx="499">
                  <c:v>45710</c:v>
                </c:pt>
                <c:pt idx="500">
                  <c:v>45711</c:v>
                </c:pt>
                <c:pt idx="501">
                  <c:v>45712</c:v>
                </c:pt>
                <c:pt idx="502">
                  <c:v>45713</c:v>
                </c:pt>
                <c:pt idx="503">
                  <c:v>45714</c:v>
                </c:pt>
                <c:pt idx="504">
                  <c:v>45715</c:v>
                </c:pt>
                <c:pt idx="505">
                  <c:v>45716</c:v>
                </c:pt>
                <c:pt idx="506">
                  <c:v>45717</c:v>
                </c:pt>
                <c:pt idx="507">
                  <c:v>45718</c:v>
                </c:pt>
                <c:pt idx="508">
                  <c:v>45719</c:v>
                </c:pt>
                <c:pt idx="509">
                  <c:v>45720</c:v>
                </c:pt>
                <c:pt idx="510">
                  <c:v>45721</c:v>
                </c:pt>
                <c:pt idx="511">
                  <c:v>45722</c:v>
                </c:pt>
                <c:pt idx="512">
                  <c:v>45723</c:v>
                </c:pt>
                <c:pt idx="513">
                  <c:v>45724</c:v>
                </c:pt>
                <c:pt idx="514">
                  <c:v>45725</c:v>
                </c:pt>
                <c:pt idx="515">
                  <c:v>45726</c:v>
                </c:pt>
                <c:pt idx="516">
                  <c:v>45727</c:v>
                </c:pt>
                <c:pt idx="517">
                  <c:v>45728</c:v>
                </c:pt>
                <c:pt idx="518">
                  <c:v>45729</c:v>
                </c:pt>
                <c:pt idx="519">
                  <c:v>45730</c:v>
                </c:pt>
                <c:pt idx="520">
                  <c:v>45731</c:v>
                </c:pt>
                <c:pt idx="521">
                  <c:v>45732</c:v>
                </c:pt>
                <c:pt idx="522">
                  <c:v>45733</c:v>
                </c:pt>
                <c:pt idx="523">
                  <c:v>45734</c:v>
                </c:pt>
                <c:pt idx="524">
                  <c:v>45735</c:v>
                </c:pt>
                <c:pt idx="525">
                  <c:v>45736</c:v>
                </c:pt>
                <c:pt idx="526">
                  <c:v>45737</c:v>
                </c:pt>
                <c:pt idx="527">
                  <c:v>45738</c:v>
                </c:pt>
                <c:pt idx="528">
                  <c:v>45739</c:v>
                </c:pt>
                <c:pt idx="529">
                  <c:v>45740</c:v>
                </c:pt>
                <c:pt idx="530">
                  <c:v>45741</c:v>
                </c:pt>
                <c:pt idx="531">
                  <c:v>45742</c:v>
                </c:pt>
                <c:pt idx="532">
                  <c:v>45743</c:v>
                </c:pt>
                <c:pt idx="533">
                  <c:v>45744</c:v>
                </c:pt>
                <c:pt idx="534">
                  <c:v>45745</c:v>
                </c:pt>
                <c:pt idx="535">
                  <c:v>45746</c:v>
                </c:pt>
                <c:pt idx="536">
                  <c:v>45747</c:v>
                </c:pt>
                <c:pt idx="537">
                  <c:v>45748</c:v>
                </c:pt>
                <c:pt idx="538">
                  <c:v>45749</c:v>
                </c:pt>
                <c:pt idx="539">
                  <c:v>45750</c:v>
                </c:pt>
                <c:pt idx="540">
                  <c:v>45751</c:v>
                </c:pt>
                <c:pt idx="541">
                  <c:v>45752</c:v>
                </c:pt>
                <c:pt idx="542">
                  <c:v>45753</c:v>
                </c:pt>
                <c:pt idx="543">
                  <c:v>45754</c:v>
                </c:pt>
                <c:pt idx="544">
                  <c:v>45755</c:v>
                </c:pt>
                <c:pt idx="545">
                  <c:v>45756</c:v>
                </c:pt>
                <c:pt idx="546">
                  <c:v>45757</c:v>
                </c:pt>
                <c:pt idx="547">
                  <c:v>45758</c:v>
                </c:pt>
                <c:pt idx="548">
                  <c:v>45759</c:v>
                </c:pt>
                <c:pt idx="549">
                  <c:v>45760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45765</c:v>
                </c:pt>
                <c:pt idx="555">
                  <c:v>45766</c:v>
                </c:pt>
                <c:pt idx="556">
                  <c:v>45767</c:v>
                </c:pt>
                <c:pt idx="557">
                  <c:v>45768</c:v>
                </c:pt>
                <c:pt idx="558">
                  <c:v>45769</c:v>
                </c:pt>
                <c:pt idx="559">
                  <c:v>45770</c:v>
                </c:pt>
                <c:pt idx="560">
                  <c:v>45771</c:v>
                </c:pt>
                <c:pt idx="561">
                  <c:v>45772</c:v>
                </c:pt>
                <c:pt idx="562">
                  <c:v>45773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45779</c:v>
                </c:pt>
                <c:pt idx="569">
                  <c:v>45780</c:v>
                </c:pt>
                <c:pt idx="570">
                  <c:v>45781</c:v>
                </c:pt>
                <c:pt idx="571">
                  <c:v>45782</c:v>
                </c:pt>
                <c:pt idx="572">
                  <c:v>45783</c:v>
                </c:pt>
                <c:pt idx="573">
                  <c:v>45784</c:v>
                </c:pt>
                <c:pt idx="574">
                  <c:v>45785</c:v>
                </c:pt>
                <c:pt idx="575">
                  <c:v>45786</c:v>
                </c:pt>
                <c:pt idx="576">
                  <c:v>45787</c:v>
                </c:pt>
                <c:pt idx="577">
                  <c:v>45788</c:v>
                </c:pt>
                <c:pt idx="578">
                  <c:v>45789</c:v>
                </c:pt>
                <c:pt idx="579">
                  <c:v>45790</c:v>
                </c:pt>
                <c:pt idx="580">
                  <c:v>45791</c:v>
                </c:pt>
                <c:pt idx="581">
                  <c:v>45792</c:v>
                </c:pt>
                <c:pt idx="582">
                  <c:v>45793</c:v>
                </c:pt>
                <c:pt idx="583">
                  <c:v>45794</c:v>
                </c:pt>
                <c:pt idx="584">
                  <c:v>45795</c:v>
                </c:pt>
                <c:pt idx="585">
                  <c:v>45796</c:v>
                </c:pt>
                <c:pt idx="586">
                  <c:v>45797</c:v>
                </c:pt>
                <c:pt idx="587">
                  <c:v>45798</c:v>
                </c:pt>
                <c:pt idx="588">
                  <c:v>45799</c:v>
                </c:pt>
                <c:pt idx="589">
                  <c:v>45800</c:v>
                </c:pt>
                <c:pt idx="590">
                  <c:v>45801</c:v>
                </c:pt>
                <c:pt idx="591">
                  <c:v>45802</c:v>
                </c:pt>
                <c:pt idx="592">
                  <c:v>45803</c:v>
                </c:pt>
                <c:pt idx="593">
                  <c:v>45804</c:v>
                </c:pt>
                <c:pt idx="594">
                  <c:v>45805</c:v>
                </c:pt>
                <c:pt idx="595">
                  <c:v>45806</c:v>
                </c:pt>
                <c:pt idx="596">
                  <c:v>45807</c:v>
                </c:pt>
                <c:pt idx="597">
                  <c:v>45808</c:v>
                </c:pt>
                <c:pt idx="598">
                  <c:v>45809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45815</c:v>
                </c:pt>
                <c:pt idx="605">
                  <c:v>45816</c:v>
                </c:pt>
                <c:pt idx="606">
                  <c:v>45817</c:v>
                </c:pt>
                <c:pt idx="607">
                  <c:v>45818</c:v>
                </c:pt>
                <c:pt idx="608">
                  <c:v>45819</c:v>
                </c:pt>
                <c:pt idx="609">
                  <c:v>45820</c:v>
                </c:pt>
                <c:pt idx="610">
                  <c:v>45821</c:v>
                </c:pt>
                <c:pt idx="611">
                  <c:v>45822</c:v>
                </c:pt>
                <c:pt idx="612">
                  <c:v>45823</c:v>
                </c:pt>
                <c:pt idx="613">
                  <c:v>45824</c:v>
                </c:pt>
                <c:pt idx="614">
                  <c:v>45825</c:v>
                </c:pt>
                <c:pt idx="615">
                  <c:v>45826</c:v>
                </c:pt>
                <c:pt idx="616">
                  <c:v>45827</c:v>
                </c:pt>
                <c:pt idx="617">
                  <c:v>45828</c:v>
                </c:pt>
                <c:pt idx="618">
                  <c:v>45829</c:v>
                </c:pt>
                <c:pt idx="619">
                  <c:v>45830</c:v>
                </c:pt>
                <c:pt idx="620">
                  <c:v>45831</c:v>
                </c:pt>
                <c:pt idx="621">
                  <c:v>45832</c:v>
                </c:pt>
                <c:pt idx="622">
                  <c:v>45833</c:v>
                </c:pt>
                <c:pt idx="623">
                  <c:v>45834</c:v>
                </c:pt>
                <c:pt idx="624">
                  <c:v>45835</c:v>
                </c:pt>
                <c:pt idx="625">
                  <c:v>45836</c:v>
                </c:pt>
                <c:pt idx="626">
                  <c:v>45837</c:v>
                </c:pt>
                <c:pt idx="627">
                  <c:v>45838</c:v>
                </c:pt>
                <c:pt idx="628">
                  <c:v>45839</c:v>
                </c:pt>
                <c:pt idx="629">
                  <c:v>45840</c:v>
                </c:pt>
                <c:pt idx="630">
                  <c:v>45841</c:v>
                </c:pt>
                <c:pt idx="631">
                  <c:v>45842</c:v>
                </c:pt>
                <c:pt idx="632">
                  <c:v>45843</c:v>
                </c:pt>
                <c:pt idx="633">
                  <c:v>45844</c:v>
                </c:pt>
                <c:pt idx="634">
                  <c:v>45845</c:v>
                </c:pt>
                <c:pt idx="635">
                  <c:v>45846</c:v>
                </c:pt>
                <c:pt idx="636">
                  <c:v>45847</c:v>
                </c:pt>
                <c:pt idx="637">
                  <c:v>45848</c:v>
                </c:pt>
                <c:pt idx="638">
                  <c:v>45849</c:v>
                </c:pt>
                <c:pt idx="639">
                  <c:v>45850</c:v>
                </c:pt>
                <c:pt idx="640">
                  <c:v>45851</c:v>
                </c:pt>
                <c:pt idx="641">
                  <c:v>45852</c:v>
                </c:pt>
                <c:pt idx="642">
                  <c:v>45853</c:v>
                </c:pt>
                <c:pt idx="643">
                  <c:v>45854</c:v>
                </c:pt>
                <c:pt idx="644">
                  <c:v>45855</c:v>
                </c:pt>
                <c:pt idx="645">
                  <c:v>45856</c:v>
                </c:pt>
                <c:pt idx="646">
                  <c:v>45857</c:v>
                </c:pt>
                <c:pt idx="647">
                  <c:v>45858</c:v>
                </c:pt>
                <c:pt idx="648">
                  <c:v>45859</c:v>
                </c:pt>
                <c:pt idx="649">
                  <c:v>45860</c:v>
                </c:pt>
                <c:pt idx="650">
                  <c:v>45861</c:v>
                </c:pt>
                <c:pt idx="651">
                  <c:v>45862</c:v>
                </c:pt>
                <c:pt idx="652">
                  <c:v>45863</c:v>
                </c:pt>
                <c:pt idx="653">
                  <c:v>45864</c:v>
                </c:pt>
                <c:pt idx="654">
                  <c:v>45865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45871</c:v>
                </c:pt>
                <c:pt idx="661">
                  <c:v>45872</c:v>
                </c:pt>
                <c:pt idx="662">
                  <c:v>45873</c:v>
                </c:pt>
                <c:pt idx="663">
                  <c:v>45874</c:v>
                </c:pt>
                <c:pt idx="664">
                  <c:v>45875</c:v>
                </c:pt>
                <c:pt idx="665">
                  <c:v>45876</c:v>
                </c:pt>
                <c:pt idx="666">
                  <c:v>45877</c:v>
                </c:pt>
                <c:pt idx="667">
                  <c:v>45878</c:v>
                </c:pt>
                <c:pt idx="668">
                  <c:v>45879</c:v>
                </c:pt>
                <c:pt idx="669">
                  <c:v>45880</c:v>
                </c:pt>
                <c:pt idx="670">
                  <c:v>45881</c:v>
                </c:pt>
                <c:pt idx="671">
                  <c:v>45882</c:v>
                </c:pt>
                <c:pt idx="672">
                  <c:v>45883</c:v>
                </c:pt>
                <c:pt idx="673">
                  <c:v>45884</c:v>
                </c:pt>
                <c:pt idx="674">
                  <c:v>45885</c:v>
                </c:pt>
                <c:pt idx="675">
                  <c:v>45886</c:v>
                </c:pt>
                <c:pt idx="676">
                  <c:v>45887</c:v>
                </c:pt>
                <c:pt idx="677">
                  <c:v>45888</c:v>
                </c:pt>
                <c:pt idx="678">
                  <c:v>45889</c:v>
                </c:pt>
                <c:pt idx="679">
                  <c:v>45890</c:v>
                </c:pt>
                <c:pt idx="680">
                  <c:v>45891</c:v>
                </c:pt>
                <c:pt idx="681">
                  <c:v>45892</c:v>
                </c:pt>
                <c:pt idx="682">
                  <c:v>45893</c:v>
                </c:pt>
                <c:pt idx="683">
                  <c:v>45894</c:v>
                </c:pt>
                <c:pt idx="684">
                  <c:v>45895</c:v>
                </c:pt>
                <c:pt idx="685">
                  <c:v>45896</c:v>
                </c:pt>
                <c:pt idx="686">
                  <c:v>45897</c:v>
                </c:pt>
                <c:pt idx="687">
                  <c:v>45898</c:v>
                </c:pt>
                <c:pt idx="688">
                  <c:v>45899</c:v>
                </c:pt>
                <c:pt idx="689">
                  <c:v>45900</c:v>
                </c:pt>
                <c:pt idx="690">
                  <c:v>45901</c:v>
                </c:pt>
                <c:pt idx="691">
                  <c:v>45902</c:v>
                </c:pt>
                <c:pt idx="692">
                  <c:v>45903</c:v>
                </c:pt>
                <c:pt idx="693">
                  <c:v>45904</c:v>
                </c:pt>
                <c:pt idx="694">
                  <c:v>45905</c:v>
                </c:pt>
                <c:pt idx="695">
                  <c:v>45906</c:v>
                </c:pt>
                <c:pt idx="696">
                  <c:v>45907</c:v>
                </c:pt>
                <c:pt idx="697">
                  <c:v>45908</c:v>
                </c:pt>
                <c:pt idx="698">
                  <c:v>45909</c:v>
                </c:pt>
                <c:pt idx="699">
                  <c:v>45910</c:v>
                </c:pt>
                <c:pt idx="700">
                  <c:v>45911</c:v>
                </c:pt>
                <c:pt idx="701">
                  <c:v>45912</c:v>
                </c:pt>
                <c:pt idx="702">
                  <c:v>45913</c:v>
                </c:pt>
                <c:pt idx="703">
                  <c:v>45914</c:v>
                </c:pt>
                <c:pt idx="704">
                  <c:v>45915</c:v>
                </c:pt>
                <c:pt idx="705">
                  <c:v>45916</c:v>
                </c:pt>
                <c:pt idx="706">
                  <c:v>45917</c:v>
                </c:pt>
                <c:pt idx="707">
                  <c:v>45918</c:v>
                </c:pt>
                <c:pt idx="708">
                  <c:v>45919</c:v>
                </c:pt>
                <c:pt idx="709">
                  <c:v>45920</c:v>
                </c:pt>
                <c:pt idx="710">
                  <c:v>45921</c:v>
                </c:pt>
                <c:pt idx="711">
                  <c:v>45922</c:v>
                </c:pt>
                <c:pt idx="712">
                  <c:v>45923</c:v>
                </c:pt>
                <c:pt idx="713">
                  <c:v>45924</c:v>
                </c:pt>
                <c:pt idx="714">
                  <c:v>45925</c:v>
                </c:pt>
                <c:pt idx="715">
                  <c:v>45926</c:v>
                </c:pt>
                <c:pt idx="716">
                  <c:v>45927</c:v>
                </c:pt>
                <c:pt idx="717">
                  <c:v>45928</c:v>
                </c:pt>
                <c:pt idx="718">
                  <c:v>45929</c:v>
                </c:pt>
                <c:pt idx="719">
                  <c:v>45930</c:v>
                </c:pt>
                <c:pt idx="720">
                  <c:v>45931</c:v>
                </c:pt>
                <c:pt idx="721">
                  <c:v>45932</c:v>
                </c:pt>
                <c:pt idx="722">
                  <c:v>45933</c:v>
                </c:pt>
                <c:pt idx="723">
                  <c:v>45934</c:v>
                </c:pt>
                <c:pt idx="724">
                  <c:v>45935</c:v>
                </c:pt>
                <c:pt idx="725">
                  <c:v>45936</c:v>
                </c:pt>
                <c:pt idx="726">
                  <c:v>45937</c:v>
                </c:pt>
                <c:pt idx="727">
                  <c:v>45938</c:v>
                </c:pt>
                <c:pt idx="728">
                  <c:v>45939</c:v>
                </c:pt>
                <c:pt idx="729">
                  <c:v>45940</c:v>
                </c:pt>
                <c:pt idx="730">
                  <c:v>45941</c:v>
                </c:pt>
                <c:pt idx="731">
                  <c:v>45942</c:v>
                </c:pt>
                <c:pt idx="732">
                  <c:v>45943</c:v>
                </c:pt>
                <c:pt idx="733">
                  <c:v>45944</c:v>
                </c:pt>
                <c:pt idx="734">
                  <c:v>45945</c:v>
                </c:pt>
                <c:pt idx="735">
                  <c:v>45946</c:v>
                </c:pt>
                <c:pt idx="736">
                  <c:v>45947</c:v>
                </c:pt>
                <c:pt idx="737">
                  <c:v>45948</c:v>
                </c:pt>
                <c:pt idx="738">
                  <c:v>45949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45955</c:v>
                </c:pt>
                <c:pt idx="745">
                  <c:v>45956</c:v>
                </c:pt>
                <c:pt idx="746">
                  <c:v>45957</c:v>
                </c:pt>
                <c:pt idx="747">
                  <c:v>45958</c:v>
                </c:pt>
                <c:pt idx="748">
                  <c:v>45959</c:v>
                </c:pt>
                <c:pt idx="749">
                  <c:v>45960</c:v>
                </c:pt>
                <c:pt idx="750">
                  <c:v>45961</c:v>
                </c:pt>
                <c:pt idx="751">
                  <c:v>45962</c:v>
                </c:pt>
                <c:pt idx="752">
                  <c:v>45963</c:v>
                </c:pt>
                <c:pt idx="753">
                  <c:v>45964</c:v>
                </c:pt>
                <c:pt idx="754">
                  <c:v>45965</c:v>
                </c:pt>
                <c:pt idx="755">
                  <c:v>45966</c:v>
                </c:pt>
                <c:pt idx="756">
                  <c:v>45967</c:v>
                </c:pt>
                <c:pt idx="757">
                  <c:v>45968</c:v>
                </c:pt>
                <c:pt idx="758">
                  <c:v>45969</c:v>
                </c:pt>
                <c:pt idx="759">
                  <c:v>45970</c:v>
                </c:pt>
                <c:pt idx="760">
                  <c:v>45971</c:v>
                </c:pt>
                <c:pt idx="761">
                  <c:v>45972</c:v>
                </c:pt>
                <c:pt idx="762">
                  <c:v>45973</c:v>
                </c:pt>
                <c:pt idx="763">
                  <c:v>45974</c:v>
                </c:pt>
                <c:pt idx="764">
                  <c:v>45975</c:v>
                </c:pt>
                <c:pt idx="765">
                  <c:v>45976</c:v>
                </c:pt>
                <c:pt idx="766">
                  <c:v>45977</c:v>
                </c:pt>
                <c:pt idx="767">
                  <c:v>45978</c:v>
                </c:pt>
                <c:pt idx="768">
                  <c:v>45979</c:v>
                </c:pt>
                <c:pt idx="769">
                  <c:v>45980</c:v>
                </c:pt>
                <c:pt idx="770">
                  <c:v>45981</c:v>
                </c:pt>
                <c:pt idx="771">
                  <c:v>45982</c:v>
                </c:pt>
                <c:pt idx="772">
                  <c:v>45983</c:v>
                </c:pt>
                <c:pt idx="773">
                  <c:v>45984</c:v>
                </c:pt>
                <c:pt idx="774">
                  <c:v>45985</c:v>
                </c:pt>
                <c:pt idx="775">
                  <c:v>45986</c:v>
                </c:pt>
                <c:pt idx="776">
                  <c:v>45987</c:v>
                </c:pt>
                <c:pt idx="777">
                  <c:v>45988</c:v>
                </c:pt>
                <c:pt idx="778">
                  <c:v>45989</c:v>
                </c:pt>
                <c:pt idx="779">
                  <c:v>45990</c:v>
                </c:pt>
                <c:pt idx="780">
                  <c:v>45991</c:v>
                </c:pt>
                <c:pt idx="781">
                  <c:v>45992</c:v>
                </c:pt>
                <c:pt idx="782">
                  <c:v>45993</c:v>
                </c:pt>
                <c:pt idx="783">
                  <c:v>45994</c:v>
                </c:pt>
                <c:pt idx="784">
                  <c:v>45995</c:v>
                </c:pt>
                <c:pt idx="785">
                  <c:v>45996</c:v>
                </c:pt>
                <c:pt idx="786">
                  <c:v>45997</c:v>
                </c:pt>
                <c:pt idx="787">
                  <c:v>45998</c:v>
                </c:pt>
                <c:pt idx="788">
                  <c:v>45999</c:v>
                </c:pt>
                <c:pt idx="789">
                  <c:v>46000</c:v>
                </c:pt>
                <c:pt idx="790">
                  <c:v>46001</c:v>
                </c:pt>
                <c:pt idx="791">
                  <c:v>46002</c:v>
                </c:pt>
                <c:pt idx="792">
                  <c:v>46003</c:v>
                </c:pt>
                <c:pt idx="793">
                  <c:v>46004</c:v>
                </c:pt>
                <c:pt idx="794">
                  <c:v>46005</c:v>
                </c:pt>
                <c:pt idx="795">
                  <c:v>46006</c:v>
                </c:pt>
                <c:pt idx="796">
                  <c:v>46007</c:v>
                </c:pt>
                <c:pt idx="797">
                  <c:v>46008</c:v>
                </c:pt>
                <c:pt idx="798">
                  <c:v>46009</c:v>
                </c:pt>
                <c:pt idx="799">
                  <c:v>46010</c:v>
                </c:pt>
                <c:pt idx="800">
                  <c:v>46011</c:v>
                </c:pt>
                <c:pt idx="801">
                  <c:v>46012</c:v>
                </c:pt>
                <c:pt idx="802">
                  <c:v>46013</c:v>
                </c:pt>
                <c:pt idx="803">
                  <c:v>46014</c:v>
                </c:pt>
                <c:pt idx="804">
                  <c:v>46015</c:v>
                </c:pt>
                <c:pt idx="805">
                  <c:v>46016</c:v>
                </c:pt>
                <c:pt idx="806">
                  <c:v>46017</c:v>
                </c:pt>
                <c:pt idx="807">
                  <c:v>46018</c:v>
                </c:pt>
                <c:pt idx="808">
                  <c:v>46019</c:v>
                </c:pt>
                <c:pt idx="809">
                  <c:v>46020</c:v>
                </c:pt>
                <c:pt idx="810">
                  <c:v>46021</c:v>
                </c:pt>
                <c:pt idx="811">
                  <c:v>46022</c:v>
                </c:pt>
                <c:pt idx="812">
                  <c:v>46023</c:v>
                </c:pt>
                <c:pt idx="813">
                  <c:v>46024</c:v>
                </c:pt>
                <c:pt idx="814">
                  <c:v>46025</c:v>
                </c:pt>
                <c:pt idx="815">
                  <c:v>46026</c:v>
                </c:pt>
                <c:pt idx="816">
                  <c:v>46027</c:v>
                </c:pt>
                <c:pt idx="817">
                  <c:v>46028</c:v>
                </c:pt>
                <c:pt idx="818">
                  <c:v>46029</c:v>
                </c:pt>
                <c:pt idx="819">
                  <c:v>46030</c:v>
                </c:pt>
                <c:pt idx="820">
                  <c:v>46031</c:v>
                </c:pt>
                <c:pt idx="821">
                  <c:v>46032</c:v>
                </c:pt>
                <c:pt idx="822">
                  <c:v>46033</c:v>
                </c:pt>
                <c:pt idx="823">
                  <c:v>46034</c:v>
                </c:pt>
                <c:pt idx="824">
                  <c:v>46035</c:v>
                </c:pt>
                <c:pt idx="825">
                  <c:v>46036</c:v>
                </c:pt>
                <c:pt idx="826">
                  <c:v>46037</c:v>
                </c:pt>
                <c:pt idx="827">
                  <c:v>46038</c:v>
                </c:pt>
                <c:pt idx="828">
                  <c:v>46039</c:v>
                </c:pt>
                <c:pt idx="829">
                  <c:v>46040</c:v>
                </c:pt>
                <c:pt idx="830">
                  <c:v>46041</c:v>
                </c:pt>
                <c:pt idx="831">
                  <c:v>46042</c:v>
                </c:pt>
                <c:pt idx="832">
                  <c:v>46043</c:v>
                </c:pt>
                <c:pt idx="833">
                  <c:v>46044</c:v>
                </c:pt>
                <c:pt idx="834">
                  <c:v>46045</c:v>
                </c:pt>
                <c:pt idx="835">
                  <c:v>46046</c:v>
                </c:pt>
                <c:pt idx="836">
                  <c:v>46047</c:v>
                </c:pt>
                <c:pt idx="837">
                  <c:v>46048</c:v>
                </c:pt>
                <c:pt idx="838">
                  <c:v>46049</c:v>
                </c:pt>
                <c:pt idx="839">
                  <c:v>46050</c:v>
                </c:pt>
                <c:pt idx="840">
                  <c:v>46051</c:v>
                </c:pt>
                <c:pt idx="841">
                  <c:v>46052</c:v>
                </c:pt>
                <c:pt idx="842">
                  <c:v>46053</c:v>
                </c:pt>
                <c:pt idx="843">
                  <c:v>46054</c:v>
                </c:pt>
                <c:pt idx="844">
                  <c:v>46055</c:v>
                </c:pt>
                <c:pt idx="845">
                  <c:v>46056</c:v>
                </c:pt>
                <c:pt idx="846">
                  <c:v>46057</c:v>
                </c:pt>
                <c:pt idx="847">
                  <c:v>46058</c:v>
                </c:pt>
                <c:pt idx="848">
                  <c:v>46059</c:v>
                </c:pt>
                <c:pt idx="849">
                  <c:v>46060</c:v>
                </c:pt>
                <c:pt idx="850">
                  <c:v>46061</c:v>
                </c:pt>
                <c:pt idx="851">
                  <c:v>46062</c:v>
                </c:pt>
                <c:pt idx="852">
                  <c:v>46063</c:v>
                </c:pt>
                <c:pt idx="853">
                  <c:v>46064</c:v>
                </c:pt>
                <c:pt idx="854">
                  <c:v>46065</c:v>
                </c:pt>
                <c:pt idx="855">
                  <c:v>46066</c:v>
                </c:pt>
                <c:pt idx="856">
                  <c:v>46067</c:v>
                </c:pt>
                <c:pt idx="857">
                  <c:v>46068</c:v>
                </c:pt>
                <c:pt idx="858">
                  <c:v>46069</c:v>
                </c:pt>
                <c:pt idx="859">
                  <c:v>46070</c:v>
                </c:pt>
                <c:pt idx="860">
                  <c:v>46071</c:v>
                </c:pt>
                <c:pt idx="861">
                  <c:v>46072</c:v>
                </c:pt>
                <c:pt idx="862">
                  <c:v>46073</c:v>
                </c:pt>
                <c:pt idx="863">
                  <c:v>46074</c:v>
                </c:pt>
                <c:pt idx="864">
                  <c:v>46075</c:v>
                </c:pt>
                <c:pt idx="865">
                  <c:v>46076</c:v>
                </c:pt>
                <c:pt idx="866">
                  <c:v>46077</c:v>
                </c:pt>
                <c:pt idx="867">
                  <c:v>46078</c:v>
                </c:pt>
                <c:pt idx="868">
                  <c:v>46079</c:v>
                </c:pt>
                <c:pt idx="869">
                  <c:v>46080</c:v>
                </c:pt>
                <c:pt idx="870">
                  <c:v>46081</c:v>
                </c:pt>
                <c:pt idx="871">
                  <c:v>46082</c:v>
                </c:pt>
                <c:pt idx="872">
                  <c:v>46083</c:v>
                </c:pt>
                <c:pt idx="873">
                  <c:v>46084</c:v>
                </c:pt>
                <c:pt idx="874">
                  <c:v>46085</c:v>
                </c:pt>
                <c:pt idx="875">
                  <c:v>46086</c:v>
                </c:pt>
                <c:pt idx="876">
                  <c:v>46087</c:v>
                </c:pt>
                <c:pt idx="877">
                  <c:v>46088</c:v>
                </c:pt>
                <c:pt idx="878">
                  <c:v>46089</c:v>
                </c:pt>
                <c:pt idx="879">
                  <c:v>46090</c:v>
                </c:pt>
                <c:pt idx="880">
                  <c:v>46091</c:v>
                </c:pt>
                <c:pt idx="881">
                  <c:v>46092</c:v>
                </c:pt>
                <c:pt idx="882">
                  <c:v>46093</c:v>
                </c:pt>
                <c:pt idx="883">
                  <c:v>46094</c:v>
                </c:pt>
                <c:pt idx="884">
                  <c:v>46095</c:v>
                </c:pt>
                <c:pt idx="885">
                  <c:v>46096</c:v>
                </c:pt>
                <c:pt idx="886">
                  <c:v>46097</c:v>
                </c:pt>
                <c:pt idx="887">
                  <c:v>46098</c:v>
                </c:pt>
                <c:pt idx="888">
                  <c:v>46099</c:v>
                </c:pt>
                <c:pt idx="889">
                  <c:v>46100</c:v>
                </c:pt>
                <c:pt idx="890">
                  <c:v>46101</c:v>
                </c:pt>
                <c:pt idx="891">
                  <c:v>46102</c:v>
                </c:pt>
                <c:pt idx="892">
                  <c:v>46103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46107</c:v>
                </c:pt>
                <c:pt idx="897">
                  <c:v>46108</c:v>
                </c:pt>
                <c:pt idx="898">
                  <c:v>46109</c:v>
                </c:pt>
                <c:pt idx="899">
                  <c:v>46110</c:v>
                </c:pt>
                <c:pt idx="900">
                  <c:v>46111</c:v>
                </c:pt>
                <c:pt idx="901">
                  <c:v>46112</c:v>
                </c:pt>
                <c:pt idx="902">
                  <c:v>46113</c:v>
                </c:pt>
                <c:pt idx="903">
                  <c:v>46114</c:v>
                </c:pt>
                <c:pt idx="904">
                  <c:v>46115</c:v>
                </c:pt>
                <c:pt idx="905">
                  <c:v>46116</c:v>
                </c:pt>
                <c:pt idx="906">
                  <c:v>46117</c:v>
                </c:pt>
                <c:pt idx="907">
                  <c:v>46118</c:v>
                </c:pt>
                <c:pt idx="908">
                  <c:v>46119</c:v>
                </c:pt>
                <c:pt idx="909">
                  <c:v>46120</c:v>
                </c:pt>
                <c:pt idx="910">
                  <c:v>46121</c:v>
                </c:pt>
                <c:pt idx="911">
                  <c:v>46122</c:v>
                </c:pt>
                <c:pt idx="912">
                  <c:v>46123</c:v>
                </c:pt>
                <c:pt idx="913">
                  <c:v>46124</c:v>
                </c:pt>
                <c:pt idx="914">
                  <c:v>46125</c:v>
                </c:pt>
                <c:pt idx="915">
                  <c:v>46126</c:v>
                </c:pt>
                <c:pt idx="916">
                  <c:v>46127</c:v>
                </c:pt>
                <c:pt idx="917">
                  <c:v>46128</c:v>
                </c:pt>
                <c:pt idx="918">
                  <c:v>46129</c:v>
                </c:pt>
                <c:pt idx="919">
                  <c:v>46130</c:v>
                </c:pt>
                <c:pt idx="920">
                  <c:v>46131</c:v>
                </c:pt>
                <c:pt idx="921">
                  <c:v>46132</c:v>
                </c:pt>
                <c:pt idx="922">
                  <c:v>46133</c:v>
                </c:pt>
                <c:pt idx="923">
                  <c:v>46134</c:v>
                </c:pt>
                <c:pt idx="924">
                  <c:v>46135</c:v>
                </c:pt>
                <c:pt idx="925">
                  <c:v>46136</c:v>
                </c:pt>
                <c:pt idx="926">
                  <c:v>46137</c:v>
                </c:pt>
                <c:pt idx="927">
                  <c:v>46138</c:v>
                </c:pt>
                <c:pt idx="928">
                  <c:v>46139</c:v>
                </c:pt>
                <c:pt idx="929">
                  <c:v>46140</c:v>
                </c:pt>
                <c:pt idx="930">
                  <c:v>46141</c:v>
                </c:pt>
                <c:pt idx="931">
                  <c:v>46142</c:v>
                </c:pt>
                <c:pt idx="932">
                  <c:v>46143</c:v>
                </c:pt>
                <c:pt idx="933">
                  <c:v>46144</c:v>
                </c:pt>
                <c:pt idx="934">
                  <c:v>46145</c:v>
                </c:pt>
                <c:pt idx="935">
                  <c:v>46146</c:v>
                </c:pt>
                <c:pt idx="936">
                  <c:v>46147</c:v>
                </c:pt>
                <c:pt idx="937">
                  <c:v>46148</c:v>
                </c:pt>
                <c:pt idx="938">
                  <c:v>46149</c:v>
                </c:pt>
                <c:pt idx="939">
                  <c:v>46150</c:v>
                </c:pt>
                <c:pt idx="940">
                  <c:v>46151</c:v>
                </c:pt>
                <c:pt idx="941">
                  <c:v>46152</c:v>
                </c:pt>
                <c:pt idx="942">
                  <c:v>46153</c:v>
                </c:pt>
                <c:pt idx="943">
                  <c:v>46154</c:v>
                </c:pt>
                <c:pt idx="944">
                  <c:v>46155</c:v>
                </c:pt>
                <c:pt idx="945">
                  <c:v>46156</c:v>
                </c:pt>
                <c:pt idx="946">
                  <c:v>46157</c:v>
                </c:pt>
                <c:pt idx="947">
                  <c:v>46158</c:v>
                </c:pt>
                <c:pt idx="948">
                  <c:v>46159</c:v>
                </c:pt>
                <c:pt idx="949">
                  <c:v>46160</c:v>
                </c:pt>
                <c:pt idx="950">
                  <c:v>46161</c:v>
                </c:pt>
                <c:pt idx="951">
                  <c:v>46162</c:v>
                </c:pt>
                <c:pt idx="952">
                  <c:v>46163</c:v>
                </c:pt>
                <c:pt idx="953">
                  <c:v>46164</c:v>
                </c:pt>
                <c:pt idx="954">
                  <c:v>46165</c:v>
                </c:pt>
                <c:pt idx="955">
                  <c:v>46166</c:v>
                </c:pt>
                <c:pt idx="956">
                  <c:v>46167</c:v>
                </c:pt>
                <c:pt idx="957">
                  <c:v>46168</c:v>
                </c:pt>
                <c:pt idx="958">
                  <c:v>46169</c:v>
                </c:pt>
                <c:pt idx="959">
                  <c:v>46170</c:v>
                </c:pt>
                <c:pt idx="960">
                  <c:v>46171</c:v>
                </c:pt>
                <c:pt idx="961">
                  <c:v>46172</c:v>
                </c:pt>
                <c:pt idx="962">
                  <c:v>46173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46179</c:v>
                </c:pt>
                <c:pt idx="969">
                  <c:v>46180</c:v>
                </c:pt>
                <c:pt idx="970">
                  <c:v>46181</c:v>
                </c:pt>
                <c:pt idx="971">
                  <c:v>46182</c:v>
                </c:pt>
                <c:pt idx="972">
                  <c:v>46183</c:v>
                </c:pt>
                <c:pt idx="973">
                  <c:v>46184</c:v>
                </c:pt>
                <c:pt idx="974">
                  <c:v>46185</c:v>
                </c:pt>
                <c:pt idx="975">
                  <c:v>46186</c:v>
                </c:pt>
                <c:pt idx="976">
                  <c:v>46187</c:v>
                </c:pt>
                <c:pt idx="977">
                  <c:v>46188</c:v>
                </c:pt>
                <c:pt idx="978">
                  <c:v>46189</c:v>
                </c:pt>
                <c:pt idx="979">
                  <c:v>46190</c:v>
                </c:pt>
                <c:pt idx="980">
                  <c:v>46191</c:v>
                </c:pt>
                <c:pt idx="981">
                  <c:v>46192</c:v>
                </c:pt>
                <c:pt idx="982">
                  <c:v>46193</c:v>
                </c:pt>
                <c:pt idx="983">
                  <c:v>46194</c:v>
                </c:pt>
                <c:pt idx="984">
                  <c:v>46195</c:v>
                </c:pt>
                <c:pt idx="985">
                  <c:v>46196</c:v>
                </c:pt>
                <c:pt idx="986">
                  <c:v>46197</c:v>
                </c:pt>
                <c:pt idx="987">
                  <c:v>46198</c:v>
                </c:pt>
                <c:pt idx="988">
                  <c:v>46199</c:v>
                </c:pt>
                <c:pt idx="989">
                  <c:v>46200</c:v>
                </c:pt>
                <c:pt idx="990">
                  <c:v>46201</c:v>
                </c:pt>
                <c:pt idx="991">
                  <c:v>46202</c:v>
                </c:pt>
                <c:pt idx="992">
                  <c:v>46203</c:v>
                </c:pt>
                <c:pt idx="993">
                  <c:v>46204</c:v>
                </c:pt>
                <c:pt idx="994">
                  <c:v>46205</c:v>
                </c:pt>
                <c:pt idx="995">
                  <c:v>46206</c:v>
                </c:pt>
                <c:pt idx="996">
                  <c:v>46207</c:v>
                </c:pt>
                <c:pt idx="997">
                  <c:v>46208</c:v>
                </c:pt>
                <c:pt idx="998">
                  <c:v>46209</c:v>
                </c:pt>
                <c:pt idx="999">
                  <c:v>46210</c:v>
                </c:pt>
                <c:pt idx="1000">
                  <c:v>46211</c:v>
                </c:pt>
                <c:pt idx="1001">
                  <c:v>46212</c:v>
                </c:pt>
                <c:pt idx="1002">
                  <c:v>46213</c:v>
                </c:pt>
                <c:pt idx="1003">
                  <c:v>46214</c:v>
                </c:pt>
                <c:pt idx="1004">
                  <c:v>46215</c:v>
                </c:pt>
                <c:pt idx="1005">
                  <c:v>46216</c:v>
                </c:pt>
                <c:pt idx="1006">
                  <c:v>46217</c:v>
                </c:pt>
                <c:pt idx="1007">
                  <c:v>46218</c:v>
                </c:pt>
                <c:pt idx="1008">
                  <c:v>46219</c:v>
                </c:pt>
                <c:pt idx="1009">
                  <c:v>46220</c:v>
                </c:pt>
                <c:pt idx="1010">
                  <c:v>46221</c:v>
                </c:pt>
                <c:pt idx="1011">
                  <c:v>46222</c:v>
                </c:pt>
                <c:pt idx="1012">
                  <c:v>46223</c:v>
                </c:pt>
                <c:pt idx="1013">
                  <c:v>46224</c:v>
                </c:pt>
                <c:pt idx="1014">
                  <c:v>46225</c:v>
                </c:pt>
                <c:pt idx="1015">
                  <c:v>46226</c:v>
                </c:pt>
                <c:pt idx="1016">
                  <c:v>46227</c:v>
                </c:pt>
                <c:pt idx="1017">
                  <c:v>46228</c:v>
                </c:pt>
                <c:pt idx="1018">
                  <c:v>46229</c:v>
                </c:pt>
                <c:pt idx="1019">
                  <c:v>46230</c:v>
                </c:pt>
                <c:pt idx="1020">
                  <c:v>46231</c:v>
                </c:pt>
                <c:pt idx="1021">
                  <c:v>46232</c:v>
                </c:pt>
                <c:pt idx="1022">
                  <c:v>46233</c:v>
                </c:pt>
                <c:pt idx="1023">
                  <c:v>46234</c:v>
                </c:pt>
                <c:pt idx="1024">
                  <c:v>46235</c:v>
                </c:pt>
                <c:pt idx="1025">
                  <c:v>46236</c:v>
                </c:pt>
                <c:pt idx="1026">
                  <c:v>46237</c:v>
                </c:pt>
                <c:pt idx="1027">
                  <c:v>46238</c:v>
                </c:pt>
                <c:pt idx="1028">
                  <c:v>46239</c:v>
                </c:pt>
                <c:pt idx="1029">
                  <c:v>46240</c:v>
                </c:pt>
                <c:pt idx="1030">
                  <c:v>46241</c:v>
                </c:pt>
                <c:pt idx="1031">
                  <c:v>46242</c:v>
                </c:pt>
                <c:pt idx="1032">
                  <c:v>46243</c:v>
                </c:pt>
                <c:pt idx="1033">
                  <c:v>46244</c:v>
                </c:pt>
                <c:pt idx="1034">
                  <c:v>46245</c:v>
                </c:pt>
                <c:pt idx="1035">
                  <c:v>46246</c:v>
                </c:pt>
                <c:pt idx="1036">
                  <c:v>46247</c:v>
                </c:pt>
                <c:pt idx="1037">
                  <c:v>46248</c:v>
                </c:pt>
                <c:pt idx="1038">
                  <c:v>46249</c:v>
                </c:pt>
                <c:pt idx="1039">
                  <c:v>46250</c:v>
                </c:pt>
                <c:pt idx="1040">
                  <c:v>46251</c:v>
                </c:pt>
                <c:pt idx="1041">
                  <c:v>46252</c:v>
                </c:pt>
                <c:pt idx="1042">
                  <c:v>46253</c:v>
                </c:pt>
                <c:pt idx="1043">
                  <c:v>46254</c:v>
                </c:pt>
                <c:pt idx="1044">
                  <c:v>46255</c:v>
                </c:pt>
                <c:pt idx="1045">
                  <c:v>46256</c:v>
                </c:pt>
                <c:pt idx="1046">
                  <c:v>46257</c:v>
                </c:pt>
                <c:pt idx="1047">
                  <c:v>46258</c:v>
                </c:pt>
                <c:pt idx="1048">
                  <c:v>46259</c:v>
                </c:pt>
                <c:pt idx="1049">
                  <c:v>46260</c:v>
                </c:pt>
                <c:pt idx="1050">
                  <c:v>46261</c:v>
                </c:pt>
                <c:pt idx="1051">
                  <c:v>46262</c:v>
                </c:pt>
                <c:pt idx="1052">
                  <c:v>46263</c:v>
                </c:pt>
                <c:pt idx="1053">
                  <c:v>46264</c:v>
                </c:pt>
                <c:pt idx="1054">
                  <c:v>46265</c:v>
                </c:pt>
                <c:pt idx="1055">
                  <c:v>46266</c:v>
                </c:pt>
                <c:pt idx="1056">
                  <c:v>46267</c:v>
                </c:pt>
                <c:pt idx="1057">
                  <c:v>46268</c:v>
                </c:pt>
                <c:pt idx="1058">
                  <c:v>46269</c:v>
                </c:pt>
                <c:pt idx="1059">
                  <c:v>46270</c:v>
                </c:pt>
                <c:pt idx="1060">
                  <c:v>46271</c:v>
                </c:pt>
                <c:pt idx="1061">
                  <c:v>46272</c:v>
                </c:pt>
                <c:pt idx="1062">
                  <c:v>46273</c:v>
                </c:pt>
                <c:pt idx="1063">
                  <c:v>46274</c:v>
                </c:pt>
                <c:pt idx="1064">
                  <c:v>46275</c:v>
                </c:pt>
                <c:pt idx="1065">
                  <c:v>46276</c:v>
                </c:pt>
                <c:pt idx="1066">
                  <c:v>46277</c:v>
                </c:pt>
                <c:pt idx="1067">
                  <c:v>46278</c:v>
                </c:pt>
                <c:pt idx="1068">
                  <c:v>46279</c:v>
                </c:pt>
                <c:pt idx="1069">
                  <c:v>46280</c:v>
                </c:pt>
                <c:pt idx="1070">
                  <c:v>46281</c:v>
                </c:pt>
                <c:pt idx="1071">
                  <c:v>46282</c:v>
                </c:pt>
                <c:pt idx="1072">
                  <c:v>46283</c:v>
                </c:pt>
                <c:pt idx="1073">
                  <c:v>46284</c:v>
                </c:pt>
                <c:pt idx="1074">
                  <c:v>46285</c:v>
                </c:pt>
                <c:pt idx="1075">
                  <c:v>46286</c:v>
                </c:pt>
                <c:pt idx="1076">
                  <c:v>46287</c:v>
                </c:pt>
                <c:pt idx="1077">
                  <c:v>46288</c:v>
                </c:pt>
                <c:pt idx="1078">
                  <c:v>46289</c:v>
                </c:pt>
                <c:pt idx="1079">
                  <c:v>46290</c:v>
                </c:pt>
                <c:pt idx="1080">
                  <c:v>46291</c:v>
                </c:pt>
                <c:pt idx="1081">
                  <c:v>46292</c:v>
                </c:pt>
                <c:pt idx="1082">
                  <c:v>46293</c:v>
                </c:pt>
                <c:pt idx="1083">
                  <c:v>46294</c:v>
                </c:pt>
                <c:pt idx="1084">
                  <c:v>46295</c:v>
                </c:pt>
                <c:pt idx="1085">
                  <c:v>46296</c:v>
                </c:pt>
                <c:pt idx="1086">
                  <c:v>46297</c:v>
                </c:pt>
                <c:pt idx="1087">
                  <c:v>46298</c:v>
                </c:pt>
                <c:pt idx="1088">
                  <c:v>46299</c:v>
                </c:pt>
                <c:pt idx="1089">
                  <c:v>46300</c:v>
                </c:pt>
                <c:pt idx="1090">
                  <c:v>46301</c:v>
                </c:pt>
                <c:pt idx="1091">
                  <c:v>46302</c:v>
                </c:pt>
                <c:pt idx="1092">
                  <c:v>46303</c:v>
                </c:pt>
                <c:pt idx="1093">
                  <c:v>46304</c:v>
                </c:pt>
                <c:pt idx="1094">
                  <c:v>46305</c:v>
                </c:pt>
                <c:pt idx="1095">
                  <c:v>46306</c:v>
                </c:pt>
                <c:pt idx="1096">
                  <c:v>46307</c:v>
                </c:pt>
                <c:pt idx="1097">
                  <c:v>46308</c:v>
                </c:pt>
                <c:pt idx="1098">
                  <c:v>46309</c:v>
                </c:pt>
                <c:pt idx="1099">
                  <c:v>46310</c:v>
                </c:pt>
                <c:pt idx="1100">
                  <c:v>46311</c:v>
                </c:pt>
                <c:pt idx="1101">
                  <c:v>46312</c:v>
                </c:pt>
                <c:pt idx="1102">
                  <c:v>46313</c:v>
                </c:pt>
                <c:pt idx="1103">
                  <c:v>46314</c:v>
                </c:pt>
                <c:pt idx="1104">
                  <c:v>46315</c:v>
                </c:pt>
                <c:pt idx="1105">
                  <c:v>46316</c:v>
                </c:pt>
                <c:pt idx="1106">
                  <c:v>46317</c:v>
                </c:pt>
                <c:pt idx="1107">
                  <c:v>46318</c:v>
                </c:pt>
                <c:pt idx="1108">
                  <c:v>46319</c:v>
                </c:pt>
                <c:pt idx="1109">
                  <c:v>46320</c:v>
                </c:pt>
                <c:pt idx="1110">
                  <c:v>46321</c:v>
                </c:pt>
                <c:pt idx="1111">
                  <c:v>46322</c:v>
                </c:pt>
                <c:pt idx="1112">
                  <c:v>46323</c:v>
                </c:pt>
                <c:pt idx="1113">
                  <c:v>46324</c:v>
                </c:pt>
              </c:numCache>
            </c:numRef>
          </c:cat>
          <c:val>
            <c:numRef>
              <c:f>Pages!$J$2:$J$1178</c:f>
              <c:numCache>
                <c:formatCode>General</c:formatCode>
                <c:ptCount val="11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47</c:v>
                </c:pt>
                <c:pt idx="817">
                  <c:v>141</c:v>
                </c:pt>
                <c:pt idx="818">
                  <c:v>156</c:v>
                </c:pt>
                <c:pt idx="819">
                  <c:v>170</c:v>
                </c:pt>
                <c:pt idx="820">
                  <c:v>170</c:v>
                </c:pt>
                <c:pt idx="821">
                  <c:v>170</c:v>
                </c:pt>
                <c:pt idx="822">
                  <c:v>170</c:v>
                </c:pt>
                <c:pt idx="823">
                  <c:v>174</c:v>
                </c:pt>
                <c:pt idx="824">
                  <c:v>186</c:v>
                </c:pt>
                <c:pt idx="825">
                  <c:v>341</c:v>
                </c:pt>
                <c:pt idx="826">
                  <c:v>341</c:v>
                </c:pt>
                <c:pt idx="827">
                  <c:v>341</c:v>
                </c:pt>
                <c:pt idx="828">
                  <c:v>341</c:v>
                </c:pt>
                <c:pt idx="829">
                  <c:v>341</c:v>
                </c:pt>
                <c:pt idx="830">
                  <c:v>341</c:v>
                </c:pt>
                <c:pt idx="831">
                  <c:v>341</c:v>
                </c:pt>
                <c:pt idx="832">
                  <c:v>341</c:v>
                </c:pt>
                <c:pt idx="833">
                  <c:v>341</c:v>
                </c:pt>
                <c:pt idx="834">
                  <c:v>341</c:v>
                </c:pt>
                <c:pt idx="835">
                  <c:v>341</c:v>
                </c:pt>
                <c:pt idx="836">
                  <c:v>341</c:v>
                </c:pt>
                <c:pt idx="837">
                  <c:v>341</c:v>
                </c:pt>
                <c:pt idx="838">
                  <c:v>341</c:v>
                </c:pt>
                <c:pt idx="839">
                  <c:v>341</c:v>
                </c:pt>
                <c:pt idx="840">
                  <c:v>341</c:v>
                </c:pt>
                <c:pt idx="841">
                  <c:v>341</c:v>
                </c:pt>
                <c:pt idx="842">
                  <c:v>341</c:v>
                </c:pt>
                <c:pt idx="843">
                  <c:v>341</c:v>
                </c:pt>
                <c:pt idx="844">
                  <c:v>341</c:v>
                </c:pt>
                <c:pt idx="845">
                  <c:v>341</c:v>
                </c:pt>
                <c:pt idx="846">
                  <c:v>341</c:v>
                </c:pt>
                <c:pt idx="847">
                  <c:v>341</c:v>
                </c:pt>
                <c:pt idx="848">
                  <c:v>341</c:v>
                </c:pt>
                <c:pt idx="849">
                  <c:v>341</c:v>
                </c:pt>
                <c:pt idx="850">
                  <c:v>341</c:v>
                </c:pt>
                <c:pt idx="851">
                  <c:v>341</c:v>
                </c:pt>
                <c:pt idx="852">
                  <c:v>341</c:v>
                </c:pt>
                <c:pt idx="853">
                  <c:v>341</c:v>
                </c:pt>
                <c:pt idx="854">
                  <c:v>341</c:v>
                </c:pt>
                <c:pt idx="855">
                  <c:v>341</c:v>
                </c:pt>
                <c:pt idx="856">
                  <c:v>341</c:v>
                </c:pt>
                <c:pt idx="857">
                  <c:v>341</c:v>
                </c:pt>
                <c:pt idx="858">
                  <c:v>341</c:v>
                </c:pt>
                <c:pt idx="859">
                  <c:v>341</c:v>
                </c:pt>
                <c:pt idx="860">
                  <c:v>341</c:v>
                </c:pt>
                <c:pt idx="861">
                  <c:v>341</c:v>
                </c:pt>
                <c:pt idx="862">
                  <c:v>341</c:v>
                </c:pt>
                <c:pt idx="863">
                  <c:v>341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341</c:v>
                </c:pt>
                <c:pt idx="889">
                  <c:v>341</c:v>
                </c:pt>
                <c:pt idx="890">
                  <c:v>341</c:v>
                </c:pt>
                <c:pt idx="891">
                  <c:v>341</c:v>
                </c:pt>
                <c:pt idx="892">
                  <c:v>495.5</c:v>
                </c:pt>
                <c:pt idx="893">
                  <c:v>600</c:v>
                </c:pt>
                <c:pt idx="894">
                  <c:v>720</c:v>
                </c:pt>
                <c:pt idx="895">
                  <c:v>815</c:v>
                </c:pt>
                <c:pt idx="896">
                  <c:v>824</c:v>
                </c:pt>
                <c:pt idx="897">
                  <c:v>824</c:v>
                </c:pt>
                <c:pt idx="898">
                  <c:v>849</c:v>
                </c:pt>
                <c:pt idx="899">
                  <c:v>938</c:v>
                </c:pt>
                <c:pt idx="900">
                  <c:v>977</c:v>
                </c:pt>
                <c:pt idx="901">
                  <c:v>1004</c:v>
                </c:pt>
                <c:pt idx="902">
                  <c:v>1096</c:v>
                </c:pt>
                <c:pt idx="903">
                  <c:v>1144</c:v>
                </c:pt>
                <c:pt idx="904">
                  <c:v>1255</c:v>
                </c:pt>
                <c:pt idx="905">
                  <c:v>1265</c:v>
                </c:pt>
                <c:pt idx="906">
                  <c:v>1265</c:v>
                </c:pt>
                <c:pt idx="907">
                  <c:v>1265</c:v>
                </c:pt>
                <c:pt idx="908">
                  <c:v>1265</c:v>
                </c:pt>
                <c:pt idx="909">
                  <c:v>1265</c:v>
                </c:pt>
                <c:pt idx="910">
                  <c:v>1265</c:v>
                </c:pt>
                <c:pt idx="911">
                  <c:v>1265</c:v>
                </c:pt>
                <c:pt idx="912">
                  <c:v>1265</c:v>
                </c:pt>
                <c:pt idx="913">
                  <c:v>1265</c:v>
                </c:pt>
                <c:pt idx="914">
                  <c:v>1265</c:v>
                </c:pt>
                <c:pt idx="915">
                  <c:v>1341</c:v>
                </c:pt>
                <c:pt idx="916">
                  <c:v>1388</c:v>
                </c:pt>
                <c:pt idx="917">
                  <c:v>1411</c:v>
                </c:pt>
                <c:pt idx="918">
                  <c:v>1411</c:v>
                </c:pt>
                <c:pt idx="919">
                  <c:v>1411</c:v>
                </c:pt>
                <c:pt idx="920">
                  <c:v>1411</c:v>
                </c:pt>
                <c:pt idx="921">
                  <c:v>1524</c:v>
                </c:pt>
                <c:pt idx="922">
                  <c:v>1579</c:v>
                </c:pt>
                <c:pt idx="923">
                  <c:v>1579</c:v>
                </c:pt>
                <c:pt idx="924">
                  <c:v>1589</c:v>
                </c:pt>
                <c:pt idx="925">
                  <c:v>1589</c:v>
                </c:pt>
                <c:pt idx="926">
                  <c:v>1589</c:v>
                </c:pt>
                <c:pt idx="927">
                  <c:v>1589</c:v>
                </c:pt>
                <c:pt idx="928">
                  <c:v>1589</c:v>
                </c:pt>
                <c:pt idx="929">
                  <c:v>1589</c:v>
                </c:pt>
                <c:pt idx="930">
                  <c:v>1589</c:v>
                </c:pt>
                <c:pt idx="931">
                  <c:v>1589</c:v>
                </c:pt>
                <c:pt idx="932">
                  <c:v>1589</c:v>
                </c:pt>
                <c:pt idx="933">
                  <c:v>1589</c:v>
                </c:pt>
                <c:pt idx="934">
                  <c:v>1589</c:v>
                </c:pt>
                <c:pt idx="935">
                  <c:v>1589</c:v>
                </c:pt>
                <c:pt idx="936">
                  <c:v>1589</c:v>
                </c:pt>
                <c:pt idx="937">
                  <c:v>1589</c:v>
                </c:pt>
                <c:pt idx="938">
                  <c:v>1589</c:v>
                </c:pt>
                <c:pt idx="939">
                  <c:v>1589</c:v>
                </c:pt>
                <c:pt idx="940">
                  <c:v>1589</c:v>
                </c:pt>
                <c:pt idx="941">
                  <c:v>1589</c:v>
                </c:pt>
                <c:pt idx="942">
                  <c:v>1589</c:v>
                </c:pt>
                <c:pt idx="943">
                  <c:v>1589</c:v>
                </c:pt>
                <c:pt idx="944">
                  <c:v>1589</c:v>
                </c:pt>
                <c:pt idx="945">
                  <c:v>1589</c:v>
                </c:pt>
                <c:pt idx="946">
                  <c:v>1589</c:v>
                </c:pt>
                <c:pt idx="947">
                  <c:v>1589</c:v>
                </c:pt>
                <c:pt idx="948">
                  <c:v>1589</c:v>
                </c:pt>
                <c:pt idx="949">
                  <c:v>1589</c:v>
                </c:pt>
                <c:pt idx="950">
                  <c:v>1589</c:v>
                </c:pt>
                <c:pt idx="951">
                  <c:v>1589</c:v>
                </c:pt>
                <c:pt idx="952">
                  <c:v>1589</c:v>
                </c:pt>
                <c:pt idx="953">
                  <c:v>1589</c:v>
                </c:pt>
                <c:pt idx="954">
                  <c:v>1589</c:v>
                </c:pt>
                <c:pt idx="955">
                  <c:v>1589</c:v>
                </c:pt>
                <c:pt idx="956">
                  <c:v>1589</c:v>
                </c:pt>
                <c:pt idx="957">
                  <c:v>1589</c:v>
                </c:pt>
                <c:pt idx="958">
                  <c:v>1589</c:v>
                </c:pt>
                <c:pt idx="959">
                  <c:v>1589</c:v>
                </c:pt>
                <c:pt idx="960">
                  <c:v>1589</c:v>
                </c:pt>
                <c:pt idx="961">
                  <c:v>1589</c:v>
                </c:pt>
                <c:pt idx="962">
                  <c:v>1589</c:v>
                </c:pt>
                <c:pt idx="963">
                  <c:v>1589</c:v>
                </c:pt>
                <c:pt idx="964">
                  <c:v>1589</c:v>
                </c:pt>
                <c:pt idx="965">
                  <c:v>1589</c:v>
                </c:pt>
                <c:pt idx="966">
                  <c:v>1589</c:v>
                </c:pt>
                <c:pt idx="967">
                  <c:v>1589</c:v>
                </c:pt>
                <c:pt idx="968">
                  <c:v>1589</c:v>
                </c:pt>
                <c:pt idx="969">
                  <c:v>1589</c:v>
                </c:pt>
                <c:pt idx="970">
                  <c:v>1589</c:v>
                </c:pt>
                <c:pt idx="971">
                  <c:v>1589</c:v>
                </c:pt>
                <c:pt idx="972">
                  <c:v>1589</c:v>
                </c:pt>
                <c:pt idx="973">
                  <c:v>1589</c:v>
                </c:pt>
                <c:pt idx="974">
                  <c:v>1589</c:v>
                </c:pt>
                <c:pt idx="975">
                  <c:v>1589</c:v>
                </c:pt>
                <c:pt idx="976">
                  <c:v>1589</c:v>
                </c:pt>
                <c:pt idx="977">
                  <c:v>1589</c:v>
                </c:pt>
                <c:pt idx="978">
                  <c:v>1589</c:v>
                </c:pt>
                <c:pt idx="979">
                  <c:v>1589</c:v>
                </c:pt>
                <c:pt idx="980">
                  <c:v>1589</c:v>
                </c:pt>
                <c:pt idx="981">
                  <c:v>1589</c:v>
                </c:pt>
                <c:pt idx="982">
                  <c:v>1589</c:v>
                </c:pt>
                <c:pt idx="983">
                  <c:v>1589</c:v>
                </c:pt>
                <c:pt idx="984">
                  <c:v>1589</c:v>
                </c:pt>
                <c:pt idx="985">
                  <c:v>1589</c:v>
                </c:pt>
                <c:pt idx="986">
                  <c:v>1589</c:v>
                </c:pt>
                <c:pt idx="987">
                  <c:v>1589</c:v>
                </c:pt>
                <c:pt idx="988">
                  <c:v>1589</c:v>
                </c:pt>
                <c:pt idx="989">
                  <c:v>1589</c:v>
                </c:pt>
                <c:pt idx="990">
                  <c:v>1589</c:v>
                </c:pt>
                <c:pt idx="991">
                  <c:v>1589</c:v>
                </c:pt>
                <c:pt idx="992">
                  <c:v>1589</c:v>
                </c:pt>
                <c:pt idx="993">
                  <c:v>1589</c:v>
                </c:pt>
                <c:pt idx="994">
                  <c:v>1589</c:v>
                </c:pt>
                <c:pt idx="995">
                  <c:v>1589</c:v>
                </c:pt>
                <c:pt idx="996">
                  <c:v>1589</c:v>
                </c:pt>
                <c:pt idx="997">
                  <c:v>1589</c:v>
                </c:pt>
                <c:pt idx="998">
                  <c:v>1589</c:v>
                </c:pt>
                <c:pt idx="999">
                  <c:v>1589</c:v>
                </c:pt>
                <c:pt idx="1000">
                  <c:v>1589</c:v>
                </c:pt>
                <c:pt idx="1001">
                  <c:v>1589</c:v>
                </c:pt>
                <c:pt idx="1002">
                  <c:v>1589</c:v>
                </c:pt>
                <c:pt idx="1003">
                  <c:v>1589</c:v>
                </c:pt>
                <c:pt idx="1004">
                  <c:v>1589</c:v>
                </c:pt>
                <c:pt idx="1005">
                  <c:v>1589</c:v>
                </c:pt>
                <c:pt idx="1006">
                  <c:v>1589</c:v>
                </c:pt>
                <c:pt idx="1007">
                  <c:v>1589</c:v>
                </c:pt>
                <c:pt idx="1008">
                  <c:v>1589</c:v>
                </c:pt>
                <c:pt idx="1009">
                  <c:v>1589</c:v>
                </c:pt>
                <c:pt idx="1010">
                  <c:v>1589</c:v>
                </c:pt>
                <c:pt idx="1011">
                  <c:v>1589</c:v>
                </c:pt>
                <c:pt idx="1012">
                  <c:v>1589</c:v>
                </c:pt>
                <c:pt idx="1013">
                  <c:v>1589</c:v>
                </c:pt>
                <c:pt idx="1014">
                  <c:v>1589</c:v>
                </c:pt>
                <c:pt idx="1015">
                  <c:v>1589</c:v>
                </c:pt>
                <c:pt idx="1016">
                  <c:v>1589</c:v>
                </c:pt>
                <c:pt idx="1017">
                  <c:v>1589</c:v>
                </c:pt>
                <c:pt idx="1018">
                  <c:v>1589</c:v>
                </c:pt>
                <c:pt idx="1019">
                  <c:v>1589</c:v>
                </c:pt>
                <c:pt idx="1020">
                  <c:v>1589</c:v>
                </c:pt>
                <c:pt idx="1021">
                  <c:v>1589</c:v>
                </c:pt>
                <c:pt idx="1022">
                  <c:v>1589</c:v>
                </c:pt>
                <c:pt idx="1023">
                  <c:v>1589</c:v>
                </c:pt>
                <c:pt idx="1024">
                  <c:v>1589</c:v>
                </c:pt>
                <c:pt idx="1025">
                  <c:v>1589</c:v>
                </c:pt>
                <c:pt idx="1026">
                  <c:v>1589</c:v>
                </c:pt>
                <c:pt idx="1027">
                  <c:v>1589</c:v>
                </c:pt>
                <c:pt idx="1028">
                  <c:v>1589</c:v>
                </c:pt>
                <c:pt idx="1029">
                  <c:v>1589</c:v>
                </c:pt>
                <c:pt idx="1030">
                  <c:v>1589</c:v>
                </c:pt>
                <c:pt idx="1031">
                  <c:v>1589</c:v>
                </c:pt>
                <c:pt idx="1032">
                  <c:v>1589</c:v>
                </c:pt>
                <c:pt idx="1033">
                  <c:v>1589</c:v>
                </c:pt>
                <c:pt idx="1034">
                  <c:v>1589</c:v>
                </c:pt>
                <c:pt idx="1035">
                  <c:v>1589</c:v>
                </c:pt>
                <c:pt idx="1036">
                  <c:v>1589</c:v>
                </c:pt>
                <c:pt idx="1037">
                  <c:v>1589</c:v>
                </c:pt>
                <c:pt idx="1038">
                  <c:v>1589</c:v>
                </c:pt>
                <c:pt idx="1039">
                  <c:v>1589</c:v>
                </c:pt>
                <c:pt idx="1040">
                  <c:v>1589</c:v>
                </c:pt>
                <c:pt idx="1041">
                  <c:v>1589</c:v>
                </c:pt>
                <c:pt idx="1042">
                  <c:v>1589</c:v>
                </c:pt>
                <c:pt idx="1043">
                  <c:v>1589</c:v>
                </c:pt>
                <c:pt idx="1044">
                  <c:v>1589</c:v>
                </c:pt>
                <c:pt idx="1045">
                  <c:v>1589</c:v>
                </c:pt>
                <c:pt idx="1046">
                  <c:v>1589</c:v>
                </c:pt>
                <c:pt idx="1047">
                  <c:v>1589</c:v>
                </c:pt>
                <c:pt idx="1048">
                  <c:v>1589</c:v>
                </c:pt>
                <c:pt idx="1049">
                  <c:v>1589</c:v>
                </c:pt>
                <c:pt idx="1050">
                  <c:v>1589</c:v>
                </c:pt>
                <c:pt idx="1051">
                  <c:v>1589</c:v>
                </c:pt>
                <c:pt idx="1052">
                  <c:v>1621</c:v>
                </c:pt>
                <c:pt idx="1053">
                  <c:v>1621</c:v>
                </c:pt>
                <c:pt idx="1054">
                  <c:v>1633.5</c:v>
                </c:pt>
                <c:pt idx="1055">
                  <c:v>1633.5</c:v>
                </c:pt>
                <c:pt idx="1056">
                  <c:v>1633.5</c:v>
                </c:pt>
                <c:pt idx="1057">
                  <c:v>1633.5</c:v>
                </c:pt>
                <c:pt idx="1058">
                  <c:v>1633.5</c:v>
                </c:pt>
                <c:pt idx="1059">
                  <c:v>1633.5</c:v>
                </c:pt>
                <c:pt idx="1060">
                  <c:v>1633.5</c:v>
                </c:pt>
                <c:pt idx="1061">
                  <c:v>1633.5</c:v>
                </c:pt>
                <c:pt idx="1062">
                  <c:v>1683</c:v>
                </c:pt>
                <c:pt idx="1063">
                  <c:v>1736</c:v>
                </c:pt>
                <c:pt idx="1064">
                  <c:v>1784</c:v>
                </c:pt>
                <c:pt idx="1065">
                  <c:v>1827</c:v>
                </c:pt>
                <c:pt idx="1066">
                  <c:v>1827</c:v>
                </c:pt>
                <c:pt idx="1067">
                  <c:v>1913</c:v>
                </c:pt>
                <c:pt idx="1068">
                  <c:v>2042</c:v>
                </c:pt>
                <c:pt idx="1069">
                  <c:v>2166</c:v>
                </c:pt>
                <c:pt idx="1070">
                  <c:v>2340</c:v>
                </c:pt>
                <c:pt idx="1071">
                  <c:v>2363</c:v>
                </c:pt>
                <c:pt idx="1072">
                  <c:v>2363</c:v>
                </c:pt>
                <c:pt idx="1073">
                  <c:v>2363</c:v>
                </c:pt>
                <c:pt idx="1074">
                  <c:v>2394</c:v>
                </c:pt>
                <c:pt idx="1075">
                  <c:v>2394</c:v>
                </c:pt>
                <c:pt idx="1076">
                  <c:v>2497</c:v>
                </c:pt>
                <c:pt idx="1077">
                  <c:v>2497</c:v>
                </c:pt>
                <c:pt idx="1078">
                  <c:v>2497</c:v>
                </c:pt>
                <c:pt idx="1079">
                  <c:v>2497</c:v>
                </c:pt>
                <c:pt idx="1080">
                  <c:v>2497</c:v>
                </c:pt>
                <c:pt idx="1081">
                  <c:v>2497</c:v>
                </c:pt>
                <c:pt idx="1082">
                  <c:v>2497</c:v>
                </c:pt>
                <c:pt idx="1083">
                  <c:v>2563</c:v>
                </c:pt>
                <c:pt idx="1084">
                  <c:v>2602</c:v>
                </c:pt>
                <c:pt idx="1085">
                  <c:v>2602</c:v>
                </c:pt>
                <c:pt idx="1086">
                  <c:v>2602</c:v>
                </c:pt>
                <c:pt idx="1087">
                  <c:v>2602</c:v>
                </c:pt>
                <c:pt idx="1088">
                  <c:v>2709</c:v>
                </c:pt>
                <c:pt idx="1089">
                  <c:v>2709</c:v>
                </c:pt>
                <c:pt idx="1090">
                  <c:v>2709</c:v>
                </c:pt>
                <c:pt idx="1091">
                  <c:v>2709</c:v>
                </c:pt>
                <c:pt idx="1092">
                  <c:v>2709</c:v>
                </c:pt>
                <c:pt idx="1093">
                  <c:v>2709</c:v>
                </c:pt>
                <c:pt idx="1094">
                  <c:v>2709</c:v>
                </c:pt>
                <c:pt idx="1095">
                  <c:v>2709</c:v>
                </c:pt>
                <c:pt idx="1096">
                  <c:v>2709</c:v>
                </c:pt>
                <c:pt idx="1097">
                  <c:v>2709</c:v>
                </c:pt>
                <c:pt idx="1098">
                  <c:v>2709</c:v>
                </c:pt>
                <c:pt idx="1099">
                  <c:v>2709</c:v>
                </c:pt>
                <c:pt idx="1100">
                  <c:v>2709</c:v>
                </c:pt>
                <c:pt idx="1101">
                  <c:v>2709</c:v>
                </c:pt>
                <c:pt idx="1102">
                  <c:v>2709</c:v>
                </c:pt>
                <c:pt idx="1103">
                  <c:v>2709</c:v>
                </c:pt>
                <c:pt idx="1104">
                  <c:v>2709</c:v>
                </c:pt>
                <c:pt idx="1105">
                  <c:v>2709</c:v>
                </c:pt>
                <c:pt idx="1106">
                  <c:v>2709</c:v>
                </c:pt>
                <c:pt idx="1107">
                  <c:v>2709</c:v>
                </c:pt>
                <c:pt idx="1108">
                  <c:v>2709</c:v>
                </c:pt>
                <c:pt idx="1109">
                  <c:v>2709</c:v>
                </c:pt>
                <c:pt idx="1110">
                  <c:v>2709</c:v>
                </c:pt>
                <c:pt idx="1111">
                  <c:v>2894</c:v>
                </c:pt>
                <c:pt idx="1112">
                  <c:v>2997</c:v>
                </c:pt>
                <c:pt idx="1113">
                  <c:v>3102</c:v>
                </c:pt>
                <c:pt idx="1114">
                  <c:v>3102</c:v>
                </c:pt>
                <c:pt idx="1115">
                  <c:v>3102</c:v>
                </c:pt>
                <c:pt idx="1116">
                  <c:v>3102</c:v>
                </c:pt>
                <c:pt idx="1117">
                  <c:v>3102</c:v>
                </c:pt>
                <c:pt idx="1118">
                  <c:v>3102</c:v>
                </c:pt>
                <c:pt idx="1119">
                  <c:v>3102</c:v>
                </c:pt>
                <c:pt idx="1120">
                  <c:v>3102</c:v>
                </c:pt>
                <c:pt idx="1121">
                  <c:v>3102</c:v>
                </c:pt>
                <c:pt idx="1122">
                  <c:v>3102</c:v>
                </c:pt>
                <c:pt idx="1123">
                  <c:v>3102</c:v>
                </c:pt>
                <c:pt idx="1124">
                  <c:v>3102</c:v>
                </c:pt>
                <c:pt idx="1125">
                  <c:v>3102</c:v>
                </c:pt>
                <c:pt idx="1126">
                  <c:v>3102</c:v>
                </c:pt>
                <c:pt idx="1127">
                  <c:v>3102</c:v>
                </c:pt>
                <c:pt idx="1128">
                  <c:v>3102</c:v>
                </c:pt>
                <c:pt idx="1129">
                  <c:v>3102</c:v>
                </c:pt>
                <c:pt idx="1130">
                  <c:v>3102</c:v>
                </c:pt>
                <c:pt idx="1131">
                  <c:v>3102</c:v>
                </c:pt>
                <c:pt idx="1132">
                  <c:v>3102</c:v>
                </c:pt>
                <c:pt idx="1133">
                  <c:v>3102</c:v>
                </c:pt>
                <c:pt idx="1134">
                  <c:v>3102</c:v>
                </c:pt>
                <c:pt idx="1135">
                  <c:v>3102</c:v>
                </c:pt>
                <c:pt idx="1136">
                  <c:v>3102</c:v>
                </c:pt>
                <c:pt idx="1137">
                  <c:v>3102</c:v>
                </c:pt>
                <c:pt idx="1138">
                  <c:v>3102</c:v>
                </c:pt>
                <c:pt idx="1139">
                  <c:v>3102</c:v>
                </c:pt>
                <c:pt idx="1140">
                  <c:v>3102</c:v>
                </c:pt>
                <c:pt idx="1141">
                  <c:v>3102</c:v>
                </c:pt>
                <c:pt idx="1142">
                  <c:v>3102</c:v>
                </c:pt>
                <c:pt idx="1143">
                  <c:v>3102</c:v>
                </c:pt>
                <c:pt idx="1144">
                  <c:v>3102</c:v>
                </c:pt>
                <c:pt idx="1145">
                  <c:v>3102</c:v>
                </c:pt>
                <c:pt idx="1146">
                  <c:v>3102</c:v>
                </c:pt>
                <c:pt idx="1147">
                  <c:v>3102</c:v>
                </c:pt>
                <c:pt idx="1148">
                  <c:v>3102</c:v>
                </c:pt>
                <c:pt idx="1149">
                  <c:v>3102</c:v>
                </c:pt>
                <c:pt idx="1150">
                  <c:v>3102</c:v>
                </c:pt>
                <c:pt idx="1151">
                  <c:v>3102</c:v>
                </c:pt>
                <c:pt idx="1152">
                  <c:v>3102</c:v>
                </c:pt>
                <c:pt idx="1153">
                  <c:v>3102</c:v>
                </c:pt>
                <c:pt idx="1154">
                  <c:v>3102</c:v>
                </c:pt>
                <c:pt idx="1155">
                  <c:v>3102</c:v>
                </c:pt>
                <c:pt idx="1156">
                  <c:v>3102</c:v>
                </c:pt>
                <c:pt idx="1157">
                  <c:v>3102</c:v>
                </c:pt>
                <c:pt idx="1158">
                  <c:v>3102</c:v>
                </c:pt>
                <c:pt idx="1159">
                  <c:v>3102</c:v>
                </c:pt>
                <c:pt idx="1160">
                  <c:v>3102</c:v>
                </c:pt>
                <c:pt idx="1161">
                  <c:v>3102</c:v>
                </c:pt>
                <c:pt idx="1162">
                  <c:v>3102</c:v>
                </c:pt>
                <c:pt idx="1163">
                  <c:v>3102</c:v>
                </c:pt>
                <c:pt idx="1164">
                  <c:v>3102</c:v>
                </c:pt>
                <c:pt idx="1165">
                  <c:v>3102</c:v>
                </c:pt>
                <c:pt idx="1166">
                  <c:v>3102</c:v>
                </c:pt>
                <c:pt idx="1167">
                  <c:v>3102</c:v>
                </c:pt>
                <c:pt idx="1168">
                  <c:v>3102</c:v>
                </c:pt>
                <c:pt idx="1169">
                  <c:v>3102</c:v>
                </c:pt>
                <c:pt idx="1170">
                  <c:v>3102</c:v>
                </c:pt>
                <c:pt idx="1171">
                  <c:v>3102</c:v>
                </c:pt>
                <c:pt idx="1172">
                  <c:v>3102</c:v>
                </c:pt>
                <c:pt idx="1173">
                  <c:v>3102</c:v>
                </c:pt>
                <c:pt idx="1174">
                  <c:v>3102</c:v>
                </c:pt>
                <c:pt idx="1175">
                  <c:v>3102</c:v>
                </c:pt>
                <c:pt idx="1176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C6-4C65-A131-DA07D474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10895"/>
        <c:axId val="540095055"/>
      </c:lineChart>
      <c:dateAx>
        <c:axId val="156791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7679"/>
        <c:crosses val="autoZero"/>
        <c:auto val="1"/>
        <c:lblOffset val="100"/>
        <c:baseTimeUnit val="days"/>
      </c:dateAx>
      <c:valAx>
        <c:axId val="15679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Day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6719"/>
        <c:crosses val="autoZero"/>
        <c:crossBetween val="between"/>
      </c:valAx>
      <c:valAx>
        <c:axId val="540095055"/>
        <c:scaling>
          <c:orientation val="minMax"/>
          <c:max val="15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Read Cumulative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895"/>
        <c:crosses val="max"/>
        <c:crossBetween val="between"/>
        <c:majorUnit val="2500"/>
      </c:valAx>
      <c:dateAx>
        <c:axId val="540110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400950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[0]!PagesHistogram</cx:f>
      </cx:numDim>
    </cx:data>
  </cx:chartData>
  <cx:chart>
    <cx:plotArea>
      <cx:plotAreaRegion>
        <cx:series layoutId="clusteredColumn" uniqueId="{9A61D656-6F3F-41AD-9E96-95F1FD09D100}" formatIdx="0">
          <cx:tx>
            <cx:txData>
              <cx:f>_xlchart.v1.1</cx:f>
              <cx:v>Day Total</cx:v>
            </cx:txData>
          </cx:tx>
          <cx:dataId val="0"/>
          <cx:layoutPr>
            <cx:binning intervalClosed="r" underflow="1">
              <cx:binSize val="50"/>
            </cx:binning>
          </cx:layoutPr>
          <cx:axisId val="0"/>
        </cx:series>
        <cx:series layoutId="paretoLine" ownerIdx="0" uniqueId="{865FBD04-3108-45F2-AB2E-9E84E974037E}" formatIdx="1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majorTickMarks type="cross"/>
        <cx:tickLabels/>
      </cx:axis>
      <cx:axis id="2">
        <cx:catScaling gapWidth="0.330000013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53976</xdr:colOff>
      <xdr:row>306</xdr:row>
      <xdr:rowOff>34925</xdr:rowOff>
    </xdr:from>
    <xdr:to>
      <xdr:col>91</xdr:col>
      <xdr:colOff>187326</xdr:colOff>
      <xdr:row>1133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80F38-7162-17DB-B283-B7DC3D875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79374</xdr:colOff>
      <xdr:row>1133</xdr:row>
      <xdr:rowOff>115886</xdr:rowOff>
    </xdr:from>
    <xdr:to>
      <xdr:col>91</xdr:col>
      <xdr:colOff>212724</xdr:colOff>
      <xdr:row>1157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D11672-98DA-DDB2-AF38-6C1B5A18D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82550</xdr:colOff>
      <xdr:row>1158</xdr:row>
      <xdr:rowOff>25400</xdr:rowOff>
    </xdr:from>
    <xdr:to>
      <xdr:col>87</xdr:col>
      <xdr:colOff>269874</xdr:colOff>
      <xdr:row>1189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7CA271-5A3C-45B6-8067-95E50F5AB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111125</xdr:colOff>
      <xdr:row>1189</xdr:row>
      <xdr:rowOff>92075</xdr:rowOff>
    </xdr:from>
    <xdr:to>
      <xdr:col>74</xdr:col>
      <xdr:colOff>368300</xdr:colOff>
      <xdr:row>1203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F481C1D-6F2A-4A11-A262-F685C2C388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55775" y="16665575"/>
              <a:ext cx="5172075" cy="275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20</xdr:col>
      <xdr:colOff>257175</xdr:colOff>
      <xdr:row>32</xdr:row>
      <xdr:rowOff>9525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6ACA067B-53CA-858E-B01F-77DA9BD23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32</xdr:row>
      <xdr:rowOff>104775</xdr:rowOff>
    </xdr:from>
    <xdr:to>
      <xdr:col>20</xdr:col>
      <xdr:colOff>276224</xdr:colOff>
      <xdr:row>63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BA3DE21-494C-E7BC-FE6F-2F8BA485B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64</xdr:row>
      <xdr:rowOff>0</xdr:rowOff>
    </xdr:from>
    <xdr:to>
      <xdr:col>20</xdr:col>
      <xdr:colOff>257174</xdr:colOff>
      <xdr:row>94</xdr:row>
      <xdr:rowOff>161925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5069AA9-1FE5-B234-D491-E2FE25EC6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95</xdr:row>
      <xdr:rowOff>95250</xdr:rowOff>
    </xdr:from>
    <xdr:to>
      <xdr:col>20</xdr:col>
      <xdr:colOff>238124</xdr:colOff>
      <xdr:row>126</xdr:row>
      <xdr:rowOff>76200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F6A8922-B45A-3333-3CFA-6F7139F9E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504826</xdr:colOff>
      <xdr:row>0</xdr:row>
      <xdr:rowOff>171449</xdr:rowOff>
    </xdr:from>
    <xdr:to>
      <xdr:col>58</xdr:col>
      <xdr:colOff>257176</xdr:colOff>
      <xdr:row>17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B28579-D3AE-7934-3DD5-ABB3C9C3D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0</xdr:colOff>
      <xdr:row>18</xdr:row>
      <xdr:rowOff>0</xdr:rowOff>
    </xdr:from>
    <xdr:to>
      <xdr:col>77</xdr:col>
      <xdr:colOff>209549</xdr:colOff>
      <xdr:row>48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30BD8D-C499-4DD9-A884-337A3E159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0</xdr:colOff>
      <xdr:row>50</xdr:row>
      <xdr:rowOff>0</xdr:rowOff>
    </xdr:from>
    <xdr:to>
      <xdr:col>77</xdr:col>
      <xdr:colOff>209549</xdr:colOff>
      <xdr:row>80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553341-F70A-4530-84A5-18438FC4B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260B43-D6F8-49BB-8E69-7200CB85A48A}" name="Table8" displayName="Table8" ref="A1:BN1178" totalsRowShown="0">
  <autoFilter ref="A1:BN1178" xr:uid="{89260B43-D6F8-49BB-8E69-7200CB85A48A}"/>
  <tableColumns count="66">
    <tableColumn id="1" xr3:uid="{570E8873-06AF-4B2F-973A-EEA715D61861}" name="Date" dataDxfId="13"/>
    <tableColumn id="2" xr3:uid="{6C4DF793-798E-43AB-8AA0-32B5647BF9EB}" name="Day Total" dataDxfId="12">
      <calculatedColumnFormula>SUM(_xlfn.CHOOSEROWS(Table8[[The Golden Compass]:[end]],ROW()-1))</calculatedColumnFormula>
    </tableColumn>
    <tableColumn id="63" xr3:uid="{D11902C1-01F5-4A27-81AE-D33896B7BF01}" name="Cumulative" dataDxfId="11">
      <calculatedColumnFormula>Table8[[#This Row],[Cumulative 2023 Q4]]+Table8[[#This Row],[Cumulative 2024]]+Table8[[#This Row],[Cumulative 2025]]+Table8[[#This Row],[Cumulative 2026]]</calculatedColumnFormula>
    </tableColumn>
    <tableColumn id="48" xr3:uid="{453FCEFA-8E86-4DBA-9A4F-6B6EF0CB47E8}" name="Cumulative 2023 Q4" dataDxfId="10">
      <calculatedColumnFormula>IF(YEAR(Table8[[#This Row],[Date]])=2023,B2,0)+IF(ROW(D1)=1,0,D1)</calculatedColumnFormula>
    </tableColumn>
    <tableColumn id="62" xr3:uid="{B89BC929-AAFD-49B0-9760-C5F293E6C461}" name="Max 2023 Q4" dataDxfId="9">
      <calculatedColumnFormula>MAX(Table8[Cumulative 2023 Q4])</calculatedColumnFormula>
    </tableColumn>
    <tableColumn id="49" xr3:uid="{1454E8F6-F078-4211-BA89-41E5F09C265E}" name="Cumulative 2024" dataDxfId="8">
      <calculatedColumnFormula>IF(YEAR(Table8[[#This Row],[Date]])=2024,B2,0)+IF(ROW(F1)=1,0,F1)</calculatedColumnFormula>
    </tableColumn>
    <tableColumn id="61" xr3:uid="{8E5D4AFC-A004-4849-9A50-18917B5BC647}" name="Max 2024" dataDxfId="7">
      <calculatedColumnFormula>MAX(Table8[Cumulative 2024])</calculatedColumnFormula>
    </tableColumn>
    <tableColumn id="50" xr3:uid="{7BF76AF5-8DD2-416B-93B9-960CDA0A5257}" name="Cumulative 2025" dataDxfId="6">
      <calculatedColumnFormula>IF(YEAR(Table8[[#This Row],[Date]])=2025,B2,0)+IF(ROW(H1)=1,0,H1)</calculatedColumnFormula>
    </tableColumn>
    <tableColumn id="60" xr3:uid="{E80DA1F1-9EDD-4C94-9260-D6055049E203}" name="Max 2025" dataDxfId="5">
      <calculatedColumnFormula>MAX(Table8[Cumulative 2025])</calculatedColumnFormula>
    </tableColumn>
    <tableColumn id="52" xr3:uid="{608D688F-32EB-4494-A685-56C24177006C}" name="Cumulative 2026" dataDxfId="4">
      <calculatedColumnFormula>IF(YEAR(Table8[[#This Row],[Date]])=2026,B2,0)+IF(ROW(J1)=1,0,J1)</calculatedColumnFormula>
    </tableColumn>
    <tableColumn id="59" xr3:uid="{AECB9604-1C36-437B-94E2-F7835A116EB0}" name="Max 2026" dataDxfId="3">
      <calculatedColumnFormula>MAX(Table8[Cumulative 2026])</calculatedColumnFormula>
    </tableColumn>
    <tableColumn id="5" xr3:uid="{2C876F65-A7C4-4BB4-8C64-A109D674E7C2}" name="The Golden Compass"/>
    <tableColumn id="6" xr3:uid="{C6BC01D8-9B44-4099-BA6A-4A25B11DFB52}" name="The Ballad of Songbirds and Snakes"/>
    <tableColumn id="7" xr3:uid="{0501F286-7B9E-41D0-A083-EA18EB2780D6}" name="The Faceless Old Woman Who Secretly Lives in Your Home"/>
    <tableColumn id="8" xr3:uid="{B4AC0528-C3C0-4210-AB48-92CE678DD1FE}" name="The Castle of Llyr"/>
    <tableColumn id="9" xr3:uid="{73F743AF-C02B-4311-88D1-BC869390238B}" name="Taran Wanderer"/>
    <tableColumn id="10" xr3:uid="{F4084379-5A46-4C55-9A05-6B0E370D9DEF}" name="The High King"/>
    <tableColumn id="11" xr3:uid="{E0955876-8042-43D5-8A04-7FEA82D71F3F}" name="Inkspell"/>
    <tableColumn id="12" xr3:uid="{EA443FDB-FE20-4330-9A80-F5401F7FAF89}" name="The Magician's Nephew"/>
    <tableColumn id="13" xr3:uid="{20796231-8C45-46DD-81AF-CD876CE8DF88}" name="The Lion, the Witch and the Wardrobe"/>
    <tableColumn id="14" xr3:uid="{AD5401C7-1A1E-4222-A46F-F29999AF5B79}" name="The Horse and His Boy"/>
    <tableColumn id="15" xr3:uid="{B2DC912E-E48F-421D-8257-7A79F5E86FF1}" name="Prince Caspian"/>
    <tableColumn id="16" xr3:uid="{A29CC2E2-F4C6-4C17-9C18-AFA3CF919FB1}" name="The Voyage of the Dawn Treader"/>
    <tableColumn id="17" xr3:uid="{45CF050F-B17E-4A1B-9BDA-B7F1ADD67C9C}" name="The Silver Chair"/>
    <tableColumn id="18" xr3:uid="{77BC24E6-BE0F-495E-85F7-B37765C67CA6}" name="The Last Battle"/>
    <tableColumn id="19" xr3:uid="{02F6A38A-0DC0-4D44-A60B-9DF2EB4649C3}" name="A Court of Thorns and Roses"/>
    <tableColumn id="20" xr3:uid="{5376466F-C59B-4AA9-A27B-97A1ABF91583}" name="Norse Mythology"/>
    <tableColumn id="21" xr3:uid="{9ACF708B-BE1C-4732-8F6A-4C80AF92CFFA}" name="The Subtle Knife"/>
    <tableColumn id="22" xr3:uid="{6C13A606-0C67-4375-B8F8-A0B2F69BF30E}" name="The Amber Spyglass"/>
    <tableColumn id="23" xr3:uid="{7B231697-A466-491D-8153-B7B4731C8404}" name="The Magicians"/>
    <tableColumn id="24" xr3:uid="{616B0996-B1C7-44DE-89C1-01E54EEBEF74}" name="The Hitchhiker's Guide to the Galaxy"/>
    <tableColumn id="25" xr3:uid="{ECBE2897-029C-4598-B557-0C94D8C1F93A}" name="The Restaurant at the End of the Universe"/>
    <tableColumn id="26" xr3:uid="{622B1D71-AB4C-4044-9EB3-1E80B0B8EEB0}" name="Life, the Universe and Everything"/>
    <tableColumn id="27" xr3:uid="{A6D85D35-180D-40B0-AE18-E09981B9A59A}" name="A Court of Mist and Fury"/>
    <tableColumn id="28" xr3:uid="{812C2C3D-3E0D-4641-BED8-706885C3D3F1}" name="The Old Man and the Sea"/>
    <tableColumn id="29" xr3:uid="{FC510078-8CEF-4931-9EE4-2FF6AB8A222D}" name="A Month in the Country"/>
    <tableColumn id="30" xr3:uid="{72D5F146-EDC7-4111-82C4-2E0691372258}" name="Out of the Silent Planet"/>
    <tableColumn id="31" xr3:uid="{EDF74D35-FA04-4870-9950-153619B42402}" name="The Westing Game"/>
    <tableColumn id="32" xr3:uid="{14989BE6-8221-4E68-866C-29552EDF5204}" name="Every Heart a Doorway"/>
    <tableColumn id="33" xr3:uid="{4BC1643F-9211-4507-95E6-C78EAFAA4A07}" name="Before the Coffee Gets Cold"/>
    <tableColumn id="34" xr3:uid="{86FEB0C4-2441-486D-BBE8-F970CBC8D12F}" name="Stardust"/>
    <tableColumn id="35" xr3:uid="{34E66611-5830-459F-88D3-19D364930BB8}" name="The Mysterious Affar at Styles"/>
    <tableColumn id="36" xr3:uid="{FD740720-36C6-4CF4-A5B5-E075E73EE380}" name="Meddling Kids"/>
    <tableColumn id="39" xr3:uid="{635628ED-25F7-4198-8C58-41CBD7B76A02}" name="This Is How You Lose the Time War"/>
    <tableColumn id="41" xr3:uid="{E17624D2-1987-42BA-A67E-A5722BDEA00C}" name="The Final Girl Suppport Group"/>
    <tableColumn id="43" xr3:uid="{53E2523B-88D8-4EC8-BE9B-EB3B52AF5123}" name="A House with Good Bones"/>
    <tableColumn id="46" xr3:uid="{EB3773FF-68F1-469F-ADE8-F42F0C0E6D43}" name="Small Things Like These"/>
    <tableColumn id="44" xr3:uid="{C13FCEB5-4BFF-43F8-AAED-4B041ED15DAB}" name="Doors of Darkness"/>
    <tableColumn id="38" xr3:uid="{0078D3DD-47FE-4687-A4C4-454C84C1A5C1}" name="So Long, and Thanks for All the Fish"/>
    <tableColumn id="3" xr3:uid="{92712163-CF01-490B-A571-F32B1632A3BE}" name="A Court of Wings and Ruin"/>
    <tableColumn id="51" xr3:uid="{AE64B2B6-291D-4845-A0AA-A7127A249499}" name="The Troop"/>
    <tableColumn id="53" xr3:uid="{86A8F8C6-90FB-43B8-BD29-8A39BA03374C}" name="A Court of Frost and Starlight"/>
    <tableColumn id="55" xr3:uid="{F9138635-8150-4B9B-BC46-328D6F48C81E}" name="Project Hail Mary"/>
    <tableColumn id="56" xr3:uid="{28680EB2-C5AB-4105-A82F-E787B896B117}" name="Red Rising"/>
    <tableColumn id="57" xr3:uid="{9208BCB9-FD80-40BC-9F21-35D411B38E15}" name="Sunrise on the Reaping"/>
    <tableColumn id="58" xr3:uid="{5EF71655-514C-4305-8951-7617C45846D2}" name="The Murderbot Diaries Vol. 1"/>
    <tableColumn id="64" xr3:uid="{BC0D774F-8E43-4073-B584-94B1590A8A28}" name="A Court of Silver Flames"/>
    <tableColumn id="65" xr3:uid="{2CF1C9B8-43D4-41CA-8257-48B5F863E355}" name="The Assassin's Blade"/>
    <tableColumn id="66" xr3:uid="{654D5E06-3D38-438D-921C-F5DA89A9EC82}" name="The Haunting of Ashburn House"/>
    <tableColumn id="47" xr3:uid="{998D1D69-3CCC-4DBB-8CC6-8C4A77EAFFAE}" name="The Saturday Night Ghost Club"/>
    <tableColumn id="45" xr3:uid="{C549E187-C311-4DA0-BAE0-20213792695C}" name="The Maltese Falcon"/>
    <tableColumn id="40" xr3:uid="{67D1CE1E-6635-4261-A5E1-AA95DC3338F9}" name="The Sympathizer"/>
    <tableColumn id="37" xr3:uid="{5DC4028B-53A1-4743-9510-ABCCD85800F4}" name="Dracula Daily"/>
    <tableColumn id="42" xr3:uid="{206DDB33-4045-47BB-A603-038D3B2F9239}" name="Remarkably Bright Creatures"/>
    <tableColumn id="54" xr3:uid="{9BC83E7F-5B40-4C50-8FAC-302E52B5EDF9}" name="Wuthering Heights"/>
    <tableColumn id="4" xr3:uid="{BF73D998-6ACD-4C1E-BC29-9D3016A83688}" name="en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EA525-DBBA-4E33-A4F0-2FC6E862763C}" name="books" displayName="books" ref="V1:AC111" totalsRowShown="0">
  <autoFilter ref="V1:AC111" xr:uid="{1A0EA525-DBBA-4E33-A4F0-2FC6E862763C}"/>
  <tableColumns count="8">
    <tableColumn id="1" xr3:uid="{F79EFEC9-0568-4179-9739-912DCA465E73}" name="Book"/>
    <tableColumn id="5" xr3:uid="{08131005-6628-48D2-92BB-D0EF3902CC68}" name="in pages" dataDxfId="2">
      <calculatedColumnFormula>_xlfn.IFNA(_xlfn.XMATCH(books[[#This Row],[Book]],Table8[[#Headers],[The Golden Compass]:[end]]),-1)</calculatedColumnFormula>
    </tableColumn>
    <tableColumn id="2" xr3:uid="{2EED6BFC-7248-4E67-9FAF-068D0687FD96}" name="book_id"/>
    <tableColumn id="3" xr3:uid="{E5F57C11-318E-416D-9963-43441D468BBD}" name="read_run_id"/>
    <tableColumn id="4" xr3:uid="{9E739F62-5ADD-4ABD-88D3-2FB202D7DCEE}" name="edition_id"/>
    <tableColumn id="6" xr3:uid="{DE7BC5D0-A913-4067-8332-1415AAEC25EC}" name="pages read" dataDxfId="1">
      <calculatedColumnFormula>_xlfn.IFNA(SUM(INDEX(Table8[],,_xlfn.XMATCH(books[[#This Row],[Book]],Table8[#Headers]))),0)</calculatedColumnFormula>
    </tableColumn>
    <tableColumn id="7" xr3:uid="{DC608011-A572-474C-9F10-942A74BD5DE1}" name="pages"/>
    <tableColumn id="8" xr3:uid="{8BF589B8-6F36-48EB-95F9-53C3B336E42D}" name="%done" dataDxfId="0" dataCellStyle="Percent">
      <calculatedColumnFormula>IF(ISBLANK(books[[#This Row],[pages]]),"",books[[#This Row],[pages read]]/books[[#This Row],[pages]])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D8ED-00ED-44E9-A98D-F5DDB5A613FF}">
  <sheetPr codeName="Sheet6"/>
  <dimension ref="A1:CQ1178"/>
  <sheetViews>
    <sheetView tabSelected="1" zoomScaleNormal="100" workbookViewId="0">
      <pane ySplit="1" topLeftCell="A307" activePane="bottomLeft" state="frozen"/>
      <selection pane="bottomLeft"/>
    </sheetView>
  </sheetViews>
  <sheetFormatPr defaultRowHeight="15" x14ac:dyDescent="0.25"/>
  <cols>
    <col min="1" max="1" width="10.7109375" style="1" bestFit="1" customWidth="1"/>
    <col min="2" max="2" width="11.28515625" customWidth="1"/>
    <col min="3" max="3" width="11.28515625" hidden="1" customWidth="1"/>
    <col min="4" max="4" width="11.28515625" customWidth="1"/>
    <col min="5" max="5" width="11.28515625" hidden="1" customWidth="1"/>
    <col min="6" max="6" width="11.28515625" customWidth="1"/>
    <col min="7" max="7" width="11.28515625" hidden="1" customWidth="1"/>
    <col min="8" max="8" width="11.28515625" customWidth="1"/>
    <col min="9" max="9" width="11.28515625" hidden="1" customWidth="1"/>
    <col min="10" max="10" width="11.28515625" customWidth="1"/>
    <col min="11" max="12" width="22.140625" hidden="1" customWidth="1"/>
    <col min="13" max="13" width="34.85546875" hidden="1" customWidth="1"/>
    <col min="14" max="14" width="56.42578125" hidden="1" customWidth="1"/>
    <col min="15" max="15" width="18.42578125" hidden="1" customWidth="1"/>
    <col min="16" max="16" width="17.7109375" hidden="1" customWidth="1"/>
    <col min="17" max="17" width="15.42578125" hidden="1" customWidth="1"/>
    <col min="18" max="18" width="10.28515625" hidden="1" customWidth="1"/>
    <col min="19" max="19" width="24.85546875" hidden="1" customWidth="1"/>
    <col min="20" max="20" width="37.85546875" hidden="1" customWidth="1"/>
    <col min="21" max="21" width="23" hidden="1" customWidth="1"/>
    <col min="22" max="22" width="16.28515625" hidden="1" customWidth="1"/>
    <col min="23" max="23" width="32.7109375" hidden="1" customWidth="1"/>
    <col min="24" max="24" width="17.140625" hidden="1" customWidth="1"/>
    <col min="25" max="25" width="16.28515625" hidden="1" customWidth="1"/>
    <col min="26" max="26" width="28.42578125" hidden="1" customWidth="1"/>
    <col min="27" max="27" width="18.7109375" hidden="1" customWidth="1"/>
    <col min="28" max="28" width="18" hidden="1" customWidth="1"/>
    <col min="29" max="29" width="21.140625" hidden="1" customWidth="1"/>
    <col min="30" max="30" width="16" hidden="1" customWidth="1"/>
    <col min="31" max="31" width="36.42578125" hidden="1" customWidth="1"/>
    <col min="32" max="32" width="41" hidden="1" customWidth="1"/>
    <col min="33" max="33" width="33.28515625" hidden="1" customWidth="1"/>
    <col min="34" max="34" width="25" hidden="1" customWidth="1"/>
    <col min="35" max="35" width="25.7109375" hidden="1" customWidth="1"/>
    <col min="36" max="37" width="24.42578125" hidden="1" customWidth="1"/>
    <col min="38" max="38" width="20.42578125" hidden="1" customWidth="1"/>
    <col min="39" max="39" width="23.42578125" hidden="1" customWidth="1"/>
    <col min="40" max="40" width="28.7109375" hidden="1" customWidth="1"/>
    <col min="41" max="41" width="10.5703125" hidden="1" customWidth="1"/>
    <col min="42" max="42" width="30.28515625" hidden="1" customWidth="1"/>
    <col min="43" max="43" width="16.140625" hidden="1" customWidth="1"/>
    <col min="44" max="44" width="34.5703125" hidden="1" customWidth="1"/>
    <col min="45" max="45" width="30.140625" hidden="1" customWidth="1"/>
    <col min="46" max="46" width="26.5703125" hidden="1" customWidth="1"/>
    <col min="47" max="47" width="24.42578125" hidden="1" customWidth="1"/>
    <col min="48" max="48" width="19.28515625" hidden="1" customWidth="1"/>
    <col min="49" max="49" width="34.85546875" hidden="1" customWidth="1"/>
    <col min="50" max="50" width="26.7109375" hidden="1" customWidth="1"/>
    <col min="51" max="51" width="12.140625" hidden="1" customWidth="1"/>
    <col min="52" max="52" width="29.140625" hidden="1" customWidth="1"/>
    <col min="53" max="53" width="18.5703125" hidden="1" customWidth="1"/>
    <col min="54" max="54" width="12.42578125" hidden="1" customWidth="1"/>
    <col min="55" max="55" width="24" hidden="1" customWidth="1"/>
    <col min="56" max="56" width="29.28515625" bestFit="1" customWidth="1"/>
    <col min="57" max="57" width="24.7109375" hidden="1" customWidth="1"/>
    <col min="58" max="58" width="21.5703125" hidden="1" customWidth="1"/>
    <col min="59" max="59" width="30.7109375" hidden="1" customWidth="1"/>
    <col min="60" max="60" width="20.7109375" bestFit="1" customWidth="1"/>
    <col min="61" max="61" width="18.140625" bestFit="1" customWidth="1"/>
    <col min="62" max="62" width="14.7109375" bestFit="1" customWidth="1"/>
    <col min="63" max="63" width="29" bestFit="1" customWidth="1"/>
    <col min="64" max="64" width="20.28515625" bestFit="1" customWidth="1"/>
    <col min="65" max="65" width="6.7109375" bestFit="1" customWidth="1"/>
    <col min="70" max="70" width="9.7109375" customWidth="1"/>
    <col min="71" max="72" width="9.140625" customWidth="1"/>
  </cols>
  <sheetData>
    <row r="1" spans="1:78" x14ac:dyDescent="0.25">
      <c r="A1" s="1" t="s">
        <v>5</v>
      </c>
      <c r="B1" t="s">
        <v>6</v>
      </c>
      <c r="C1" t="s">
        <v>75</v>
      </c>
      <c r="D1" t="s">
        <v>7</v>
      </c>
      <c r="E1" t="s">
        <v>67</v>
      </c>
      <c r="F1" t="s">
        <v>8</v>
      </c>
      <c r="G1" t="s">
        <v>66</v>
      </c>
      <c r="H1" t="s">
        <v>9</v>
      </c>
      <c r="I1" t="s">
        <v>65</v>
      </c>
      <c r="J1" t="s">
        <v>10</v>
      </c>
      <c r="K1" t="s">
        <v>64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61</v>
      </c>
      <c r="BB1" t="s">
        <v>62</v>
      </c>
      <c r="BC1" t="s">
        <v>63</v>
      </c>
      <c r="BD1" t="s">
        <v>89</v>
      </c>
      <c r="BE1" t="s">
        <v>88</v>
      </c>
      <c r="BF1" t="s">
        <v>115</v>
      </c>
      <c r="BG1" t="s">
        <v>167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52</v>
      </c>
      <c r="BN1" t="s">
        <v>58</v>
      </c>
      <c r="BO1" s="3"/>
      <c r="BP1">
        <f>MAX(B2:B1178)</f>
        <v>263</v>
      </c>
      <c r="BQ1" cm="1">
        <f t="array" aca="1" ref="BQ1" ca="1">AVERAGE(_xlfn._xlws.FILTER(B2:B1178,A2:A1178&lt;TODAY()+1))</f>
        <v>13.020646319569121</v>
      </c>
      <c r="BR1" cm="1">
        <f t="array" aca="1" ref="BR1" ca="1">_xlfn.STDEV.P(_xlfn._xlws.FILTER(B2:B1178,A2:A1178&lt;TODAY()+1))</f>
        <v>33.583392882490081</v>
      </c>
      <c r="BS1">
        <f>AVERAGEIF(B2:B1178,"&lt;&gt;"&amp;0)</f>
        <v>60.945378151260506</v>
      </c>
      <c r="BT1" cm="1">
        <f t="array" aca="1" ref="BT1" ca="1">_xlfn.STDEV.P(_xlfn._xlws.FILTER(B2:B1178,(A2:A1178&lt;TODAY()+1)*(B2:B1178&lt;&gt;0)))</f>
        <v>48.5621100144823</v>
      </c>
      <c r="BV1">
        <v>1114</v>
      </c>
      <c r="BW1" t="str" cm="1">
        <f t="array" ref="BW1">_xlfn.TEXTJOIN(_xlfn.CONCAT(",",CHAR(10)),TRUE,IFERROR(_xlfn.BYCOL(_xlfn.CHOOSECOLS(_xlfn._xlws.FILTER(_xlfn.DROP(Table8[[#All],[The Golden Compass]:[end]],,-1),_xlfn.VSTACK(TRUE,Table8[Date]&gt;INDEX(Table8[Date],$BV$1-1))),_xlfn.BYROW(_xlfn._xlws.FILTER(books[Book],books[in pages]&lt;&gt;-1),_xlfn.LAMBDA(_xlpm.x,MATCH(_xlpm.x,_xlfn.DROP(Table8[[#Headers],[The Golden Compass]:[end]],,-1),0)))),_xlfn.LAMBDA(_xlpm.a,_xlfn.CONCAT("(",_xlfn.TEXTJOIN(_xlfn.CONCAT("),",CHAR(10),"("),TRUE,_xlfn._xlws.FILTER(_xlfn.BYROW(_xlfn.HSTACK(TEXT(_xlfn._xlws.FILTER(Table8[Date],Table8[Date]&gt;INDEX(Table8[Date],$BV$1-1)),"'yyyy-mm-dd'"),IF(_xlfn.SEQUENCE(COUNT(_xlfn._xlws.FILTER(Table8[Date],Table8[Date]&gt;INDEX(Table8[Date],$BV$1-1))),1)&gt;0,_xlfn.XLOOKUP(INDEX(_xlpm.a,1),books[Book],books[read_run_id])),INDEX(_xlpm.a,_xlfn.SEQUENCE(COUNT(_xlfn._xlws.FILTER(Table8[Date],Table8[Date]&gt;INDEX(Table8[Date],$BV$1-1))),1,2))),_xlfn.LAMBDA(_xlpm.b,_xlfn.TEXTJOIN(", ",TRUE,_xlpm.b))),INDEX(_xlpm.a,_xlfn.SEQUENCE(COUNT(_xlfn._xlws.FILTER(Table8[Date],Table8[Date]&gt;INDEX(Table8[Date],$BV$1-1))),1,2))&lt;&gt;0)),")"))),""))</f>
        <v>('2026-10-29', 52, 105)</v>
      </c>
      <c r="BZ1" s="3" t="s">
        <v>166</v>
      </c>
    </row>
    <row r="2" spans="1:78" hidden="1" x14ac:dyDescent="0.25">
      <c r="A2" s="1">
        <v>45211</v>
      </c>
      <c r="B2">
        <f>SUM(_xlfn.CHOOSEROWS(Table8[[The Golden Compass]:[end]],ROW()-1))</f>
        <v>129</v>
      </c>
      <c r="C2">
        <f>Table8[[#This Row],[Cumulative 2023 Q4]]+Table8[[#This Row],[Cumulative 2024]]+Table8[[#This Row],[Cumulative 2025]]+Table8[[#This Row],[Cumulative 2026]]</f>
        <v>129</v>
      </c>
      <c r="D2">
        <f>IF(YEAR(Table8[[#This Row],[Date]])=2023,B2,0)+IF(ROW(D1)=1,0,D1)</f>
        <v>129</v>
      </c>
      <c r="E2">
        <f>MAX(Table8[Cumulative 2023 Q4])</f>
        <v>4195</v>
      </c>
      <c r="F2">
        <f>IF(YEAR(Table8[[#This Row],[Date]])=2024,B2,0)+IF(ROW(F1)=1,0,F1)</f>
        <v>0</v>
      </c>
      <c r="G2">
        <f>MAX(Table8[Cumulative 2024])</f>
        <v>5831</v>
      </c>
      <c r="H2">
        <f>IF(YEAR(Table8[[#This Row],[Date]])=2025,B2,0)+IF(ROW(H1)=1,0,H1)</f>
        <v>0</v>
      </c>
      <c r="I2">
        <f>MAX(Table8[Cumulative 2025])</f>
        <v>1377</v>
      </c>
      <c r="J2">
        <f>IF(YEAR(Table8[[#This Row],[Date]])=2026,B2,0)+IF(ROW(J1)=1,0,J1)</f>
        <v>0</v>
      </c>
      <c r="K2">
        <f>MAX(Table8[Cumulative 2026])</f>
        <v>3102</v>
      </c>
      <c r="L2">
        <v>129</v>
      </c>
    </row>
    <row r="3" spans="1:78" hidden="1" x14ac:dyDescent="0.25">
      <c r="A3" s="1">
        <v>45212</v>
      </c>
      <c r="B3">
        <f>SUM(_xlfn.CHOOSEROWS(Table8[[The Golden Compass]:[end]],ROW()-1))</f>
        <v>0</v>
      </c>
      <c r="C3">
        <f>Table8[[#This Row],[Cumulative 2023 Q4]]+Table8[[#This Row],[Cumulative 2024]]+Table8[[#This Row],[Cumulative 2025]]+Table8[[#This Row],[Cumulative 2026]]</f>
        <v>129</v>
      </c>
      <c r="D3">
        <f>IF(YEAR(Table8[[#This Row],[Date]])=2023,B3,0)+IF(ROW(D2)=1,0,D2)</f>
        <v>129</v>
      </c>
      <c r="E3">
        <f>MAX(Table8[Cumulative 2023 Q4])</f>
        <v>4195</v>
      </c>
      <c r="F3">
        <f>IF(YEAR(Table8[[#This Row],[Date]])=2024,B3,0)+IF(ROW(F2)=1,0,F2)</f>
        <v>0</v>
      </c>
      <c r="G3">
        <f>MAX(Table8[Cumulative 2024])</f>
        <v>5831</v>
      </c>
      <c r="H3">
        <f>IF(YEAR(Table8[[#This Row],[Date]])=2025,B3,0)+IF(ROW(H2)=1,0,H2)</f>
        <v>0</v>
      </c>
      <c r="I3">
        <f>MAX(Table8[Cumulative 2025])</f>
        <v>1377</v>
      </c>
      <c r="J3">
        <f>IF(YEAR(Table8[[#This Row],[Date]])=2026,B3,0)+IF(ROW(J2)=1,0,J2)</f>
        <v>0</v>
      </c>
      <c r="K3">
        <f>MAX(Table8[Cumulative 2026])</f>
        <v>3102</v>
      </c>
    </row>
    <row r="4" spans="1:78" hidden="1" x14ac:dyDescent="0.25">
      <c r="A4" s="1">
        <v>45213</v>
      </c>
      <c r="B4">
        <f>SUM(_xlfn.CHOOSEROWS(Table8[[The Golden Compass]:[end]],ROW()-1))</f>
        <v>0</v>
      </c>
      <c r="C4">
        <f>Table8[[#This Row],[Cumulative 2023 Q4]]+Table8[[#This Row],[Cumulative 2024]]+Table8[[#This Row],[Cumulative 2025]]+Table8[[#This Row],[Cumulative 2026]]</f>
        <v>129</v>
      </c>
      <c r="D4">
        <f>IF(YEAR(Table8[[#This Row],[Date]])=2023,B4,0)+IF(ROW(D3)=1,0,D3)</f>
        <v>129</v>
      </c>
      <c r="E4">
        <f>MAX(Table8[Cumulative 2023 Q4])</f>
        <v>4195</v>
      </c>
      <c r="F4">
        <f>IF(YEAR(Table8[[#This Row],[Date]])=2024,B4,0)+IF(ROW(F3)=1,0,F3)</f>
        <v>0</v>
      </c>
      <c r="G4">
        <f>MAX(Table8[Cumulative 2024])</f>
        <v>5831</v>
      </c>
      <c r="H4">
        <f>IF(YEAR(Table8[[#This Row],[Date]])=2025,B4,0)+IF(ROW(H3)=1,0,H3)</f>
        <v>0</v>
      </c>
      <c r="I4">
        <f>MAX(Table8[Cumulative 2025])</f>
        <v>1377</v>
      </c>
      <c r="J4">
        <f>IF(YEAR(Table8[[#This Row],[Date]])=2026,B4,0)+IF(ROW(J3)=1,0,J3)</f>
        <v>0</v>
      </c>
      <c r="K4">
        <f>MAX(Table8[Cumulative 2026])</f>
        <v>3102</v>
      </c>
    </row>
    <row r="5" spans="1:78" hidden="1" x14ac:dyDescent="0.25">
      <c r="A5" s="1">
        <v>45214</v>
      </c>
      <c r="B5">
        <f>SUM(_xlfn.CHOOSEROWS(Table8[[The Golden Compass]:[end]],ROW()-1))</f>
        <v>0</v>
      </c>
      <c r="C5">
        <f>Table8[[#This Row],[Cumulative 2023 Q4]]+Table8[[#This Row],[Cumulative 2024]]+Table8[[#This Row],[Cumulative 2025]]+Table8[[#This Row],[Cumulative 2026]]</f>
        <v>129</v>
      </c>
      <c r="D5">
        <f>IF(YEAR(Table8[[#This Row],[Date]])=2023,B5,0)+IF(ROW(D4)=1,0,D4)</f>
        <v>129</v>
      </c>
      <c r="E5">
        <f>MAX(Table8[Cumulative 2023 Q4])</f>
        <v>4195</v>
      </c>
      <c r="F5">
        <f>IF(YEAR(Table8[[#This Row],[Date]])=2024,B5,0)+IF(ROW(F4)=1,0,F4)</f>
        <v>0</v>
      </c>
      <c r="G5">
        <f>MAX(Table8[Cumulative 2024])</f>
        <v>5831</v>
      </c>
      <c r="H5">
        <f>IF(YEAR(Table8[[#This Row],[Date]])=2025,B5,0)+IF(ROW(H4)=1,0,H4)</f>
        <v>0</v>
      </c>
      <c r="I5">
        <f>MAX(Table8[Cumulative 2025])</f>
        <v>1377</v>
      </c>
      <c r="J5">
        <f>IF(YEAR(Table8[[#This Row],[Date]])=2026,B5,0)+IF(ROW(J4)=1,0,J4)</f>
        <v>0</v>
      </c>
      <c r="K5">
        <f>MAX(Table8[Cumulative 2026])</f>
        <v>3102</v>
      </c>
    </row>
    <row r="6" spans="1:78" hidden="1" x14ac:dyDescent="0.25">
      <c r="A6" s="1">
        <v>45215</v>
      </c>
      <c r="B6">
        <f>SUM(_xlfn.CHOOSEROWS(Table8[[The Golden Compass]:[end]],ROW()-1))</f>
        <v>0</v>
      </c>
      <c r="C6">
        <f>Table8[[#This Row],[Cumulative 2023 Q4]]+Table8[[#This Row],[Cumulative 2024]]+Table8[[#This Row],[Cumulative 2025]]+Table8[[#This Row],[Cumulative 2026]]</f>
        <v>129</v>
      </c>
      <c r="D6">
        <f>IF(YEAR(Table8[[#This Row],[Date]])=2023,B6,0)+IF(ROW(D5)=1,0,D5)</f>
        <v>129</v>
      </c>
      <c r="E6">
        <f>MAX(Table8[Cumulative 2023 Q4])</f>
        <v>4195</v>
      </c>
      <c r="F6">
        <f>IF(YEAR(Table8[[#This Row],[Date]])=2024,B6,0)+IF(ROW(F5)=1,0,F5)</f>
        <v>0</v>
      </c>
      <c r="G6">
        <f>MAX(Table8[Cumulative 2024])</f>
        <v>5831</v>
      </c>
      <c r="H6">
        <f>IF(YEAR(Table8[[#This Row],[Date]])=2025,B6,0)+IF(ROW(H5)=1,0,H5)</f>
        <v>0</v>
      </c>
      <c r="I6">
        <f>MAX(Table8[Cumulative 2025])</f>
        <v>1377</v>
      </c>
      <c r="J6">
        <f>IF(YEAR(Table8[[#This Row],[Date]])=2026,B6,0)+IF(ROW(J5)=1,0,J5)</f>
        <v>0</v>
      </c>
      <c r="K6">
        <f>MAX(Table8[Cumulative 2026])</f>
        <v>3102</v>
      </c>
    </row>
    <row r="7" spans="1:78" hidden="1" x14ac:dyDescent="0.25">
      <c r="A7" s="1">
        <v>45216</v>
      </c>
      <c r="B7">
        <f>SUM(_xlfn.CHOOSEROWS(Table8[[The Golden Compass]:[end]],ROW()-1))</f>
        <v>34</v>
      </c>
      <c r="C7">
        <f>Table8[[#This Row],[Cumulative 2023 Q4]]+Table8[[#This Row],[Cumulative 2024]]+Table8[[#This Row],[Cumulative 2025]]+Table8[[#This Row],[Cumulative 2026]]</f>
        <v>163</v>
      </c>
      <c r="D7">
        <f>IF(YEAR(Table8[[#This Row],[Date]])=2023,B7,0)+IF(ROW(D6)=1,0,D6)</f>
        <v>163</v>
      </c>
      <c r="E7">
        <f>MAX(Table8[Cumulative 2023 Q4])</f>
        <v>4195</v>
      </c>
      <c r="F7">
        <f>IF(YEAR(Table8[[#This Row],[Date]])=2024,B7,0)+IF(ROW(F6)=1,0,F6)</f>
        <v>0</v>
      </c>
      <c r="G7">
        <f>MAX(Table8[Cumulative 2024])</f>
        <v>5831</v>
      </c>
      <c r="H7">
        <f>IF(YEAR(Table8[[#This Row],[Date]])=2025,B7,0)+IF(ROW(H6)=1,0,H6)</f>
        <v>0</v>
      </c>
      <c r="I7">
        <f>MAX(Table8[Cumulative 2025])</f>
        <v>1377</v>
      </c>
      <c r="J7">
        <f>IF(YEAR(Table8[[#This Row],[Date]])=2026,B7,0)+IF(ROW(J6)=1,0,J6)</f>
        <v>0</v>
      </c>
      <c r="K7">
        <f>MAX(Table8[Cumulative 2026])</f>
        <v>3102</v>
      </c>
      <c r="L7">
        <v>34</v>
      </c>
    </row>
    <row r="8" spans="1:78" hidden="1" x14ac:dyDescent="0.25">
      <c r="A8" s="1">
        <v>45217</v>
      </c>
      <c r="B8">
        <f>SUM(_xlfn.CHOOSEROWS(Table8[[The Golden Compass]:[end]],ROW()-1))</f>
        <v>41</v>
      </c>
      <c r="C8">
        <f>Table8[[#This Row],[Cumulative 2023 Q4]]+Table8[[#This Row],[Cumulative 2024]]+Table8[[#This Row],[Cumulative 2025]]+Table8[[#This Row],[Cumulative 2026]]</f>
        <v>204</v>
      </c>
      <c r="D8">
        <f>IF(YEAR(Table8[[#This Row],[Date]])=2023,B8,0)+IF(ROW(D7)=1,0,D7)</f>
        <v>204</v>
      </c>
      <c r="E8">
        <f>MAX(Table8[Cumulative 2023 Q4])</f>
        <v>4195</v>
      </c>
      <c r="F8">
        <f>IF(YEAR(Table8[[#This Row],[Date]])=2024,B8,0)+IF(ROW(F7)=1,0,F7)</f>
        <v>0</v>
      </c>
      <c r="G8">
        <f>MAX(Table8[Cumulative 2024])</f>
        <v>5831</v>
      </c>
      <c r="H8">
        <f>IF(YEAR(Table8[[#This Row],[Date]])=2025,B8,0)+IF(ROW(H7)=1,0,H7)</f>
        <v>0</v>
      </c>
      <c r="I8">
        <f>MAX(Table8[Cumulative 2025])</f>
        <v>1377</v>
      </c>
      <c r="J8">
        <f>IF(YEAR(Table8[[#This Row],[Date]])=2026,B8,0)+IF(ROW(J7)=1,0,J7)</f>
        <v>0</v>
      </c>
      <c r="K8">
        <f>MAX(Table8[Cumulative 2026])</f>
        <v>3102</v>
      </c>
      <c r="L8">
        <v>41</v>
      </c>
    </row>
    <row r="9" spans="1:78" hidden="1" x14ac:dyDescent="0.25">
      <c r="A9" s="1">
        <v>45218</v>
      </c>
      <c r="B9">
        <f>SUM(_xlfn.CHOOSEROWS(Table8[[The Golden Compass]:[end]],ROW()-1))</f>
        <v>0</v>
      </c>
      <c r="C9">
        <f>Table8[[#This Row],[Cumulative 2023 Q4]]+Table8[[#This Row],[Cumulative 2024]]+Table8[[#This Row],[Cumulative 2025]]+Table8[[#This Row],[Cumulative 2026]]</f>
        <v>204</v>
      </c>
      <c r="D9">
        <f>IF(YEAR(Table8[[#This Row],[Date]])=2023,B9,0)+IF(ROW(D8)=1,0,D8)</f>
        <v>204</v>
      </c>
      <c r="E9">
        <f>MAX(Table8[Cumulative 2023 Q4])</f>
        <v>4195</v>
      </c>
      <c r="F9">
        <f>IF(YEAR(Table8[[#This Row],[Date]])=2024,B9,0)+IF(ROW(F8)=1,0,F8)</f>
        <v>0</v>
      </c>
      <c r="G9">
        <f>MAX(Table8[Cumulative 2024])</f>
        <v>5831</v>
      </c>
      <c r="H9">
        <f>IF(YEAR(Table8[[#This Row],[Date]])=2025,B9,0)+IF(ROW(H8)=1,0,H8)</f>
        <v>0</v>
      </c>
      <c r="I9">
        <f>MAX(Table8[Cumulative 2025])</f>
        <v>1377</v>
      </c>
      <c r="J9">
        <f>IF(YEAR(Table8[[#This Row],[Date]])=2026,B9,0)+IF(ROW(J8)=1,0,J8)</f>
        <v>0</v>
      </c>
      <c r="K9">
        <f>MAX(Table8[Cumulative 2026])</f>
        <v>3102</v>
      </c>
    </row>
    <row r="10" spans="1:78" hidden="1" x14ac:dyDescent="0.25">
      <c r="A10" s="1">
        <v>45219</v>
      </c>
      <c r="B10">
        <f>SUM(_xlfn.CHOOSEROWS(Table8[[The Golden Compass]:[end]],ROW()-1))</f>
        <v>0</v>
      </c>
      <c r="C10">
        <f>Table8[[#This Row],[Cumulative 2023 Q4]]+Table8[[#This Row],[Cumulative 2024]]+Table8[[#This Row],[Cumulative 2025]]+Table8[[#This Row],[Cumulative 2026]]</f>
        <v>204</v>
      </c>
      <c r="D10">
        <f>IF(YEAR(Table8[[#This Row],[Date]])=2023,B10,0)+IF(ROW(D9)=1,0,D9)</f>
        <v>204</v>
      </c>
      <c r="E10">
        <f>MAX(Table8[Cumulative 2023 Q4])</f>
        <v>4195</v>
      </c>
      <c r="F10">
        <f>IF(YEAR(Table8[[#This Row],[Date]])=2024,B10,0)+IF(ROW(F9)=1,0,F9)</f>
        <v>0</v>
      </c>
      <c r="G10">
        <f>MAX(Table8[Cumulative 2024])</f>
        <v>5831</v>
      </c>
      <c r="H10">
        <f>IF(YEAR(Table8[[#This Row],[Date]])=2025,B10,0)+IF(ROW(H9)=1,0,H9)</f>
        <v>0</v>
      </c>
      <c r="I10">
        <f>MAX(Table8[Cumulative 2025])</f>
        <v>1377</v>
      </c>
      <c r="J10">
        <f>IF(YEAR(Table8[[#This Row],[Date]])=2026,B10,0)+IF(ROW(J9)=1,0,J9)</f>
        <v>0</v>
      </c>
      <c r="K10">
        <f>MAX(Table8[Cumulative 2026])</f>
        <v>3102</v>
      </c>
    </row>
    <row r="11" spans="1:78" hidden="1" x14ac:dyDescent="0.25">
      <c r="A11" s="1">
        <v>45220</v>
      </c>
      <c r="B11">
        <f>SUM(_xlfn.CHOOSEROWS(Table8[[The Golden Compass]:[end]],ROW()-1))</f>
        <v>0</v>
      </c>
      <c r="C11">
        <f>Table8[[#This Row],[Cumulative 2023 Q4]]+Table8[[#This Row],[Cumulative 2024]]+Table8[[#This Row],[Cumulative 2025]]+Table8[[#This Row],[Cumulative 2026]]</f>
        <v>204</v>
      </c>
      <c r="D11">
        <f>IF(YEAR(Table8[[#This Row],[Date]])=2023,B11,0)+IF(ROW(D10)=1,0,D10)</f>
        <v>204</v>
      </c>
      <c r="E11">
        <f>MAX(Table8[Cumulative 2023 Q4])</f>
        <v>4195</v>
      </c>
      <c r="F11">
        <f>IF(YEAR(Table8[[#This Row],[Date]])=2024,B11,0)+IF(ROW(F10)=1,0,F10)</f>
        <v>0</v>
      </c>
      <c r="G11">
        <f>MAX(Table8[Cumulative 2024])</f>
        <v>5831</v>
      </c>
      <c r="H11">
        <f>IF(YEAR(Table8[[#This Row],[Date]])=2025,B11,0)+IF(ROW(H10)=1,0,H10)</f>
        <v>0</v>
      </c>
      <c r="I11">
        <f>MAX(Table8[Cumulative 2025])</f>
        <v>1377</v>
      </c>
      <c r="J11">
        <f>IF(YEAR(Table8[[#This Row],[Date]])=2026,B11,0)+IF(ROW(J10)=1,0,J10)</f>
        <v>0</v>
      </c>
      <c r="K11">
        <f>MAX(Table8[Cumulative 2026])</f>
        <v>3102</v>
      </c>
    </row>
    <row r="12" spans="1:78" hidden="1" x14ac:dyDescent="0.25">
      <c r="A12" s="1">
        <v>45221</v>
      </c>
      <c r="B12">
        <f>SUM(_xlfn.CHOOSEROWS(Table8[[The Golden Compass]:[end]],ROW()-1))</f>
        <v>0</v>
      </c>
      <c r="C12">
        <f>Table8[[#This Row],[Cumulative 2023 Q4]]+Table8[[#This Row],[Cumulative 2024]]+Table8[[#This Row],[Cumulative 2025]]+Table8[[#This Row],[Cumulative 2026]]</f>
        <v>204</v>
      </c>
      <c r="D12">
        <f>IF(YEAR(Table8[[#This Row],[Date]])=2023,B12,0)+IF(ROW(D11)=1,0,D11)</f>
        <v>204</v>
      </c>
      <c r="E12">
        <f>MAX(Table8[Cumulative 2023 Q4])</f>
        <v>4195</v>
      </c>
      <c r="F12">
        <f>IF(YEAR(Table8[[#This Row],[Date]])=2024,B12,0)+IF(ROW(F11)=1,0,F11)</f>
        <v>0</v>
      </c>
      <c r="G12">
        <f>MAX(Table8[Cumulative 2024])</f>
        <v>5831</v>
      </c>
      <c r="H12">
        <f>IF(YEAR(Table8[[#This Row],[Date]])=2025,B12,0)+IF(ROW(H11)=1,0,H11)</f>
        <v>0</v>
      </c>
      <c r="I12">
        <f>MAX(Table8[Cumulative 2025])</f>
        <v>1377</v>
      </c>
      <c r="J12">
        <f>IF(YEAR(Table8[[#This Row],[Date]])=2026,B12,0)+IF(ROW(J11)=1,0,J11)</f>
        <v>0</v>
      </c>
      <c r="K12">
        <f>MAX(Table8[Cumulative 2026])</f>
        <v>3102</v>
      </c>
    </row>
    <row r="13" spans="1:78" hidden="1" x14ac:dyDescent="0.25">
      <c r="A13" s="1">
        <v>45222</v>
      </c>
      <c r="B13">
        <f>SUM(_xlfn.CHOOSEROWS(Table8[[The Golden Compass]:[end]],ROW()-1))</f>
        <v>232</v>
      </c>
      <c r="C13">
        <f>Table8[[#This Row],[Cumulative 2023 Q4]]+Table8[[#This Row],[Cumulative 2024]]+Table8[[#This Row],[Cumulative 2025]]+Table8[[#This Row],[Cumulative 2026]]</f>
        <v>436</v>
      </c>
      <c r="D13">
        <f>IF(YEAR(Table8[[#This Row],[Date]])=2023,B13,0)+IF(ROW(D12)=1,0,D12)</f>
        <v>436</v>
      </c>
      <c r="E13">
        <f>MAX(Table8[Cumulative 2023 Q4])</f>
        <v>4195</v>
      </c>
      <c r="F13">
        <f>IF(YEAR(Table8[[#This Row],[Date]])=2024,B13,0)+IF(ROW(F12)=1,0,F12)</f>
        <v>0</v>
      </c>
      <c r="G13">
        <f>MAX(Table8[Cumulative 2024])</f>
        <v>5831</v>
      </c>
      <c r="H13">
        <f>IF(YEAR(Table8[[#This Row],[Date]])=2025,B13,0)+IF(ROW(H12)=1,0,H12)</f>
        <v>0</v>
      </c>
      <c r="I13">
        <f>MAX(Table8[Cumulative 2025])</f>
        <v>1377</v>
      </c>
      <c r="J13">
        <f>IF(YEAR(Table8[[#This Row],[Date]])=2026,B13,0)+IF(ROW(J12)=1,0,J12)</f>
        <v>0</v>
      </c>
      <c r="K13">
        <f>MAX(Table8[Cumulative 2026])</f>
        <v>3102</v>
      </c>
      <c r="L13">
        <v>195</v>
      </c>
      <c r="M13">
        <v>37</v>
      </c>
    </row>
    <row r="14" spans="1:78" hidden="1" x14ac:dyDescent="0.25">
      <c r="A14" s="1">
        <v>45223</v>
      </c>
      <c r="B14">
        <f>SUM(_xlfn.CHOOSEROWS(Table8[[The Golden Compass]:[end]],ROW()-1))</f>
        <v>102</v>
      </c>
      <c r="C14">
        <f>Table8[[#This Row],[Cumulative 2023 Q4]]+Table8[[#This Row],[Cumulative 2024]]+Table8[[#This Row],[Cumulative 2025]]+Table8[[#This Row],[Cumulative 2026]]</f>
        <v>538</v>
      </c>
      <c r="D14">
        <f>IF(YEAR(Table8[[#This Row],[Date]])=2023,B14,0)+IF(ROW(D13)=1,0,D13)</f>
        <v>538</v>
      </c>
      <c r="E14">
        <f>MAX(Table8[Cumulative 2023 Q4])</f>
        <v>4195</v>
      </c>
      <c r="F14">
        <f>IF(YEAR(Table8[[#This Row],[Date]])=2024,B14,0)+IF(ROW(F13)=1,0,F13)</f>
        <v>0</v>
      </c>
      <c r="G14">
        <f>MAX(Table8[Cumulative 2024])</f>
        <v>5831</v>
      </c>
      <c r="H14">
        <f>IF(YEAR(Table8[[#This Row],[Date]])=2025,B14,0)+IF(ROW(H13)=1,0,H13)</f>
        <v>0</v>
      </c>
      <c r="I14">
        <f>MAX(Table8[Cumulative 2025])</f>
        <v>1377</v>
      </c>
      <c r="J14">
        <f>IF(YEAR(Table8[[#This Row],[Date]])=2026,B14,0)+IF(ROW(J13)=1,0,J13)</f>
        <v>0</v>
      </c>
      <c r="K14">
        <f>MAX(Table8[Cumulative 2026])</f>
        <v>3102</v>
      </c>
      <c r="M14">
        <v>102</v>
      </c>
    </row>
    <row r="15" spans="1:78" hidden="1" x14ac:dyDescent="0.25">
      <c r="A15" s="1">
        <v>45224</v>
      </c>
      <c r="B15">
        <f>SUM(_xlfn.CHOOSEROWS(Table8[[The Golden Compass]:[end]],ROW()-1))</f>
        <v>95</v>
      </c>
      <c r="C15">
        <f>Table8[[#This Row],[Cumulative 2023 Q4]]+Table8[[#This Row],[Cumulative 2024]]+Table8[[#This Row],[Cumulative 2025]]+Table8[[#This Row],[Cumulative 2026]]</f>
        <v>633</v>
      </c>
      <c r="D15">
        <f>IF(YEAR(Table8[[#This Row],[Date]])=2023,B15,0)+IF(ROW(D14)=1,0,D14)</f>
        <v>633</v>
      </c>
      <c r="E15">
        <f>MAX(Table8[Cumulative 2023 Q4])</f>
        <v>4195</v>
      </c>
      <c r="F15">
        <f>IF(YEAR(Table8[[#This Row],[Date]])=2024,B15,0)+IF(ROW(F14)=1,0,F14)</f>
        <v>0</v>
      </c>
      <c r="G15">
        <f>MAX(Table8[Cumulative 2024])</f>
        <v>5831</v>
      </c>
      <c r="H15">
        <f>IF(YEAR(Table8[[#This Row],[Date]])=2025,B15,0)+IF(ROW(H14)=1,0,H14)</f>
        <v>0</v>
      </c>
      <c r="I15">
        <f>MAX(Table8[Cumulative 2025])</f>
        <v>1377</v>
      </c>
      <c r="J15">
        <f>IF(YEAR(Table8[[#This Row],[Date]])=2026,B15,0)+IF(ROW(J14)=1,0,J14)</f>
        <v>0</v>
      </c>
      <c r="K15">
        <f>MAX(Table8[Cumulative 2026])</f>
        <v>3102</v>
      </c>
      <c r="M15">
        <v>95</v>
      </c>
    </row>
    <row r="16" spans="1:78" hidden="1" x14ac:dyDescent="0.25">
      <c r="A16" s="1">
        <v>45225</v>
      </c>
      <c r="B16">
        <f>SUM(_xlfn.CHOOSEROWS(Table8[[The Golden Compass]:[end]],ROW()-1))</f>
        <v>128</v>
      </c>
      <c r="C16">
        <f>Table8[[#This Row],[Cumulative 2023 Q4]]+Table8[[#This Row],[Cumulative 2024]]+Table8[[#This Row],[Cumulative 2025]]+Table8[[#This Row],[Cumulative 2026]]</f>
        <v>761</v>
      </c>
      <c r="D16">
        <f>IF(YEAR(Table8[[#This Row],[Date]])=2023,B16,0)+IF(ROW(D15)=1,0,D15)</f>
        <v>761</v>
      </c>
      <c r="E16">
        <f>MAX(Table8[Cumulative 2023 Q4])</f>
        <v>4195</v>
      </c>
      <c r="F16">
        <f>IF(YEAR(Table8[[#This Row],[Date]])=2024,B16,0)+IF(ROW(F15)=1,0,F15)</f>
        <v>0</v>
      </c>
      <c r="G16">
        <f>MAX(Table8[Cumulative 2024])</f>
        <v>5831</v>
      </c>
      <c r="H16">
        <f>IF(YEAR(Table8[[#This Row],[Date]])=2025,B16,0)+IF(ROW(H15)=1,0,H15)</f>
        <v>0</v>
      </c>
      <c r="I16">
        <f>MAX(Table8[Cumulative 2025])</f>
        <v>1377</v>
      </c>
      <c r="J16">
        <f>IF(YEAR(Table8[[#This Row],[Date]])=2026,B16,0)+IF(ROW(J15)=1,0,J15)</f>
        <v>0</v>
      </c>
      <c r="K16">
        <f>MAX(Table8[Cumulative 2026])</f>
        <v>3102</v>
      </c>
      <c r="M16">
        <v>128</v>
      </c>
    </row>
    <row r="17" spans="1:17" hidden="1" x14ac:dyDescent="0.25">
      <c r="A17" s="1">
        <v>45226</v>
      </c>
      <c r="B17">
        <f>SUM(_xlfn.CHOOSEROWS(Table8[[The Golden Compass]:[end]],ROW()-1))</f>
        <v>82</v>
      </c>
      <c r="C17">
        <f>Table8[[#This Row],[Cumulative 2023 Q4]]+Table8[[#This Row],[Cumulative 2024]]+Table8[[#This Row],[Cumulative 2025]]+Table8[[#This Row],[Cumulative 2026]]</f>
        <v>843</v>
      </c>
      <c r="D17">
        <f>IF(YEAR(Table8[[#This Row],[Date]])=2023,B17,0)+IF(ROW(D16)=1,0,D16)</f>
        <v>843</v>
      </c>
      <c r="E17">
        <f>MAX(Table8[Cumulative 2023 Q4])</f>
        <v>4195</v>
      </c>
      <c r="F17">
        <f>IF(YEAR(Table8[[#This Row],[Date]])=2024,B17,0)+IF(ROW(F16)=1,0,F16)</f>
        <v>0</v>
      </c>
      <c r="G17">
        <f>MAX(Table8[Cumulative 2024])</f>
        <v>5831</v>
      </c>
      <c r="H17">
        <f>IF(YEAR(Table8[[#This Row],[Date]])=2025,B17,0)+IF(ROW(H16)=1,0,H16)</f>
        <v>0</v>
      </c>
      <c r="I17">
        <f>MAX(Table8[Cumulative 2025])</f>
        <v>1377</v>
      </c>
      <c r="J17">
        <f>IF(YEAR(Table8[[#This Row],[Date]])=2026,B17,0)+IF(ROW(J16)=1,0,J16)</f>
        <v>0</v>
      </c>
      <c r="K17">
        <f>MAX(Table8[Cumulative 2026])</f>
        <v>3102</v>
      </c>
      <c r="M17">
        <v>82</v>
      </c>
    </row>
    <row r="18" spans="1:17" hidden="1" x14ac:dyDescent="0.25">
      <c r="A18" s="1">
        <v>45227</v>
      </c>
      <c r="B18">
        <f>SUM(_xlfn.CHOOSEROWS(Table8[[The Golden Compass]:[end]],ROW()-1))</f>
        <v>0</v>
      </c>
      <c r="C18">
        <f>Table8[[#This Row],[Cumulative 2023 Q4]]+Table8[[#This Row],[Cumulative 2024]]+Table8[[#This Row],[Cumulative 2025]]+Table8[[#This Row],[Cumulative 2026]]</f>
        <v>843</v>
      </c>
      <c r="D18">
        <f>IF(YEAR(Table8[[#This Row],[Date]])=2023,B18,0)+IF(ROW(D17)=1,0,D17)</f>
        <v>843</v>
      </c>
      <c r="E18">
        <f>MAX(Table8[Cumulative 2023 Q4])</f>
        <v>4195</v>
      </c>
      <c r="F18">
        <f>IF(YEAR(Table8[[#This Row],[Date]])=2024,B18,0)+IF(ROW(F17)=1,0,F17)</f>
        <v>0</v>
      </c>
      <c r="G18">
        <f>MAX(Table8[Cumulative 2024])</f>
        <v>5831</v>
      </c>
      <c r="H18">
        <f>IF(YEAR(Table8[[#This Row],[Date]])=2025,B18,0)+IF(ROW(H17)=1,0,H17)</f>
        <v>0</v>
      </c>
      <c r="I18">
        <f>MAX(Table8[Cumulative 2025])</f>
        <v>1377</v>
      </c>
      <c r="J18">
        <f>IF(YEAR(Table8[[#This Row],[Date]])=2026,B18,0)+IF(ROW(J17)=1,0,J17)</f>
        <v>0</v>
      </c>
      <c r="K18">
        <f>MAX(Table8[Cumulative 2026])</f>
        <v>3102</v>
      </c>
    </row>
    <row r="19" spans="1:17" hidden="1" x14ac:dyDescent="0.25">
      <c r="A19" s="1">
        <v>45228</v>
      </c>
      <c r="B19">
        <f>SUM(_xlfn.CHOOSEROWS(Table8[[The Golden Compass]:[end]],ROW()-1))</f>
        <v>0</v>
      </c>
      <c r="C19">
        <f>Table8[[#This Row],[Cumulative 2023 Q4]]+Table8[[#This Row],[Cumulative 2024]]+Table8[[#This Row],[Cumulative 2025]]+Table8[[#This Row],[Cumulative 2026]]</f>
        <v>843</v>
      </c>
      <c r="D19">
        <f>IF(YEAR(Table8[[#This Row],[Date]])=2023,B19,0)+IF(ROW(D18)=1,0,D18)</f>
        <v>843</v>
      </c>
      <c r="E19">
        <f>MAX(Table8[Cumulative 2023 Q4])</f>
        <v>4195</v>
      </c>
      <c r="F19">
        <f>IF(YEAR(Table8[[#This Row],[Date]])=2024,B19,0)+IF(ROW(F18)=1,0,F18)</f>
        <v>0</v>
      </c>
      <c r="G19">
        <f>MAX(Table8[Cumulative 2024])</f>
        <v>5831</v>
      </c>
      <c r="H19">
        <f>IF(YEAR(Table8[[#This Row],[Date]])=2025,B19,0)+IF(ROW(H18)=1,0,H18)</f>
        <v>0</v>
      </c>
      <c r="I19">
        <f>MAX(Table8[Cumulative 2025])</f>
        <v>1377</v>
      </c>
      <c r="J19">
        <f>IF(YEAR(Table8[[#This Row],[Date]])=2026,B19,0)+IF(ROW(J18)=1,0,J18)</f>
        <v>0</v>
      </c>
      <c r="K19">
        <f>MAX(Table8[Cumulative 2026])</f>
        <v>3102</v>
      </c>
    </row>
    <row r="20" spans="1:17" hidden="1" x14ac:dyDescent="0.25">
      <c r="A20" s="1">
        <v>45229</v>
      </c>
      <c r="B20">
        <f>SUM(_xlfn.CHOOSEROWS(Table8[[The Golden Compass]:[end]],ROW()-1))</f>
        <v>0</v>
      </c>
      <c r="C20">
        <f>Table8[[#This Row],[Cumulative 2023 Q4]]+Table8[[#This Row],[Cumulative 2024]]+Table8[[#This Row],[Cumulative 2025]]+Table8[[#This Row],[Cumulative 2026]]</f>
        <v>843</v>
      </c>
      <c r="D20">
        <f>IF(YEAR(Table8[[#This Row],[Date]])=2023,B20,0)+IF(ROW(D19)=1,0,D19)</f>
        <v>843</v>
      </c>
      <c r="E20">
        <f>MAX(Table8[Cumulative 2023 Q4])</f>
        <v>4195</v>
      </c>
      <c r="F20">
        <f>IF(YEAR(Table8[[#This Row],[Date]])=2024,B20,0)+IF(ROW(F19)=1,0,F19)</f>
        <v>0</v>
      </c>
      <c r="G20">
        <f>MAX(Table8[Cumulative 2024])</f>
        <v>5831</v>
      </c>
      <c r="H20">
        <f>IF(YEAR(Table8[[#This Row],[Date]])=2025,B20,0)+IF(ROW(H19)=1,0,H19)</f>
        <v>0</v>
      </c>
      <c r="I20">
        <f>MAX(Table8[Cumulative 2025])</f>
        <v>1377</v>
      </c>
      <c r="J20">
        <f>IF(YEAR(Table8[[#This Row],[Date]])=2026,B20,0)+IF(ROW(J19)=1,0,J19)</f>
        <v>0</v>
      </c>
      <c r="K20">
        <f>MAX(Table8[Cumulative 2026])</f>
        <v>3102</v>
      </c>
    </row>
    <row r="21" spans="1:17" hidden="1" x14ac:dyDescent="0.25">
      <c r="A21" s="1">
        <v>45230</v>
      </c>
      <c r="B21">
        <f>SUM(_xlfn.CHOOSEROWS(Table8[[The Golden Compass]:[end]],ROW()-1))</f>
        <v>76</v>
      </c>
      <c r="C21">
        <f>Table8[[#This Row],[Cumulative 2023 Q4]]+Table8[[#This Row],[Cumulative 2024]]+Table8[[#This Row],[Cumulative 2025]]+Table8[[#This Row],[Cumulative 2026]]</f>
        <v>919</v>
      </c>
      <c r="D21">
        <f>IF(YEAR(Table8[[#This Row],[Date]])=2023,B21,0)+IF(ROW(D20)=1,0,D20)</f>
        <v>919</v>
      </c>
      <c r="E21">
        <f>MAX(Table8[Cumulative 2023 Q4])</f>
        <v>4195</v>
      </c>
      <c r="F21">
        <f>IF(YEAR(Table8[[#This Row],[Date]])=2024,B21,0)+IF(ROW(F20)=1,0,F20)</f>
        <v>0</v>
      </c>
      <c r="G21">
        <f>MAX(Table8[Cumulative 2024])</f>
        <v>5831</v>
      </c>
      <c r="H21">
        <f>IF(YEAR(Table8[[#This Row],[Date]])=2025,B21,0)+IF(ROW(H20)=1,0,H20)</f>
        <v>0</v>
      </c>
      <c r="I21">
        <f>MAX(Table8[Cumulative 2025])</f>
        <v>1377</v>
      </c>
      <c r="J21">
        <f>IF(YEAR(Table8[[#This Row],[Date]])=2026,B21,0)+IF(ROW(J20)=1,0,J20)</f>
        <v>0</v>
      </c>
      <c r="K21">
        <f>MAX(Table8[Cumulative 2026])</f>
        <v>3102</v>
      </c>
      <c r="M21">
        <v>76</v>
      </c>
    </row>
    <row r="22" spans="1:17" hidden="1" x14ac:dyDescent="0.25">
      <c r="A22" s="1">
        <v>45231</v>
      </c>
      <c r="B22">
        <f>SUM(_xlfn.CHOOSEROWS(Table8[[The Golden Compass]:[end]],ROW()-1))</f>
        <v>166</v>
      </c>
      <c r="C22">
        <f>Table8[[#This Row],[Cumulative 2023 Q4]]+Table8[[#This Row],[Cumulative 2024]]+Table8[[#This Row],[Cumulative 2025]]+Table8[[#This Row],[Cumulative 2026]]</f>
        <v>1085</v>
      </c>
      <c r="D22">
        <f>IF(YEAR(Table8[[#This Row],[Date]])=2023,B22,0)+IF(ROW(D21)=1,0,D21)</f>
        <v>1085</v>
      </c>
      <c r="E22">
        <f>MAX(Table8[Cumulative 2023 Q4])</f>
        <v>4195</v>
      </c>
      <c r="F22">
        <f>IF(YEAR(Table8[[#This Row],[Date]])=2024,B22,0)+IF(ROW(F21)=1,0,F21)</f>
        <v>0</v>
      </c>
      <c r="G22">
        <f>MAX(Table8[Cumulative 2024])</f>
        <v>5831</v>
      </c>
      <c r="H22">
        <f>IF(YEAR(Table8[[#This Row],[Date]])=2025,B22,0)+IF(ROW(H21)=1,0,H21)</f>
        <v>0</v>
      </c>
      <c r="I22">
        <f>MAX(Table8[Cumulative 2025])</f>
        <v>1377</v>
      </c>
      <c r="J22">
        <f>IF(YEAR(Table8[[#This Row],[Date]])=2026,B22,0)+IF(ROW(J21)=1,0,J21)</f>
        <v>0</v>
      </c>
      <c r="K22">
        <f>MAX(Table8[Cumulative 2026])</f>
        <v>3102</v>
      </c>
      <c r="N22">
        <v>166</v>
      </c>
    </row>
    <row r="23" spans="1:17" hidden="1" x14ac:dyDescent="0.25">
      <c r="A23" s="1">
        <v>45232</v>
      </c>
      <c r="B23">
        <f>SUM(_xlfn.CHOOSEROWS(Table8[[The Golden Compass]:[end]],ROW()-1))</f>
        <v>139</v>
      </c>
      <c r="C23">
        <f>Table8[[#This Row],[Cumulative 2023 Q4]]+Table8[[#This Row],[Cumulative 2024]]+Table8[[#This Row],[Cumulative 2025]]+Table8[[#This Row],[Cumulative 2026]]</f>
        <v>1224</v>
      </c>
      <c r="D23">
        <f>IF(YEAR(Table8[[#This Row],[Date]])=2023,B23,0)+IF(ROW(D22)=1,0,D22)</f>
        <v>1224</v>
      </c>
      <c r="E23">
        <f>MAX(Table8[Cumulative 2023 Q4])</f>
        <v>4195</v>
      </c>
      <c r="F23">
        <f>IF(YEAR(Table8[[#This Row],[Date]])=2024,B23,0)+IF(ROW(F22)=1,0,F22)</f>
        <v>0</v>
      </c>
      <c r="G23">
        <f>MAX(Table8[Cumulative 2024])</f>
        <v>5831</v>
      </c>
      <c r="H23">
        <f>IF(YEAR(Table8[[#This Row],[Date]])=2025,B23,0)+IF(ROW(H22)=1,0,H22)</f>
        <v>0</v>
      </c>
      <c r="I23">
        <f>MAX(Table8[Cumulative 2025])</f>
        <v>1377</v>
      </c>
      <c r="J23">
        <f>IF(YEAR(Table8[[#This Row],[Date]])=2026,B23,0)+IF(ROW(J22)=1,0,J22)</f>
        <v>0</v>
      </c>
      <c r="K23">
        <f>MAX(Table8[Cumulative 2026])</f>
        <v>3102</v>
      </c>
      <c r="N23">
        <v>126</v>
      </c>
      <c r="O23">
        <v>13</v>
      </c>
    </row>
    <row r="24" spans="1:17" hidden="1" x14ac:dyDescent="0.25">
      <c r="A24" s="1">
        <v>45233</v>
      </c>
      <c r="B24">
        <f>SUM(_xlfn.CHOOSEROWS(Table8[[The Golden Compass]:[end]],ROW()-1))</f>
        <v>0</v>
      </c>
      <c r="C24">
        <f>Table8[[#This Row],[Cumulative 2023 Q4]]+Table8[[#This Row],[Cumulative 2024]]+Table8[[#This Row],[Cumulative 2025]]+Table8[[#This Row],[Cumulative 2026]]</f>
        <v>1224</v>
      </c>
      <c r="D24">
        <f>IF(YEAR(Table8[[#This Row],[Date]])=2023,B24,0)+IF(ROW(D23)=1,0,D23)</f>
        <v>1224</v>
      </c>
      <c r="E24">
        <f>MAX(Table8[Cumulative 2023 Q4])</f>
        <v>4195</v>
      </c>
      <c r="F24">
        <f>IF(YEAR(Table8[[#This Row],[Date]])=2024,B24,0)+IF(ROW(F23)=1,0,F23)</f>
        <v>0</v>
      </c>
      <c r="G24">
        <f>MAX(Table8[Cumulative 2024])</f>
        <v>5831</v>
      </c>
      <c r="H24">
        <f>IF(YEAR(Table8[[#This Row],[Date]])=2025,B24,0)+IF(ROW(H23)=1,0,H23)</f>
        <v>0</v>
      </c>
      <c r="I24">
        <f>MAX(Table8[Cumulative 2025])</f>
        <v>1377</v>
      </c>
      <c r="J24">
        <f>IF(YEAR(Table8[[#This Row],[Date]])=2026,B24,0)+IF(ROW(J23)=1,0,J23)</f>
        <v>0</v>
      </c>
      <c r="K24">
        <f>MAX(Table8[Cumulative 2026])</f>
        <v>3102</v>
      </c>
    </row>
    <row r="25" spans="1:17" hidden="1" x14ac:dyDescent="0.25">
      <c r="A25" s="1">
        <v>45234</v>
      </c>
      <c r="B25">
        <f>SUM(_xlfn.CHOOSEROWS(Table8[[The Golden Compass]:[end]],ROW()-1))</f>
        <v>0</v>
      </c>
      <c r="C25">
        <f>Table8[[#This Row],[Cumulative 2023 Q4]]+Table8[[#This Row],[Cumulative 2024]]+Table8[[#This Row],[Cumulative 2025]]+Table8[[#This Row],[Cumulative 2026]]</f>
        <v>1224</v>
      </c>
      <c r="D25">
        <f>IF(YEAR(Table8[[#This Row],[Date]])=2023,B25,0)+IF(ROW(D24)=1,0,D24)</f>
        <v>1224</v>
      </c>
      <c r="E25">
        <f>MAX(Table8[Cumulative 2023 Q4])</f>
        <v>4195</v>
      </c>
      <c r="F25">
        <f>IF(YEAR(Table8[[#This Row],[Date]])=2024,B25,0)+IF(ROW(F24)=1,0,F24)</f>
        <v>0</v>
      </c>
      <c r="G25">
        <f>MAX(Table8[Cumulative 2024])</f>
        <v>5831</v>
      </c>
      <c r="H25">
        <f>IF(YEAR(Table8[[#This Row],[Date]])=2025,B25,0)+IF(ROW(H24)=1,0,H24)</f>
        <v>0</v>
      </c>
      <c r="I25">
        <f>MAX(Table8[Cumulative 2025])</f>
        <v>1377</v>
      </c>
      <c r="J25">
        <f>IF(YEAR(Table8[[#This Row],[Date]])=2026,B25,0)+IF(ROW(J24)=1,0,J24)</f>
        <v>0</v>
      </c>
      <c r="K25">
        <f>MAX(Table8[Cumulative 2026])</f>
        <v>3102</v>
      </c>
    </row>
    <row r="26" spans="1:17" hidden="1" x14ac:dyDescent="0.25">
      <c r="A26" s="1">
        <v>45235</v>
      </c>
      <c r="B26">
        <f>SUM(_xlfn.CHOOSEROWS(Table8[[The Golden Compass]:[end]],ROW()-1))</f>
        <v>0</v>
      </c>
      <c r="C26">
        <f>Table8[[#This Row],[Cumulative 2023 Q4]]+Table8[[#This Row],[Cumulative 2024]]+Table8[[#This Row],[Cumulative 2025]]+Table8[[#This Row],[Cumulative 2026]]</f>
        <v>1224</v>
      </c>
      <c r="D26">
        <f>IF(YEAR(Table8[[#This Row],[Date]])=2023,B26,0)+IF(ROW(D25)=1,0,D25)</f>
        <v>1224</v>
      </c>
      <c r="E26">
        <f>MAX(Table8[Cumulative 2023 Q4])</f>
        <v>4195</v>
      </c>
      <c r="F26">
        <f>IF(YEAR(Table8[[#This Row],[Date]])=2024,B26,0)+IF(ROW(F25)=1,0,F25)</f>
        <v>0</v>
      </c>
      <c r="G26">
        <f>MAX(Table8[Cumulative 2024])</f>
        <v>5831</v>
      </c>
      <c r="H26">
        <f>IF(YEAR(Table8[[#This Row],[Date]])=2025,B26,0)+IF(ROW(H25)=1,0,H25)</f>
        <v>0</v>
      </c>
      <c r="I26">
        <f>MAX(Table8[Cumulative 2025])</f>
        <v>1377</v>
      </c>
      <c r="J26">
        <f>IF(YEAR(Table8[[#This Row],[Date]])=2026,B26,0)+IF(ROW(J25)=1,0,J25)</f>
        <v>0</v>
      </c>
      <c r="K26">
        <f>MAX(Table8[Cumulative 2026])</f>
        <v>3102</v>
      </c>
    </row>
    <row r="27" spans="1:17" hidden="1" x14ac:dyDescent="0.25">
      <c r="A27" s="1">
        <v>45236</v>
      </c>
      <c r="B27">
        <f>SUM(_xlfn.CHOOSEROWS(Table8[[The Golden Compass]:[end]],ROW()-1))</f>
        <v>77</v>
      </c>
      <c r="C27">
        <f>Table8[[#This Row],[Cumulative 2023 Q4]]+Table8[[#This Row],[Cumulative 2024]]+Table8[[#This Row],[Cumulative 2025]]+Table8[[#This Row],[Cumulative 2026]]</f>
        <v>1301</v>
      </c>
      <c r="D27">
        <f>IF(YEAR(Table8[[#This Row],[Date]])=2023,B27,0)+IF(ROW(D26)=1,0,D26)</f>
        <v>1301</v>
      </c>
      <c r="E27">
        <f>MAX(Table8[Cumulative 2023 Q4])</f>
        <v>4195</v>
      </c>
      <c r="F27">
        <f>IF(YEAR(Table8[[#This Row],[Date]])=2024,B27,0)+IF(ROW(F26)=1,0,F26)</f>
        <v>0</v>
      </c>
      <c r="G27">
        <f>MAX(Table8[Cumulative 2024])</f>
        <v>5831</v>
      </c>
      <c r="H27">
        <f>IF(YEAR(Table8[[#This Row],[Date]])=2025,B27,0)+IF(ROW(H26)=1,0,H26)</f>
        <v>0</v>
      </c>
      <c r="I27">
        <f>MAX(Table8[Cumulative 2025])</f>
        <v>1377</v>
      </c>
      <c r="J27">
        <f>IF(YEAR(Table8[[#This Row],[Date]])=2026,B27,0)+IF(ROW(J26)=1,0,J26)</f>
        <v>0</v>
      </c>
      <c r="K27">
        <f>MAX(Table8[Cumulative 2026])</f>
        <v>3102</v>
      </c>
      <c r="O27">
        <v>77</v>
      </c>
    </row>
    <row r="28" spans="1:17" hidden="1" x14ac:dyDescent="0.25">
      <c r="A28" s="1">
        <v>45237</v>
      </c>
      <c r="B28">
        <f>SUM(_xlfn.CHOOSEROWS(Table8[[The Golden Compass]:[end]],ROW()-1))</f>
        <v>129</v>
      </c>
      <c r="C28">
        <f>Table8[[#This Row],[Cumulative 2023 Q4]]+Table8[[#This Row],[Cumulative 2024]]+Table8[[#This Row],[Cumulative 2025]]+Table8[[#This Row],[Cumulative 2026]]</f>
        <v>1430</v>
      </c>
      <c r="D28">
        <f>IF(YEAR(Table8[[#This Row],[Date]])=2023,B28,0)+IF(ROW(D27)=1,0,D27)</f>
        <v>1430</v>
      </c>
      <c r="E28">
        <f>MAX(Table8[Cumulative 2023 Q4])</f>
        <v>4195</v>
      </c>
      <c r="F28">
        <f>IF(YEAR(Table8[[#This Row],[Date]])=2024,B28,0)+IF(ROW(F27)=1,0,F27)</f>
        <v>0</v>
      </c>
      <c r="G28">
        <f>MAX(Table8[Cumulative 2024])</f>
        <v>5831</v>
      </c>
      <c r="H28">
        <f>IF(YEAR(Table8[[#This Row],[Date]])=2025,B28,0)+IF(ROW(H27)=1,0,H27)</f>
        <v>0</v>
      </c>
      <c r="I28">
        <f>MAX(Table8[Cumulative 2025])</f>
        <v>1377</v>
      </c>
      <c r="J28">
        <f>IF(YEAR(Table8[[#This Row],[Date]])=2026,B28,0)+IF(ROW(J27)=1,0,J27)</f>
        <v>0</v>
      </c>
      <c r="K28">
        <f>MAX(Table8[Cumulative 2026])</f>
        <v>3102</v>
      </c>
      <c r="O28">
        <v>84</v>
      </c>
      <c r="P28">
        <v>45</v>
      </c>
    </row>
    <row r="29" spans="1:17" hidden="1" x14ac:dyDescent="0.25">
      <c r="A29" s="1">
        <v>45238</v>
      </c>
      <c r="B29">
        <f>SUM(_xlfn.CHOOSEROWS(Table8[[The Golden Compass]:[end]],ROW()-1))</f>
        <v>42</v>
      </c>
      <c r="C29">
        <f>Table8[[#This Row],[Cumulative 2023 Q4]]+Table8[[#This Row],[Cumulative 2024]]+Table8[[#This Row],[Cumulative 2025]]+Table8[[#This Row],[Cumulative 2026]]</f>
        <v>1472</v>
      </c>
      <c r="D29">
        <f>IF(YEAR(Table8[[#This Row],[Date]])=2023,B29,0)+IF(ROW(D28)=1,0,D28)</f>
        <v>1472</v>
      </c>
      <c r="E29">
        <f>MAX(Table8[Cumulative 2023 Q4])</f>
        <v>4195</v>
      </c>
      <c r="F29">
        <f>IF(YEAR(Table8[[#This Row],[Date]])=2024,B29,0)+IF(ROW(F28)=1,0,F28)</f>
        <v>0</v>
      </c>
      <c r="G29">
        <f>MAX(Table8[Cumulative 2024])</f>
        <v>5831</v>
      </c>
      <c r="H29">
        <f>IF(YEAR(Table8[[#This Row],[Date]])=2025,B29,0)+IF(ROW(H28)=1,0,H28)</f>
        <v>0</v>
      </c>
      <c r="I29">
        <f>MAX(Table8[Cumulative 2025])</f>
        <v>1377</v>
      </c>
      <c r="J29">
        <f>IF(YEAR(Table8[[#This Row],[Date]])=2026,B29,0)+IF(ROW(J28)=1,0,J28)</f>
        <v>0</v>
      </c>
      <c r="K29">
        <f>MAX(Table8[Cumulative 2026])</f>
        <v>3102</v>
      </c>
      <c r="P29">
        <v>42</v>
      </c>
    </row>
    <row r="30" spans="1:17" hidden="1" x14ac:dyDescent="0.25">
      <c r="A30" s="1">
        <v>45239</v>
      </c>
      <c r="B30">
        <f>SUM(_xlfn.CHOOSEROWS(Table8[[The Golden Compass]:[end]],ROW()-1))</f>
        <v>88</v>
      </c>
      <c r="C30">
        <f>Table8[[#This Row],[Cumulative 2023 Q4]]+Table8[[#This Row],[Cumulative 2024]]+Table8[[#This Row],[Cumulative 2025]]+Table8[[#This Row],[Cumulative 2026]]</f>
        <v>1560</v>
      </c>
      <c r="D30">
        <f>IF(YEAR(Table8[[#This Row],[Date]])=2023,B30,0)+IF(ROW(D29)=1,0,D29)</f>
        <v>1560</v>
      </c>
      <c r="E30">
        <f>MAX(Table8[Cumulative 2023 Q4])</f>
        <v>4195</v>
      </c>
      <c r="F30">
        <f>IF(YEAR(Table8[[#This Row],[Date]])=2024,B30,0)+IF(ROW(F29)=1,0,F29)</f>
        <v>0</v>
      </c>
      <c r="G30">
        <f>MAX(Table8[Cumulative 2024])</f>
        <v>5831</v>
      </c>
      <c r="H30">
        <f>IF(YEAR(Table8[[#This Row],[Date]])=2025,B30,0)+IF(ROW(H29)=1,0,H29)</f>
        <v>0</v>
      </c>
      <c r="I30">
        <f>MAX(Table8[Cumulative 2025])</f>
        <v>1377</v>
      </c>
      <c r="J30">
        <f>IF(YEAR(Table8[[#This Row],[Date]])=2026,B30,0)+IF(ROW(J29)=1,0,J29)</f>
        <v>0</v>
      </c>
      <c r="K30">
        <f>MAX(Table8[Cumulative 2026])</f>
        <v>3102</v>
      </c>
      <c r="P30">
        <v>88</v>
      </c>
    </row>
    <row r="31" spans="1:17" hidden="1" x14ac:dyDescent="0.25">
      <c r="A31" s="1">
        <v>45240</v>
      </c>
      <c r="B31">
        <f>SUM(_xlfn.CHOOSEROWS(Table8[[The Golden Compass]:[end]],ROW()-1))</f>
        <v>63</v>
      </c>
      <c r="C31">
        <f>Table8[[#This Row],[Cumulative 2023 Q4]]+Table8[[#This Row],[Cumulative 2024]]+Table8[[#This Row],[Cumulative 2025]]+Table8[[#This Row],[Cumulative 2026]]</f>
        <v>1623</v>
      </c>
      <c r="D31">
        <f>IF(YEAR(Table8[[#This Row],[Date]])=2023,B31,0)+IF(ROW(D30)=1,0,D30)</f>
        <v>1623</v>
      </c>
      <c r="E31">
        <f>MAX(Table8[Cumulative 2023 Q4])</f>
        <v>4195</v>
      </c>
      <c r="F31">
        <f>IF(YEAR(Table8[[#This Row],[Date]])=2024,B31,0)+IF(ROW(F30)=1,0,F30)</f>
        <v>0</v>
      </c>
      <c r="G31">
        <f>MAX(Table8[Cumulative 2024])</f>
        <v>5831</v>
      </c>
      <c r="H31">
        <f>IF(YEAR(Table8[[#This Row],[Date]])=2025,B31,0)+IF(ROW(H30)=1,0,H30)</f>
        <v>0</v>
      </c>
      <c r="I31">
        <f>MAX(Table8[Cumulative 2025])</f>
        <v>1377</v>
      </c>
      <c r="J31">
        <f>IF(YEAR(Table8[[#This Row],[Date]])=2026,B31,0)+IF(ROW(J30)=1,0,J30)</f>
        <v>0</v>
      </c>
      <c r="K31">
        <f>MAX(Table8[Cumulative 2026])</f>
        <v>3102</v>
      </c>
      <c r="P31">
        <v>47</v>
      </c>
      <c r="Q31">
        <v>16</v>
      </c>
    </row>
    <row r="32" spans="1:17" hidden="1" x14ac:dyDescent="0.25">
      <c r="A32" s="1">
        <v>45241</v>
      </c>
      <c r="B32">
        <f>SUM(_xlfn.CHOOSEROWS(Table8[[The Golden Compass]:[end]],ROW()-1))</f>
        <v>0</v>
      </c>
      <c r="C32">
        <f>Table8[[#This Row],[Cumulative 2023 Q4]]+Table8[[#This Row],[Cumulative 2024]]+Table8[[#This Row],[Cumulative 2025]]+Table8[[#This Row],[Cumulative 2026]]</f>
        <v>1623</v>
      </c>
      <c r="D32">
        <f>IF(YEAR(Table8[[#This Row],[Date]])=2023,B32,0)+IF(ROW(D31)=1,0,D31)</f>
        <v>1623</v>
      </c>
      <c r="E32">
        <f>MAX(Table8[Cumulative 2023 Q4])</f>
        <v>4195</v>
      </c>
      <c r="F32">
        <f>IF(YEAR(Table8[[#This Row],[Date]])=2024,B32,0)+IF(ROW(F31)=1,0,F31)</f>
        <v>0</v>
      </c>
      <c r="G32">
        <f>MAX(Table8[Cumulative 2024])</f>
        <v>5831</v>
      </c>
      <c r="H32">
        <f>IF(YEAR(Table8[[#This Row],[Date]])=2025,B32,0)+IF(ROW(H31)=1,0,H31)</f>
        <v>0</v>
      </c>
      <c r="I32">
        <f>MAX(Table8[Cumulative 2025])</f>
        <v>1377</v>
      </c>
      <c r="J32">
        <f>IF(YEAR(Table8[[#This Row],[Date]])=2026,B32,0)+IF(ROW(J31)=1,0,J31)</f>
        <v>0</v>
      </c>
      <c r="K32">
        <f>MAX(Table8[Cumulative 2026])</f>
        <v>3102</v>
      </c>
    </row>
    <row r="33" spans="1:22" hidden="1" x14ac:dyDescent="0.25">
      <c r="A33" s="1">
        <v>45242</v>
      </c>
      <c r="B33">
        <f>SUM(_xlfn.CHOOSEROWS(Table8[[The Golden Compass]:[end]],ROW()-1))</f>
        <v>54</v>
      </c>
      <c r="C33">
        <f>Table8[[#This Row],[Cumulative 2023 Q4]]+Table8[[#This Row],[Cumulative 2024]]+Table8[[#This Row],[Cumulative 2025]]+Table8[[#This Row],[Cumulative 2026]]</f>
        <v>1677</v>
      </c>
      <c r="D33">
        <f>IF(YEAR(Table8[[#This Row],[Date]])=2023,B33,0)+IF(ROW(D32)=1,0,D32)</f>
        <v>1677</v>
      </c>
      <c r="E33">
        <f>MAX(Table8[Cumulative 2023 Q4])</f>
        <v>4195</v>
      </c>
      <c r="F33">
        <f>IF(YEAR(Table8[[#This Row],[Date]])=2024,B33,0)+IF(ROW(F32)=1,0,F32)</f>
        <v>0</v>
      </c>
      <c r="G33">
        <f>MAX(Table8[Cumulative 2024])</f>
        <v>5831</v>
      </c>
      <c r="H33">
        <f>IF(YEAR(Table8[[#This Row],[Date]])=2025,B33,0)+IF(ROW(H32)=1,0,H32)</f>
        <v>0</v>
      </c>
      <c r="I33">
        <f>MAX(Table8[Cumulative 2025])</f>
        <v>1377</v>
      </c>
      <c r="J33">
        <f>IF(YEAR(Table8[[#This Row],[Date]])=2026,B33,0)+IF(ROW(J32)=1,0,J32)</f>
        <v>0</v>
      </c>
      <c r="K33">
        <f>MAX(Table8[Cumulative 2026])</f>
        <v>3102</v>
      </c>
      <c r="Q33">
        <v>54</v>
      </c>
    </row>
    <row r="34" spans="1:22" hidden="1" x14ac:dyDescent="0.25">
      <c r="A34" s="1">
        <v>45243</v>
      </c>
      <c r="B34">
        <f>SUM(_xlfn.CHOOSEROWS(Table8[[The Golden Compass]:[end]],ROW()-1))</f>
        <v>121</v>
      </c>
      <c r="C34">
        <f>Table8[[#This Row],[Cumulative 2023 Q4]]+Table8[[#This Row],[Cumulative 2024]]+Table8[[#This Row],[Cumulative 2025]]+Table8[[#This Row],[Cumulative 2026]]</f>
        <v>1798</v>
      </c>
      <c r="D34">
        <f>IF(YEAR(Table8[[#This Row],[Date]])=2023,B34,0)+IF(ROW(D33)=1,0,D33)</f>
        <v>1798</v>
      </c>
      <c r="E34">
        <f>MAX(Table8[Cumulative 2023 Q4])</f>
        <v>4195</v>
      </c>
      <c r="F34">
        <f>IF(YEAR(Table8[[#This Row],[Date]])=2024,B34,0)+IF(ROW(F33)=1,0,F33)</f>
        <v>0</v>
      </c>
      <c r="G34">
        <f>MAX(Table8[Cumulative 2024])</f>
        <v>5831</v>
      </c>
      <c r="H34">
        <f>IF(YEAR(Table8[[#This Row],[Date]])=2025,B34,0)+IF(ROW(H33)=1,0,H33)</f>
        <v>0</v>
      </c>
      <c r="I34">
        <f>MAX(Table8[Cumulative 2025])</f>
        <v>1377</v>
      </c>
      <c r="J34">
        <f>IF(YEAR(Table8[[#This Row],[Date]])=2026,B34,0)+IF(ROW(J33)=1,0,J33)</f>
        <v>0</v>
      </c>
      <c r="K34">
        <f>MAX(Table8[Cumulative 2026])</f>
        <v>3102</v>
      </c>
      <c r="Q34">
        <v>121</v>
      </c>
    </row>
    <row r="35" spans="1:22" hidden="1" x14ac:dyDescent="0.25">
      <c r="A35" s="1">
        <v>45244</v>
      </c>
      <c r="B35">
        <f>SUM(_xlfn.CHOOSEROWS(Table8[[The Golden Compass]:[end]],ROW()-1))</f>
        <v>62</v>
      </c>
      <c r="C35">
        <f>Table8[[#This Row],[Cumulative 2023 Q4]]+Table8[[#This Row],[Cumulative 2024]]+Table8[[#This Row],[Cumulative 2025]]+Table8[[#This Row],[Cumulative 2026]]</f>
        <v>1860</v>
      </c>
      <c r="D35">
        <f>IF(YEAR(Table8[[#This Row],[Date]])=2023,B35,0)+IF(ROW(D34)=1,0,D34)</f>
        <v>1860</v>
      </c>
      <c r="E35">
        <f>MAX(Table8[Cumulative 2023 Q4])</f>
        <v>4195</v>
      </c>
      <c r="F35">
        <f>IF(YEAR(Table8[[#This Row],[Date]])=2024,B35,0)+IF(ROW(F34)=1,0,F34)</f>
        <v>0</v>
      </c>
      <c r="G35">
        <f>MAX(Table8[Cumulative 2024])</f>
        <v>5831</v>
      </c>
      <c r="H35">
        <f>IF(YEAR(Table8[[#This Row],[Date]])=2025,B35,0)+IF(ROW(H34)=1,0,H34)</f>
        <v>0</v>
      </c>
      <c r="I35">
        <f>MAX(Table8[Cumulative 2025])</f>
        <v>1377</v>
      </c>
      <c r="J35">
        <f>IF(YEAR(Table8[[#This Row],[Date]])=2026,B35,0)+IF(ROW(J34)=1,0,J34)</f>
        <v>0</v>
      </c>
      <c r="K35">
        <f>MAX(Table8[Cumulative 2026])</f>
        <v>3102</v>
      </c>
      <c r="Q35">
        <v>62</v>
      </c>
    </row>
    <row r="36" spans="1:22" hidden="1" x14ac:dyDescent="0.25">
      <c r="A36" s="1">
        <v>45245</v>
      </c>
      <c r="B36">
        <f>SUM(_xlfn.CHOOSEROWS(Table8[[The Golden Compass]:[end]],ROW()-1))</f>
        <v>47</v>
      </c>
      <c r="C36">
        <f>Table8[[#This Row],[Cumulative 2023 Q4]]+Table8[[#This Row],[Cumulative 2024]]+Table8[[#This Row],[Cumulative 2025]]+Table8[[#This Row],[Cumulative 2026]]</f>
        <v>1907</v>
      </c>
      <c r="D36">
        <f>IF(YEAR(Table8[[#This Row],[Date]])=2023,B36,0)+IF(ROW(D35)=1,0,D35)</f>
        <v>1907</v>
      </c>
      <c r="E36">
        <f>MAX(Table8[Cumulative 2023 Q4])</f>
        <v>4195</v>
      </c>
      <c r="F36">
        <f>IF(YEAR(Table8[[#This Row],[Date]])=2024,B36,0)+IF(ROW(F35)=1,0,F35)</f>
        <v>0</v>
      </c>
      <c r="G36">
        <f>MAX(Table8[Cumulative 2024])</f>
        <v>5831</v>
      </c>
      <c r="H36">
        <f>IF(YEAR(Table8[[#This Row],[Date]])=2025,B36,0)+IF(ROW(H35)=1,0,H35)</f>
        <v>0</v>
      </c>
      <c r="I36">
        <f>MAX(Table8[Cumulative 2025])</f>
        <v>1377</v>
      </c>
      <c r="J36">
        <f>IF(YEAR(Table8[[#This Row],[Date]])=2026,B36,0)+IF(ROW(J35)=1,0,J35)</f>
        <v>0</v>
      </c>
      <c r="K36">
        <f>MAX(Table8[Cumulative 2026])</f>
        <v>3102</v>
      </c>
      <c r="R36">
        <v>47</v>
      </c>
    </row>
    <row r="37" spans="1:22" hidden="1" x14ac:dyDescent="0.25">
      <c r="A37" s="1">
        <v>45246</v>
      </c>
      <c r="B37">
        <f>SUM(_xlfn.CHOOSEROWS(Table8[[The Golden Compass]:[end]],ROW()-1))</f>
        <v>101</v>
      </c>
      <c r="C37">
        <f>Table8[[#This Row],[Cumulative 2023 Q4]]+Table8[[#This Row],[Cumulative 2024]]+Table8[[#This Row],[Cumulative 2025]]+Table8[[#This Row],[Cumulative 2026]]</f>
        <v>2008</v>
      </c>
      <c r="D37">
        <f>IF(YEAR(Table8[[#This Row],[Date]])=2023,B37,0)+IF(ROW(D36)=1,0,D36)</f>
        <v>2008</v>
      </c>
      <c r="E37">
        <f>MAX(Table8[Cumulative 2023 Q4])</f>
        <v>4195</v>
      </c>
      <c r="F37">
        <f>IF(YEAR(Table8[[#This Row],[Date]])=2024,B37,0)+IF(ROW(F36)=1,0,F36)</f>
        <v>0</v>
      </c>
      <c r="G37">
        <f>MAX(Table8[Cumulative 2024])</f>
        <v>5831</v>
      </c>
      <c r="H37">
        <f>IF(YEAR(Table8[[#This Row],[Date]])=2025,B37,0)+IF(ROW(H36)=1,0,H36)</f>
        <v>0</v>
      </c>
      <c r="I37">
        <f>MAX(Table8[Cumulative 2025])</f>
        <v>1377</v>
      </c>
      <c r="J37">
        <f>IF(YEAR(Table8[[#This Row],[Date]])=2026,B37,0)+IF(ROW(J36)=1,0,J36)</f>
        <v>0</v>
      </c>
      <c r="K37">
        <f>MAX(Table8[Cumulative 2026])</f>
        <v>3102</v>
      </c>
      <c r="R37">
        <v>101</v>
      </c>
    </row>
    <row r="38" spans="1:22" hidden="1" x14ac:dyDescent="0.25">
      <c r="A38" s="1">
        <v>45247</v>
      </c>
      <c r="B38">
        <f>SUM(_xlfn.CHOOSEROWS(Table8[[The Golden Compass]:[end]],ROW()-1))</f>
        <v>200</v>
      </c>
      <c r="C38">
        <f>Table8[[#This Row],[Cumulative 2023 Q4]]+Table8[[#This Row],[Cumulative 2024]]+Table8[[#This Row],[Cumulative 2025]]+Table8[[#This Row],[Cumulative 2026]]</f>
        <v>2208</v>
      </c>
      <c r="D38">
        <f>IF(YEAR(Table8[[#This Row],[Date]])=2023,B38,0)+IF(ROW(D37)=1,0,D37)</f>
        <v>2208</v>
      </c>
      <c r="E38">
        <f>MAX(Table8[Cumulative 2023 Q4])</f>
        <v>4195</v>
      </c>
      <c r="F38">
        <f>IF(YEAR(Table8[[#This Row],[Date]])=2024,B38,0)+IF(ROW(F37)=1,0,F37)</f>
        <v>0</v>
      </c>
      <c r="G38">
        <f>MAX(Table8[Cumulative 2024])</f>
        <v>5831</v>
      </c>
      <c r="H38">
        <f>IF(YEAR(Table8[[#This Row],[Date]])=2025,B38,0)+IF(ROW(H37)=1,0,H37)</f>
        <v>0</v>
      </c>
      <c r="I38">
        <f>MAX(Table8[Cumulative 2025])</f>
        <v>1377</v>
      </c>
      <c r="J38">
        <f>IF(YEAR(Table8[[#This Row],[Date]])=2026,B38,0)+IF(ROW(J37)=1,0,J37)</f>
        <v>0</v>
      </c>
      <c r="K38">
        <f>MAX(Table8[Cumulative 2026])</f>
        <v>3102</v>
      </c>
      <c r="R38">
        <v>88</v>
      </c>
      <c r="S38">
        <v>112</v>
      </c>
    </row>
    <row r="39" spans="1:22" hidden="1" x14ac:dyDescent="0.25">
      <c r="A39" s="1">
        <v>45248</v>
      </c>
      <c r="B39">
        <f>SUM(_xlfn.CHOOSEROWS(Table8[[The Golden Compass]:[end]],ROW()-1))</f>
        <v>144</v>
      </c>
      <c r="C39">
        <f>Table8[[#This Row],[Cumulative 2023 Q4]]+Table8[[#This Row],[Cumulative 2024]]+Table8[[#This Row],[Cumulative 2025]]+Table8[[#This Row],[Cumulative 2026]]</f>
        <v>2352</v>
      </c>
      <c r="D39">
        <f>IF(YEAR(Table8[[#This Row],[Date]])=2023,B39,0)+IF(ROW(D38)=1,0,D38)</f>
        <v>2352</v>
      </c>
      <c r="E39">
        <f>MAX(Table8[Cumulative 2023 Q4])</f>
        <v>4195</v>
      </c>
      <c r="F39">
        <f>IF(YEAR(Table8[[#This Row],[Date]])=2024,B39,0)+IF(ROW(F38)=1,0,F38)</f>
        <v>0</v>
      </c>
      <c r="G39">
        <f>MAX(Table8[Cumulative 2024])</f>
        <v>5831</v>
      </c>
      <c r="H39">
        <f>IF(YEAR(Table8[[#This Row],[Date]])=2025,B39,0)+IF(ROW(H38)=1,0,H38)</f>
        <v>0</v>
      </c>
      <c r="I39">
        <f>MAX(Table8[Cumulative 2025])</f>
        <v>1377</v>
      </c>
      <c r="J39">
        <f>IF(YEAR(Table8[[#This Row],[Date]])=2026,B39,0)+IF(ROW(J38)=1,0,J38)</f>
        <v>0</v>
      </c>
      <c r="K39">
        <f>MAX(Table8[Cumulative 2026])</f>
        <v>3102</v>
      </c>
      <c r="S39">
        <v>90</v>
      </c>
      <c r="T39">
        <v>54</v>
      </c>
    </row>
    <row r="40" spans="1:22" hidden="1" x14ac:dyDescent="0.25">
      <c r="A40" s="1">
        <v>45249</v>
      </c>
      <c r="B40">
        <f>SUM(_xlfn.CHOOSEROWS(Table8[[The Golden Compass]:[end]],ROW()-1))</f>
        <v>71</v>
      </c>
      <c r="C40">
        <f>Table8[[#This Row],[Cumulative 2023 Q4]]+Table8[[#This Row],[Cumulative 2024]]+Table8[[#This Row],[Cumulative 2025]]+Table8[[#This Row],[Cumulative 2026]]</f>
        <v>2423</v>
      </c>
      <c r="D40">
        <f>IF(YEAR(Table8[[#This Row],[Date]])=2023,B40,0)+IF(ROW(D39)=1,0,D39)</f>
        <v>2423</v>
      </c>
      <c r="E40">
        <f>MAX(Table8[Cumulative 2023 Q4])</f>
        <v>4195</v>
      </c>
      <c r="F40">
        <f>IF(YEAR(Table8[[#This Row],[Date]])=2024,B40,0)+IF(ROW(F39)=1,0,F39)</f>
        <v>0</v>
      </c>
      <c r="G40">
        <f>MAX(Table8[Cumulative 2024])</f>
        <v>5831</v>
      </c>
      <c r="H40">
        <f>IF(YEAR(Table8[[#This Row],[Date]])=2025,B40,0)+IF(ROW(H39)=1,0,H39)</f>
        <v>0</v>
      </c>
      <c r="I40">
        <f>MAX(Table8[Cumulative 2025])</f>
        <v>1377</v>
      </c>
      <c r="J40">
        <f>IF(YEAR(Table8[[#This Row],[Date]])=2026,B40,0)+IF(ROW(J39)=1,0,J39)</f>
        <v>0</v>
      </c>
      <c r="K40">
        <f>MAX(Table8[Cumulative 2026])</f>
        <v>3102</v>
      </c>
      <c r="T40">
        <v>71</v>
      </c>
    </row>
    <row r="41" spans="1:22" hidden="1" x14ac:dyDescent="0.25">
      <c r="A41" s="1">
        <v>45250</v>
      </c>
      <c r="B41">
        <f>SUM(_xlfn.CHOOSEROWS(Table8[[The Golden Compass]:[end]],ROW()-1))</f>
        <v>100</v>
      </c>
      <c r="C41">
        <f>Table8[[#This Row],[Cumulative 2023 Q4]]+Table8[[#This Row],[Cumulative 2024]]+Table8[[#This Row],[Cumulative 2025]]+Table8[[#This Row],[Cumulative 2026]]</f>
        <v>2523</v>
      </c>
      <c r="D41">
        <f>IF(YEAR(Table8[[#This Row],[Date]])=2023,B41,0)+IF(ROW(D40)=1,0,D40)</f>
        <v>2523</v>
      </c>
      <c r="E41">
        <f>MAX(Table8[Cumulative 2023 Q4])</f>
        <v>4195</v>
      </c>
      <c r="F41">
        <f>IF(YEAR(Table8[[#This Row],[Date]])=2024,B41,0)+IF(ROW(F40)=1,0,F40)</f>
        <v>0</v>
      </c>
      <c r="G41">
        <f>MAX(Table8[Cumulative 2024])</f>
        <v>5831</v>
      </c>
      <c r="H41">
        <f>IF(YEAR(Table8[[#This Row],[Date]])=2025,B41,0)+IF(ROW(H40)=1,0,H40)</f>
        <v>0</v>
      </c>
      <c r="I41">
        <f>MAX(Table8[Cumulative 2025])</f>
        <v>1377</v>
      </c>
      <c r="J41">
        <f>IF(YEAR(Table8[[#This Row],[Date]])=2026,B41,0)+IF(ROW(J40)=1,0,J40)</f>
        <v>0</v>
      </c>
      <c r="K41">
        <f>MAX(Table8[Cumulative 2026])</f>
        <v>3102</v>
      </c>
      <c r="T41">
        <v>64</v>
      </c>
      <c r="U41">
        <v>36</v>
      </c>
    </row>
    <row r="42" spans="1:22" hidden="1" x14ac:dyDescent="0.25">
      <c r="A42" s="1">
        <v>45251</v>
      </c>
      <c r="B42">
        <f>SUM(_xlfn.CHOOSEROWS(Table8[[The Golden Compass]:[end]],ROW()-1))</f>
        <v>15</v>
      </c>
      <c r="C42">
        <f>Table8[[#This Row],[Cumulative 2023 Q4]]+Table8[[#This Row],[Cumulative 2024]]+Table8[[#This Row],[Cumulative 2025]]+Table8[[#This Row],[Cumulative 2026]]</f>
        <v>2538</v>
      </c>
      <c r="D42">
        <f>IF(YEAR(Table8[[#This Row],[Date]])=2023,B42,0)+IF(ROW(D41)=1,0,D41)</f>
        <v>2538</v>
      </c>
      <c r="E42">
        <f>MAX(Table8[Cumulative 2023 Q4])</f>
        <v>4195</v>
      </c>
      <c r="F42">
        <f>IF(YEAR(Table8[[#This Row],[Date]])=2024,B42,0)+IF(ROW(F41)=1,0,F41)</f>
        <v>0</v>
      </c>
      <c r="G42">
        <f>MAX(Table8[Cumulative 2024])</f>
        <v>5831</v>
      </c>
      <c r="H42">
        <f>IF(YEAR(Table8[[#This Row],[Date]])=2025,B42,0)+IF(ROW(H41)=1,0,H41)</f>
        <v>0</v>
      </c>
      <c r="I42">
        <f>MAX(Table8[Cumulative 2025])</f>
        <v>1377</v>
      </c>
      <c r="J42">
        <f>IF(YEAR(Table8[[#This Row],[Date]])=2026,B42,0)+IF(ROW(J41)=1,0,J41)</f>
        <v>0</v>
      </c>
      <c r="K42">
        <f>MAX(Table8[Cumulative 2026])</f>
        <v>3102</v>
      </c>
      <c r="U42">
        <v>15</v>
      </c>
    </row>
    <row r="43" spans="1:22" hidden="1" x14ac:dyDescent="0.25">
      <c r="A43" s="1">
        <v>45252</v>
      </c>
      <c r="B43">
        <f>SUM(_xlfn.CHOOSEROWS(Table8[[The Golden Compass]:[end]],ROW()-1))</f>
        <v>72</v>
      </c>
      <c r="C43">
        <f>Table8[[#This Row],[Cumulative 2023 Q4]]+Table8[[#This Row],[Cumulative 2024]]+Table8[[#This Row],[Cumulative 2025]]+Table8[[#This Row],[Cumulative 2026]]</f>
        <v>2610</v>
      </c>
      <c r="D43">
        <f>IF(YEAR(Table8[[#This Row],[Date]])=2023,B43,0)+IF(ROW(D42)=1,0,D42)</f>
        <v>2610</v>
      </c>
      <c r="E43">
        <f>MAX(Table8[Cumulative 2023 Q4])</f>
        <v>4195</v>
      </c>
      <c r="F43">
        <f>IF(YEAR(Table8[[#This Row],[Date]])=2024,B43,0)+IF(ROW(F42)=1,0,F42)</f>
        <v>0</v>
      </c>
      <c r="G43">
        <f>MAX(Table8[Cumulative 2024])</f>
        <v>5831</v>
      </c>
      <c r="H43">
        <f>IF(YEAR(Table8[[#This Row],[Date]])=2025,B43,0)+IF(ROW(H42)=1,0,H42)</f>
        <v>0</v>
      </c>
      <c r="I43">
        <f>MAX(Table8[Cumulative 2025])</f>
        <v>1377</v>
      </c>
      <c r="J43">
        <f>IF(YEAR(Table8[[#This Row],[Date]])=2026,B43,0)+IF(ROW(J42)=1,0,J42)</f>
        <v>0</v>
      </c>
      <c r="K43">
        <f>MAX(Table8[Cumulative 2026])</f>
        <v>3102</v>
      </c>
      <c r="U43">
        <v>72</v>
      </c>
    </row>
    <row r="44" spans="1:22" hidden="1" x14ac:dyDescent="0.25">
      <c r="A44" s="1">
        <v>45253</v>
      </c>
      <c r="B44">
        <f>SUM(_xlfn.CHOOSEROWS(Table8[[The Golden Compass]:[end]],ROW()-1))</f>
        <v>0</v>
      </c>
      <c r="C44">
        <f>Table8[[#This Row],[Cumulative 2023 Q4]]+Table8[[#This Row],[Cumulative 2024]]+Table8[[#This Row],[Cumulative 2025]]+Table8[[#This Row],[Cumulative 2026]]</f>
        <v>2610</v>
      </c>
      <c r="D44">
        <f>IF(YEAR(Table8[[#This Row],[Date]])=2023,B44,0)+IF(ROW(D43)=1,0,D43)</f>
        <v>2610</v>
      </c>
      <c r="E44">
        <f>MAX(Table8[Cumulative 2023 Q4])</f>
        <v>4195</v>
      </c>
      <c r="F44">
        <f>IF(YEAR(Table8[[#This Row],[Date]])=2024,B44,0)+IF(ROW(F43)=1,0,F43)</f>
        <v>0</v>
      </c>
      <c r="G44">
        <f>MAX(Table8[Cumulative 2024])</f>
        <v>5831</v>
      </c>
      <c r="H44">
        <f>IF(YEAR(Table8[[#This Row],[Date]])=2025,B44,0)+IF(ROW(H43)=1,0,H43)</f>
        <v>0</v>
      </c>
      <c r="I44">
        <f>MAX(Table8[Cumulative 2025])</f>
        <v>1377</v>
      </c>
      <c r="J44">
        <f>IF(YEAR(Table8[[#This Row],[Date]])=2026,B44,0)+IF(ROW(J43)=1,0,J43)</f>
        <v>0</v>
      </c>
      <c r="K44">
        <f>MAX(Table8[Cumulative 2026])</f>
        <v>3102</v>
      </c>
    </row>
    <row r="45" spans="1:22" hidden="1" x14ac:dyDescent="0.25">
      <c r="A45" s="1">
        <v>45254</v>
      </c>
      <c r="B45">
        <f>SUM(_xlfn.CHOOSEROWS(Table8[[The Golden Compass]:[end]],ROW()-1))</f>
        <v>44</v>
      </c>
      <c r="C45">
        <f>Table8[[#This Row],[Cumulative 2023 Q4]]+Table8[[#This Row],[Cumulative 2024]]+Table8[[#This Row],[Cumulative 2025]]+Table8[[#This Row],[Cumulative 2026]]</f>
        <v>2654</v>
      </c>
      <c r="D45">
        <f>IF(YEAR(Table8[[#This Row],[Date]])=2023,B45,0)+IF(ROW(D44)=1,0,D44)</f>
        <v>2654</v>
      </c>
      <c r="E45">
        <f>MAX(Table8[Cumulative 2023 Q4])</f>
        <v>4195</v>
      </c>
      <c r="F45">
        <f>IF(YEAR(Table8[[#This Row],[Date]])=2024,B45,0)+IF(ROW(F44)=1,0,F44)</f>
        <v>0</v>
      </c>
      <c r="G45">
        <f>MAX(Table8[Cumulative 2024])</f>
        <v>5831</v>
      </c>
      <c r="H45">
        <f>IF(YEAR(Table8[[#This Row],[Date]])=2025,B45,0)+IF(ROW(H44)=1,0,H44)</f>
        <v>0</v>
      </c>
      <c r="I45">
        <f>MAX(Table8[Cumulative 2025])</f>
        <v>1377</v>
      </c>
      <c r="J45">
        <f>IF(YEAR(Table8[[#This Row],[Date]])=2026,B45,0)+IF(ROW(J44)=1,0,J44)</f>
        <v>0</v>
      </c>
      <c r="K45">
        <f>MAX(Table8[Cumulative 2026])</f>
        <v>3102</v>
      </c>
      <c r="U45">
        <v>44</v>
      </c>
    </row>
    <row r="46" spans="1:22" hidden="1" x14ac:dyDescent="0.25">
      <c r="A46" s="1">
        <v>45255</v>
      </c>
      <c r="B46">
        <f>SUM(_xlfn.CHOOSEROWS(Table8[[The Golden Compass]:[end]],ROW()-1))</f>
        <v>22</v>
      </c>
      <c r="C46">
        <f>Table8[[#This Row],[Cumulative 2023 Q4]]+Table8[[#This Row],[Cumulative 2024]]+Table8[[#This Row],[Cumulative 2025]]+Table8[[#This Row],[Cumulative 2026]]</f>
        <v>2676</v>
      </c>
      <c r="D46">
        <f>IF(YEAR(Table8[[#This Row],[Date]])=2023,B46,0)+IF(ROW(D45)=1,0,D45)</f>
        <v>2676</v>
      </c>
      <c r="E46">
        <f>MAX(Table8[Cumulative 2023 Q4])</f>
        <v>4195</v>
      </c>
      <c r="F46">
        <f>IF(YEAR(Table8[[#This Row],[Date]])=2024,B46,0)+IF(ROW(F45)=1,0,F45)</f>
        <v>0</v>
      </c>
      <c r="G46">
        <f>MAX(Table8[Cumulative 2024])</f>
        <v>5831</v>
      </c>
      <c r="H46">
        <f>IF(YEAR(Table8[[#This Row],[Date]])=2025,B46,0)+IF(ROW(H45)=1,0,H45)</f>
        <v>0</v>
      </c>
      <c r="I46">
        <f>MAX(Table8[Cumulative 2025])</f>
        <v>1377</v>
      </c>
      <c r="J46">
        <f>IF(YEAR(Table8[[#This Row],[Date]])=2026,B46,0)+IF(ROW(J45)=1,0,J45)</f>
        <v>0</v>
      </c>
      <c r="K46">
        <f>MAX(Table8[Cumulative 2026])</f>
        <v>3102</v>
      </c>
      <c r="U46">
        <v>22</v>
      </c>
    </row>
    <row r="47" spans="1:22" hidden="1" x14ac:dyDescent="0.25">
      <c r="A47" s="1">
        <v>45256</v>
      </c>
      <c r="B47">
        <f>SUM(_xlfn.CHOOSEROWS(Table8[[The Golden Compass]:[end]],ROW()-1))</f>
        <v>76</v>
      </c>
      <c r="C47">
        <f>Table8[[#This Row],[Cumulative 2023 Q4]]+Table8[[#This Row],[Cumulative 2024]]+Table8[[#This Row],[Cumulative 2025]]+Table8[[#This Row],[Cumulative 2026]]</f>
        <v>2752</v>
      </c>
      <c r="D47">
        <f>IF(YEAR(Table8[[#This Row],[Date]])=2023,B47,0)+IF(ROW(D46)=1,0,D46)</f>
        <v>2752</v>
      </c>
      <c r="E47">
        <f>MAX(Table8[Cumulative 2023 Q4])</f>
        <v>4195</v>
      </c>
      <c r="F47">
        <f>IF(YEAR(Table8[[#This Row],[Date]])=2024,B47,0)+IF(ROW(F46)=1,0,F46)</f>
        <v>0</v>
      </c>
      <c r="G47">
        <f>MAX(Table8[Cumulative 2024])</f>
        <v>5831</v>
      </c>
      <c r="H47">
        <f>IF(YEAR(Table8[[#This Row],[Date]])=2025,B47,0)+IF(ROW(H46)=1,0,H46)</f>
        <v>0</v>
      </c>
      <c r="I47">
        <f>MAX(Table8[Cumulative 2025])</f>
        <v>1377</v>
      </c>
      <c r="J47">
        <f>IF(YEAR(Table8[[#This Row],[Date]])=2026,B47,0)+IF(ROW(J46)=1,0,J46)</f>
        <v>0</v>
      </c>
      <c r="K47">
        <f>MAX(Table8[Cumulative 2026])</f>
        <v>3102</v>
      </c>
      <c r="U47">
        <v>35</v>
      </c>
      <c r="V47">
        <v>41</v>
      </c>
    </row>
    <row r="48" spans="1:22" hidden="1" x14ac:dyDescent="0.25">
      <c r="A48" s="1">
        <v>45257</v>
      </c>
      <c r="B48">
        <f>SUM(_xlfn.CHOOSEROWS(Table8[[The Golden Compass]:[end]],ROW()-1))</f>
        <v>89</v>
      </c>
      <c r="C48">
        <f>Table8[[#This Row],[Cumulative 2023 Q4]]+Table8[[#This Row],[Cumulative 2024]]+Table8[[#This Row],[Cumulative 2025]]+Table8[[#This Row],[Cumulative 2026]]</f>
        <v>2841</v>
      </c>
      <c r="D48">
        <f>IF(YEAR(Table8[[#This Row],[Date]])=2023,B48,0)+IF(ROW(D47)=1,0,D47)</f>
        <v>2841</v>
      </c>
      <c r="E48">
        <f>MAX(Table8[Cumulative 2023 Q4])</f>
        <v>4195</v>
      </c>
      <c r="F48">
        <f>IF(YEAR(Table8[[#This Row],[Date]])=2024,B48,0)+IF(ROW(F47)=1,0,F47)</f>
        <v>0</v>
      </c>
      <c r="G48">
        <f>MAX(Table8[Cumulative 2024])</f>
        <v>5831</v>
      </c>
      <c r="H48">
        <f>IF(YEAR(Table8[[#This Row],[Date]])=2025,B48,0)+IF(ROW(H47)=1,0,H47)</f>
        <v>0</v>
      </c>
      <c r="I48">
        <f>MAX(Table8[Cumulative 2025])</f>
        <v>1377</v>
      </c>
      <c r="J48">
        <f>IF(YEAR(Table8[[#This Row],[Date]])=2026,B48,0)+IF(ROW(J47)=1,0,J47)</f>
        <v>0</v>
      </c>
      <c r="K48">
        <f>MAX(Table8[Cumulative 2026])</f>
        <v>3102</v>
      </c>
      <c r="V48">
        <v>89</v>
      </c>
    </row>
    <row r="49" spans="1:27" hidden="1" x14ac:dyDescent="0.25">
      <c r="A49" s="1">
        <v>45258</v>
      </c>
      <c r="B49">
        <f>SUM(_xlfn.CHOOSEROWS(Table8[[The Golden Compass]:[end]],ROW()-1))</f>
        <v>0</v>
      </c>
      <c r="C49">
        <f>Table8[[#This Row],[Cumulative 2023 Q4]]+Table8[[#This Row],[Cumulative 2024]]+Table8[[#This Row],[Cumulative 2025]]+Table8[[#This Row],[Cumulative 2026]]</f>
        <v>2841</v>
      </c>
      <c r="D49">
        <f>IF(YEAR(Table8[[#This Row],[Date]])=2023,B49,0)+IF(ROW(D48)=1,0,D48)</f>
        <v>2841</v>
      </c>
      <c r="E49">
        <f>MAX(Table8[Cumulative 2023 Q4])</f>
        <v>4195</v>
      </c>
      <c r="F49">
        <f>IF(YEAR(Table8[[#This Row],[Date]])=2024,B49,0)+IF(ROW(F48)=1,0,F48)</f>
        <v>0</v>
      </c>
      <c r="G49">
        <f>MAX(Table8[Cumulative 2024])</f>
        <v>5831</v>
      </c>
      <c r="H49">
        <f>IF(YEAR(Table8[[#This Row],[Date]])=2025,B49,0)+IF(ROW(H48)=1,0,H48)</f>
        <v>0</v>
      </c>
      <c r="I49">
        <f>MAX(Table8[Cumulative 2025])</f>
        <v>1377</v>
      </c>
      <c r="J49">
        <f>IF(YEAR(Table8[[#This Row],[Date]])=2026,B49,0)+IF(ROW(J48)=1,0,J48)</f>
        <v>0</v>
      </c>
      <c r="K49">
        <f>MAX(Table8[Cumulative 2026])</f>
        <v>3102</v>
      </c>
    </row>
    <row r="50" spans="1:27" hidden="1" x14ac:dyDescent="0.25">
      <c r="A50" s="1">
        <v>45259</v>
      </c>
      <c r="B50">
        <f>SUM(_xlfn.CHOOSEROWS(Table8[[The Golden Compass]:[end]],ROW()-1))</f>
        <v>63</v>
      </c>
      <c r="C50">
        <f>Table8[[#This Row],[Cumulative 2023 Q4]]+Table8[[#This Row],[Cumulative 2024]]+Table8[[#This Row],[Cumulative 2025]]+Table8[[#This Row],[Cumulative 2026]]</f>
        <v>2904</v>
      </c>
      <c r="D50">
        <f>IF(YEAR(Table8[[#This Row],[Date]])=2023,B50,0)+IF(ROW(D49)=1,0,D49)</f>
        <v>2904</v>
      </c>
      <c r="E50">
        <f>MAX(Table8[Cumulative 2023 Q4])</f>
        <v>4195</v>
      </c>
      <c r="F50">
        <f>IF(YEAR(Table8[[#This Row],[Date]])=2024,B50,0)+IF(ROW(F49)=1,0,F49)</f>
        <v>0</v>
      </c>
      <c r="G50">
        <f>MAX(Table8[Cumulative 2024])</f>
        <v>5831</v>
      </c>
      <c r="H50">
        <f>IF(YEAR(Table8[[#This Row],[Date]])=2025,B50,0)+IF(ROW(H49)=1,0,H49)</f>
        <v>0</v>
      </c>
      <c r="I50">
        <f>MAX(Table8[Cumulative 2025])</f>
        <v>1377</v>
      </c>
      <c r="J50">
        <f>IF(YEAR(Table8[[#This Row],[Date]])=2026,B50,0)+IF(ROW(J49)=1,0,J49)</f>
        <v>0</v>
      </c>
      <c r="K50">
        <f>MAX(Table8[Cumulative 2026])</f>
        <v>3102</v>
      </c>
      <c r="W50">
        <v>63</v>
      </c>
    </row>
    <row r="51" spans="1:27" hidden="1" x14ac:dyDescent="0.25">
      <c r="A51" s="1">
        <v>45260</v>
      </c>
      <c r="B51">
        <f>SUM(_xlfn.CHOOSEROWS(Table8[[The Golden Compass]:[end]],ROW()-1))</f>
        <v>179</v>
      </c>
      <c r="C51">
        <f>Table8[[#This Row],[Cumulative 2023 Q4]]+Table8[[#This Row],[Cumulative 2024]]+Table8[[#This Row],[Cumulative 2025]]+Table8[[#This Row],[Cumulative 2026]]</f>
        <v>3083</v>
      </c>
      <c r="D51">
        <f>IF(YEAR(Table8[[#This Row],[Date]])=2023,B51,0)+IF(ROW(D50)=1,0,D50)</f>
        <v>3083</v>
      </c>
      <c r="E51">
        <f>MAX(Table8[Cumulative 2023 Q4])</f>
        <v>4195</v>
      </c>
      <c r="F51">
        <f>IF(YEAR(Table8[[#This Row],[Date]])=2024,B51,0)+IF(ROW(F50)=1,0,F50)</f>
        <v>0</v>
      </c>
      <c r="G51">
        <f>MAX(Table8[Cumulative 2024])</f>
        <v>5831</v>
      </c>
      <c r="H51">
        <f>IF(YEAR(Table8[[#This Row],[Date]])=2025,B51,0)+IF(ROW(H50)=1,0,H50)</f>
        <v>0</v>
      </c>
      <c r="I51">
        <f>MAX(Table8[Cumulative 2025])</f>
        <v>1377</v>
      </c>
      <c r="J51">
        <f>IF(YEAR(Table8[[#This Row],[Date]])=2026,B51,0)+IF(ROW(J50)=1,0,J50)</f>
        <v>0</v>
      </c>
      <c r="K51">
        <f>MAX(Table8[Cumulative 2026])</f>
        <v>3102</v>
      </c>
      <c r="W51">
        <v>77</v>
      </c>
      <c r="X51">
        <v>102</v>
      </c>
    </row>
    <row r="52" spans="1:27" hidden="1" x14ac:dyDescent="0.25">
      <c r="A52" s="1">
        <v>45261</v>
      </c>
      <c r="B52">
        <f>SUM(_xlfn.CHOOSEROWS(Table8[[The Golden Compass]:[end]],ROW()-1))</f>
        <v>44</v>
      </c>
      <c r="C52">
        <f>Table8[[#This Row],[Cumulative 2023 Q4]]+Table8[[#This Row],[Cumulative 2024]]+Table8[[#This Row],[Cumulative 2025]]+Table8[[#This Row],[Cumulative 2026]]</f>
        <v>3127</v>
      </c>
      <c r="D52">
        <f>IF(YEAR(Table8[[#This Row],[Date]])=2023,B52,0)+IF(ROW(D51)=1,0,D51)</f>
        <v>3127</v>
      </c>
      <c r="E52">
        <f>MAX(Table8[Cumulative 2023 Q4])</f>
        <v>4195</v>
      </c>
      <c r="F52">
        <f>IF(YEAR(Table8[[#This Row],[Date]])=2024,B52,0)+IF(ROW(F51)=1,0,F51)</f>
        <v>0</v>
      </c>
      <c r="G52">
        <f>MAX(Table8[Cumulative 2024])</f>
        <v>5831</v>
      </c>
      <c r="H52">
        <f>IF(YEAR(Table8[[#This Row],[Date]])=2025,B52,0)+IF(ROW(H51)=1,0,H51)</f>
        <v>0</v>
      </c>
      <c r="I52">
        <f>MAX(Table8[Cumulative 2025])</f>
        <v>1377</v>
      </c>
      <c r="J52">
        <f>IF(YEAR(Table8[[#This Row],[Date]])=2026,B52,0)+IF(ROW(J51)=1,0,J51)</f>
        <v>0</v>
      </c>
      <c r="K52">
        <f>MAX(Table8[Cumulative 2026])</f>
        <v>3102</v>
      </c>
      <c r="X52">
        <v>44</v>
      </c>
    </row>
    <row r="53" spans="1:27" hidden="1" x14ac:dyDescent="0.25">
      <c r="A53" s="1">
        <v>45262</v>
      </c>
      <c r="B53">
        <f>SUM(_xlfn.CHOOSEROWS(Table8[[The Golden Compass]:[end]],ROW()-1))</f>
        <v>0</v>
      </c>
      <c r="C53">
        <f>Table8[[#This Row],[Cumulative 2023 Q4]]+Table8[[#This Row],[Cumulative 2024]]+Table8[[#This Row],[Cumulative 2025]]+Table8[[#This Row],[Cumulative 2026]]</f>
        <v>3127</v>
      </c>
      <c r="D53">
        <f>IF(YEAR(Table8[[#This Row],[Date]])=2023,B53,0)+IF(ROW(D52)=1,0,D52)</f>
        <v>3127</v>
      </c>
      <c r="E53">
        <f>MAX(Table8[Cumulative 2023 Q4])</f>
        <v>4195</v>
      </c>
      <c r="F53">
        <f>IF(YEAR(Table8[[#This Row],[Date]])=2024,B53,0)+IF(ROW(F52)=1,0,F52)</f>
        <v>0</v>
      </c>
      <c r="G53">
        <f>MAX(Table8[Cumulative 2024])</f>
        <v>5831</v>
      </c>
      <c r="H53">
        <f>IF(YEAR(Table8[[#This Row],[Date]])=2025,B53,0)+IF(ROW(H52)=1,0,H52)</f>
        <v>0</v>
      </c>
      <c r="I53">
        <f>MAX(Table8[Cumulative 2025])</f>
        <v>1377</v>
      </c>
      <c r="J53">
        <f>IF(YEAR(Table8[[#This Row],[Date]])=2026,B53,0)+IF(ROW(J52)=1,0,J52)</f>
        <v>0</v>
      </c>
      <c r="K53">
        <f>MAX(Table8[Cumulative 2026])</f>
        <v>3102</v>
      </c>
    </row>
    <row r="54" spans="1:27" hidden="1" x14ac:dyDescent="0.25">
      <c r="A54" s="1">
        <v>45263</v>
      </c>
      <c r="B54">
        <f>SUM(_xlfn.CHOOSEROWS(Table8[[The Golden Compass]:[end]],ROW()-1))</f>
        <v>114</v>
      </c>
      <c r="C54">
        <f>Table8[[#This Row],[Cumulative 2023 Q4]]+Table8[[#This Row],[Cumulative 2024]]+Table8[[#This Row],[Cumulative 2025]]+Table8[[#This Row],[Cumulative 2026]]</f>
        <v>3241</v>
      </c>
      <c r="D54">
        <f>IF(YEAR(Table8[[#This Row],[Date]])=2023,B54,0)+IF(ROW(D53)=1,0,D53)</f>
        <v>3241</v>
      </c>
      <c r="E54">
        <f>MAX(Table8[Cumulative 2023 Q4])</f>
        <v>4195</v>
      </c>
      <c r="F54">
        <f>IF(YEAR(Table8[[#This Row],[Date]])=2024,B54,0)+IF(ROW(F53)=1,0,F53)</f>
        <v>0</v>
      </c>
      <c r="G54">
        <f>MAX(Table8[Cumulative 2024])</f>
        <v>5831</v>
      </c>
      <c r="H54">
        <f>IF(YEAR(Table8[[#This Row],[Date]])=2025,B54,0)+IF(ROW(H53)=1,0,H53)</f>
        <v>0</v>
      </c>
      <c r="I54">
        <f>MAX(Table8[Cumulative 2025])</f>
        <v>1377</v>
      </c>
      <c r="J54">
        <f>IF(YEAR(Table8[[#This Row],[Date]])=2026,B54,0)+IF(ROW(J53)=1,0,J53)</f>
        <v>0</v>
      </c>
      <c r="K54">
        <f>MAX(Table8[Cumulative 2026])</f>
        <v>3102</v>
      </c>
      <c r="X54">
        <v>114</v>
      </c>
    </row>
    <row r="55" spans="1:27" hidden="1" x14ac:dyDescent="0.25">
      <c r="A55" s="1">
        <v>45264</v>
      </c>
      <c r="B55">
        <f>SUM(_xlfn.CHOOSEROWS(Table8[[The Golden Compass]:[end]],ROW()-1))</f>
        <v>0</v>
      </c>
      <c r="C55">
        <f>Table8[[#This Row],[Cumulative 2023 Q4]]+Table8[[#This Row],[Cumulative 2024]]+Table8[[#This Row],[Cumulative 2025]]+Table8[[#This Row],[Cumulative 2026]]</f>
        <v>3241</v>
      </c>
      <c r="D55">
        <f>IF(YEAR(Table8[[#This Row],[Date]])=2023,B55,0)+IF(ROW(D54)=1,0,D54)</f>
        <v>3241</v>
      </c>
      <c r="E55">
        <f>MAX(Table8[Cumulative 2023 Q4])</f>
        <v>4195</v>
      </c>
      <c r="F55">
        <f>IF(YEAR(Table8[[#This Row],[Date]])=2024,B55,0)+IF(ROW(F54)=1,0,F54)</f>
        <v>0</v>
      </c>
      <c r="G55">
        <f>MAX(Table8[Cumulative 2024])</f>
        <v>5831</v>
      </c>
      <c r="H55">
        <f>IF(YEAR(Table8[[#This Row],[Date]])=2025,B55,0)+IF(ROW(H54)=1,0,H54)</f>
        <v>0</v>
      </c>
      <c r="I55">
        <f>MAX(Table8[Cumulative 2025])</f>
        <v>1377</v>
      </c>
      <c r="J55">
        <f>IF(YEAR(Table8[[#This Row],[Date]])=2026,B55,0)+IF(ROW(J54)=1,0,J54)</f>
        <v>0</v>
      </c>
      <c r="K55">
        <f>MAX(Table8[Cumulative 2026])</f>
        <v>3102</v>
      </c>
    </row>
    <row r="56" spans="1:27" hidden="1" x14ac:dyDescent="0.25">
      <c r="A56" s="1">
        <v>45265</v>
      </c>
      <c r="B56">
        <f>SUM(_xlfn.CHOOSEROWS(Table8[[The Golden Compass]:[end]],ROW()-1))</f>
        <v>263</v>
      </c>
      <c r="C56">
        <f>Table8[[#This Row],[Cumulative 2023 Q4]]+Table8[[#This Row],[Cumulative 2024]]+Table8[[#This Row],[Cumulative 2025]]+Table8[[#This Row],[Cumulative 2026]]</f>
        <v>3504</v>
      </c>
      <c r="D56">
        <f>IF(YEAR(Table8[[#This Row],[Date]])=2023,B56,0)+IF(ROW(D55)=1,0,D55)</f>
        <v>3504</v>
      </c>
      <c r="E56">
        <f>MAX(Table8[Cumulative 2023 Q4])</f>
        <v>4195</v>
      </c>
      <c r="F56">
        <f>IF(YEAR(Table8[[#This Row],[Date]])=2024,B56,0)+IF(ROW(F55)=1,0,F55)</f>
        <v>0</v>
      </c>
      <c r="G56">
        <f>MAX(Table8[Cumulative 2024])</f>
        <v>5831</v>
      </c>
      <c r="H56">
        <f>IF(YEAR(Table8[[#This Row],[Date]])=2025,B56,0)+IF(ROW(H55)=1,0,H55)</f>
        <v>0</v>
      </c>
      <c r="I56">
        <f>MAX(Table8[Cumulative 2025])</f>
        <v>1377</v>
      </c>
      <c r="J56">
        <f>IF(YEAR(Table8[[#This Row],[Date]])=2026,B56,0)+IF(ROW(J55)=1,0,J55)</f>
        <v>0</v>
      </c>
      <c r="K56">
        <f>MAX(Table8[Cumulative 2026])</f>
        <v>3102</v>
      </c>
      <c r="Y56">
        <v>234</v>
      </c>
      <c r="AA56">
        <v>29</v>
      </c>
    </row>
    <row r="57" spans="1:27" hidden="1" x14ac:dyDescent="0.25">
      <c r="A57" s="1">
        <v>45266</v>
      </c>
      <c r="B57">
        <f>SUM(_xlfn.CHOOSEROWS(Table8[[The Golden Compass]:[end]],ROW()-1))</f>
        <v>42</v>
      </c>
      <c r="C57">
        <f>Table8[[#This Row],[Cumulative 2023 Q4]]+Table8[[#This Row],[Cumulative 2024]]+Table8[[#This Row],[Cumulative 2025]]+Table8[[#This Row],[Cumulative 2026]]</f>
        <v>3546</v>
      </c>
      <c r="D57">
        <f>IF(YEAR(Table8[[#This Row],[Date]])=2023,B57,0)+IF(ROW(D56)=1,0,D56)</f>
        <v>3546</v>
      </c>
      <c r="E57">
        <f>MAX(Table8[Cumulative 2023 Q4])</f>
        <v>4195</v>
      </c>
      <c r="F57">
        <f>IF(YEAR(Table8[[#This Row],[Date]])=2024,B57,0)+IF(ROW(F56)=1,0,F56)</f>
        <v>0</v>
      </c>
      <c r="G57">
        <f>MAX(Table8[Cumulative 2024])</f>
        <v>5831</v>
      </c>
      <c r="H57">
        <f>IF(YEAR(Table8[[#This Row],[Date]])=2025,B57,0)+IF(ROW(H56)=1,0,H56)</f>
        <v>0</v>
      </c>
      <c r="I57">
        <f>MAX(Table8[Cumulative 2025])</f>
        <v>1377</v>
      </c>
      <c r="J57">
        <f>IF(YEAR(Table8[[#This Row],[Date]])=2026,B57,0)+IF(ROW(J56)=1,0,J56)</f>
        <v>0</v>
      </c>
      <c r="K57">
        <f>MAX(Table8[Cumulative 2026])</f>
        <v>3102</v>
      </c>
      <c r="AA57">
        <v>42</v>
      </c>
    </row>
    <row r="58" spans="1:27" hidden="1" x14ac:dyDescent="0.25">
      <c r="A58" s="1">
        <v>45267</v>
      </c>
      <c r="B58">
        <f>SUM(_xlfn.CHOOSEROWS(Table8[[The Golden Compass]:[end]],ROW()-1))</f>
        <v>103</v>
      </c>
      <c r="C58">
        <f>Table8[[#This Row],[Cumulative 2023 Q4]]+Table8[[#This Row],[Cumulative 2024]]+Table8[[#This Row],[Cumulative 2025]]+Table8[[#This Row],[Cumulative 2026]]</f>
        <v>3649</v>
      </c>
      <c r="D58">
        <f>IF(YEAR(Table8[[#This Row],[Date]])=2023,B58,0)+IF(ROW(D57)=1,0,D57)</f>
        <v>3649</v>
      </c>
      <c r="E58">
        <f>MAX(Table8[Cumulative 2023 Q4])</f>
        <v>4195</v>
      </c>
      <c r="F58">
        <f>IF(YEAR(Table8[[#This Row],[Date]])=2024,B58,0)+IF(ROW(F57)=1,0,F57)</f>
        <v>0</v>
      </c>
      <c r="G58">
        <f>MAX(Table8[Cumulative 2024])</f>
        <v>5831</v>
      </c>
      <c r="H58">
        <f>IF(YEAR(Table8[[#This Row],[Date]])=2025,B58,0)+IF(ROW(H57)=1,0,H57)</f>
        <v>0</v>
      </c>
      <c r="I58">
        <f>MAX(Table8[Cumulative 2025])</f>
        <v>1377</v>
      </c>
      <c r="J58">
        <f>IF(YEAR(Table8[[#This Row],[Date]])=2026,B58,0)+IF(ROW(J57)=1,0,J57)</f>
        <v>0</v>
      </c>
      <c r="K58">
        <f>MAX(Table8[Cumulative 2026])</f>
        <v>3102</v>
      </c>
      <c r="Z58">
        <v>47</v>
      </c>
      <c r="AA58">
        <v>56</v>
      </c>
    </row>
    <row r="59" spans="1:27" hidden="1" x14ac:dyDescent="0.25">
      <c r="A59" s="1">
        <v>45268</v>
      </c>
      <c r="B59">
        <f>SUM(_xlfn.CHOOSEROWS(Table8[[The Golden Compass]:[end]],ROW()-1))</f>
        <v>62</v>
      </c>
      <c r="C59">
        <f>Table8[[#This Row],[Cumulative 2023 Q4]]+Table8[[#This Row],[Cumulative 2024]]+Table8[[#This Row],[Cumulative 2025]]+Table8[[#This Row],[Cumulative 2026]]</f>
        <v>3711</v>
      </c>
      <c r="D59">
        <f>IF(YEAR(Table8[[#This Row],[Date]])=2023,B59,0)+IF(ROW(D58)=1,0,D58)</f>
        <v>3711</v>
      </c>
      <c r="E59">
        <f>MAX(Table8[Cumulative 2023 Q4])</f>
        <v>4195</v>
      </c>
      <c r="F59">
        <f>IF(YEAR(Table8[[#This Row],[Date]])=2024,B59,0)+IF(ROW(F58)=1,0,F58)</f>
        <v>0</v>
      </c>
      <c r="G59">
        <f>MAX(Table8[Cumulative 2024])</f>
        <v>5831</v>
      </c>
      <c r="H59">
        <f>IF(YEAR(Table8[[#This Row],[Date]])=2025,B59,0)+IF(ROW(H58)=1,0,H58)</f>
        <v>0</v>
      </c>
      <c r="I59">
        <f>MAX(Table8[Cumulative 2025])</f>
        <v>1377</v>
      </c>
      <c r="J59">
        <f>IF(YEAR(Table8[[#This Row],[Date]])=2026,B59,0)+IF(ROW(J58)=1,0,J58)</f>
        <v>0</v>
      </c>
      <c r="K59">
        <f>MAX(Table8[Cumulative 2026])</f>
        <v>3102</v>
      </c>
      <c r="Z59">
        <v>34</v>
      </c>
      <c r="AA59">
        <v>28</v>
      </c>
    </row>
    <row r="60" spans="1:27" hidden="1" x14ac:dyDescent="0.25">
      <c r="A60" s="1">
        <v>45269</v>
      </c>
      <c r="B60">
        <f>SUM(_xlfn.CHOOSEROWS(Table8[[The Golden Compass]:[end]],ROW()-1))</f>
        <v>0</v>
      </c>
      <c r="C60">
        <f>Table8[[#This Row],[Cumulative 2023 Q4]]+Table8[[#This Row],[Cumulative 2024]]+Table8[[#This Row],[Cumulative 2025]]+Table8[[#This Row],[Cumulative 2026]]</f>
        <v>3711</v>
      </c>
      <c r="D60">
        <f>IF(YEAR(Table8[[#This Row],[Date]])=2023,B60,0)+IF(ROW(D59)=1,0,D59)</f>
        <v>3711</v>
      </c>
      <c r="E60">
        <f>MAX(Table8[Cumulative 2023 Q4])</f>
        <v>4195</v>
      </c>
      <c r="F60">
        <f>IF(YEAR(Table8[[#This Row],[Date]])=2024,B60,0)+IF(ROW(F59)=1,0,F59)</f>
        <v>0</v>
      </c>
      <c r="G60">
        <f>MAX(Table8[Cumulative 2024])</f>
        <v>5831</v>
      </c>
      <c r="H60">
        <f>IF(YEAR(Table8[[#This Row],[Date]])=2025,B60,0)+IF(ROW(H59)=1,0,H59)</f>
        <v>0</v>
      </c>
      <c r="I60">
        <f>MAX(Table8[Cumulative 2025])</f>
        <v>1377</v>
      </c>
      <c r="J60">
        <f>IF(YEAR(Table8[[#This Row],[Date]])=2026,B60,0)+IF(ROW(J59)=1,0,J59)</f>
        <v>0</v>
      </c>
      <c r="K60">
        <f>MAX(Table8[Cumulative 2026])</f>
        <v>3102</v>
      </c>
    </row>
    <row r="61" spans="1:27" hidden="1" x14ac:dyDescent="0.25">
      <c r="A61" s="1">
        <v>45270</v>
      </c>
      <c r="B61">
        <f>SUM(_xlfn.CHOOSEROWS(Table8[[The Golden Compass]:[end]],ROW()-1))</f>
        <v>0</v>
      </c>
      <c r="C61">
        <f>Table8[[#This Row],[Cumulative 2023 Q4]]+Table8[[#This Row],[Cumulative 2024]]+Table8[[#This Row],[Cumulative 2025]]+Table8[[#This Row],[Cumulative 2026]]</f>
        <v>3711</v>
      </c>
      <c r="D61">
        <f>IF(YEAR(Table8[[#This Row],[Date]])=2023,B61,0)+IF(ROW(D60)=1,0,D60)</f>
        <v>3711</v>
      </c>
      <c r="E61">
        <f>MAX(Table8[Cumulative 2023 Q4])</f>
        <v>4195</v>
      </c>
      <c r="F61">
        <f>IF(YEAR(Table8[[#This Row],[Date]])=2024,B61,0)+IF(ROW(F60)=1,0,F60)</f>
        <v>0</v>
      </c>
      <c r="G61">
        <f>MAX(Table8[Cumulative 2024])</f>
        <v>5831</v>
      </c>
      <c r="H61">
        <f>IF(YEAR(Table8[[#This Row],[Date]])=2025,B61,0)+IF(ROW(H60)=1,0,H60)</f>
        <v>0</v>
      </c>
      <c r="I61">
        <f>MAX(Table8[Cumulative 2025])</f>
        <v>1377</v>
      </c>
      <c r="J61">
        <f>IF(YEAR(Table8[[#This Row],[Date]])=2026,B61,0)+IF(ROW(J60)=1,0,J60)</f>
        <v>0</v>
      </c>
      <c r="K61">
        <f>MAX(Table8[Cumulative 2026])</f>
        <v>3102</v>
      </c>
    </row>
    <row r="62" spans="1:27" hidden="1" x14ac:dyDescent="0.25">
      <c r="A62" s="1">
        <v>45271</v>
      </c>
      <c r="B62">
        <f>SUM(_xlfn.CHOOSEROWS(Table8[[The Golden Compass]:[end]],ROW()-1))</f>
        <v>127</v>
      </c>
      <c r="C62">
        <f>Table8[[#This Row],[Cumulative 2023 Q4]]+Table8[[#This Row],[Cumulative 2024]]+Table8[[#This Row],[Cumulative 2025]]+Table8[[#This Row],[Cumulative 2026]]</f>
        <v>3838</v>
      </c>
      <c r="D62">
        <f>IF(YEAR(Table8[[#This Row],[Date]])=2023,B62,0)+IF(ROW(D61)=1,0,D61)</f>
        <v>3838</v>
      </c>
      <c r="E62">
        <f>MAX(Table8[Cumulative 2023 Q4])</f>
        <v>4195</v>
      </c>
      <c r="F62">
        <f>IF(YEAR(Table8[[#This Row],[Date]])=2024,B62,0)+IF(ROW(F61)=1,0,F61)</f>
        <v>0</v>
      </c>
      <c r="G62">
        <f>MAX(Table8[Cumulative 2024])</f>
        <v>5831</v>
      </c>
      <c r="H62">
        <f>IF(YEAR(Table8[[#This Row],[Date]])=2025,B62,0)+IF(ROW(H61)=1,0,H61)</f>
        <v>0</v>
      </c>
      <c r="I62">
        <f>MAX(Table8[Cumulative 2025])</f>
        <v>1377</v>
      </c>
      <c r="J62">
        <f>IF(YEAR(Table8[[#This Row],[Date]])=2026,B62,0)+IF(ROW(J61)=1,0,J61)</f>
        <v>0</v>
      </c>
      <c r="K62">
        <f>MAX(Table8[Cumulative 2026])</f>
        <v>3102</v>
      </c>
      <c r="Z62">
        <v>127</v>
      </c>
    </row>
    <row r="63" spans="1:27" hidden="1" x14ac:dyDescent="0.25">
      <c r="A63" s="1">
        <v>45272</v>
      </c>
      <c r="B63">
        <f>SUM(_xlfn.CHOOSEROWS(Table8[[The Golden Compass]:[end]],ROW()-1))</f>
        <v>34</v>
      </c>
      <c r="C63">
        <f>Table8[[#This Row],[Cumulative 2023 Q4]]+Table8[[#This Row],[Cumulative 2024]]+Table8[[#This Row],[Cumulative 2025]]+Table8[[#This Row],[Cumulative 2026]]</f>
        <v>3872</v>
      </c>
      <c r="D63">
        <f>IF(YEAR(Table8[[#This Row],[Date]])=2023,B63,0)+IF(ROW(D62)=1,0,D62)</f>
        <v>3872</v>
      </c>
      <c r="E63">
        <f>MAX(Table8[Cumulative 2023 Q4])</f>
        <v>4195</v>
      </c>
      <c r="F63">
        <f>IF(YEAR(Table8[[#This Row],[Date]])=2024,B63,0)+IF(ROW(F62)=1,0,F62)</f>
        <v>0</v>
      </c>
      <c r="G63">
        <f>MAX(Table8[Cumulative 2024])</f>
        <v>5831</v>
      </c>
      <c r="H63">
        <f>IF(YEAR(Table8[[#This Row],[Date]])=2025,B63,0)+IF(ROW(H62)=1,0,H62)</f>
        <v>0</v>
      </c>
      <c r="I63">
        <f>MAX(Table8[Cumulative 2025])</f>
        <v>1377</v>
      </c>
      <c r="J63">
        <f>IF(YEAR(Table8[[#This Row],[Date]])=2026,B63,0)+IF(ROW(J62)=1,0,J62)</f>
        <v>0</v>
      </c>
      <c r="K63">
        <f>MAX(Table8[Cumulative 2026])</f>
        <v>3102</v>
      </c>
      <c r="Z63">
        <v>34</v>
      </c>
    </row>
    <row r="64" spans="1:27" hidden="1" x14ac:dyDescent="0.25">
      <c r="A64" s="1">
        <v>45273</v>
      </c>
      <c r="B64">
        <f>SUM(_xlfn.CHOOSEROWS(Table8[[The Golden Compass]:[end]],ROW()-1))</f>
        <v>0</v>
      </c>
      <c r="C64">
        <f>Table8[[#This Row],[Cumulative 2023 Q4]]+Table8[[#This Row],[Cumulative 2024]]+Table8[[#This Row],[Cumulative 2025]]+Table8[[#This Row],[Cumulative 2026]]</f>
        <v>3872</v>
      </c>
      <c r="D64">
        <f>IF(YEAR(Table8[[#This Row],[Date]])=2023,B64,0)+IF(ROW(D63)=1,0,D63)</f>
        <v>3872</v>
      </c>
      <c r="E64">
        <f>MAX(Table8[Cumulative 2023 Q4])</f>
        <v>4195</v>
      </c>
      <c r="F64">
        <f>IF(YEAR(Table8[[#This Row],[Date]])=2024,B64,0)+IF(ROW(F63)=1,0,F63)</f>
        <v>0</v>
      </c>
      <c r="G64">
        <f>MAX(Table8[Cumulative 2024])</f>
        <v>5831</v>
      </c>
      <c r="H64">
        <f>IF(YEAR(Table8[[#This Row],[Date]])=2025,B64,0)+IF(ROW(H63)=1,0,H63)</f>
        <v>0</v>
      </c>
      <c r="I64">
        <f>MAX(Table8[Cumulative 2025])</f>
        <v>1377</v>
      </c>
      <c r="J64">
        <f>IF(YEAR(Table8[[#This Row],[Date]])=2026,B64,0)+IF(ROW(J63)=1,0,J63)</f>
        <v>0</v>
      </c>
      <c r="K64">
        <f>MAX(Table8[Cumulative 2026])</f>
        <v>3102</v>
      </c>
    </row>
    <row r="65" spans="1:27" hidden="1" x14ac:dyDescent="0.25">
      <c r="A65" s="1">
        <v>45274</v>
      </c>
      <c r="B65">
        <f>SUM(_xlfn.CHOOSEROWS(Table8[[The Golden Compass]:[end]],ROW()-1))</f>
        <v>26</v>
      </c>
      <c r="C65">
        <f>Table8[[#This Row],[Cumulative 2023 Q4]]+Table8[[#This Row],[Cumulative 2024]]+Table8[[#This Row],[Cumulative 2025]]+Table8[[#This Row],[Cumulative 2026]]</f>
        <v>3898</v>
      </c>
      <c r="D65">
        <f>IF(YEAR(Table8[[#This Row],[Date]])=2023,B65,0)+IF(ROW(D64)=1,0,D64)</f>
        <v>3898</v>
      </c>
      <c r="E65">
        <f>MAX(Table8[Cumulative 2023 Q4])</f>
        <v>4195</v>
      </c>
      <c r="F65">
        <f>IF(YEAR(Table8[[#This Row],[Date]])=2024,B65,0)+IF(ROW(F64)=1,0,F64)</f>
        <v>0</v>
      </c>
      <c r="G65">
        <f>MAX(Table8[Cumulative 2024])</f>
        <v>5831</v>
      </c>
      <c r="H65">
        <f>IF(YEAR(Table8[[#This Row],[Date]])=2025,B65,0)+IF(ROW(H64)=1,0,H64)</f>
        <v>0</v>
      </c>
      <c r="I65">
        <f>MAX(Table8[Cumulative 2025])</f>
        <v>1377</v>
      </c>
      <c r="J65">
        <f>IF(YEAR(Table8[[#This Row],[Date]])=2026,B65,0)+IF(ROW(J64)=1,0,J64)</f>
        <v>0</v>
      </c>
      <c r="K65">
        <f>MAX(Table8[Cumulative 2026])</f>
        <v>3102</v>
      </c>
      <c r="Z65">
        <v>26</v>
      </c>
    </row>
    <row r="66" spans="1:27" hidden="1" x14ac:dyDescent="0.25">
      <c r="A66" s="1">
        <v>45275</v>
      </c>
      <c r="B66">
        <f>SUM(_xlfn.CHOOSEROWS(Table8[[The Golden Compass]:[end]],ROW()-1))</f>
        <v>48</v>
      </c>
      <c r="C66">
        <f>Table8[[#This Row],[Cumulative 2023 Q4]]+Table8[[#This Row],[Cumulative 2024]]+Table8[[#This Row],[Cumulative 2025]]+Table8[[#This Row],[Cumulative 2026]]</f>
        <v>3946</v>
      </c>
      <c r="D66">
        <f>IF(YEAR(Table8[[#This Row],[Date]])=2023,B66,0)+IF(ROW(D65)=1,0,D65)</f>
        <v>3946</v>
      </c>
      <c r="E66">
        <f>MAX(Table8[Cumulative 2023 Q4])</f>
        <v>4195</v>
      </c>
      <c r="F66">
        <f>IF(YEAR(Table8[[#This Row],[Date]])=2024,B66,0)+IF(ROW(F65)=1,0,F65)</f>
        <v>0</v>
      </c>
      <c r="G66">
        <f>MAX(Table8[Cumulative 2024])</f>
        <v>5831</v>
      </c>
      <c r="H66">
        <f>IF(YEAR(Table8[[#This Row],[Date]])=2025,B66,0)+IF(ROW(H65)=1,0,H65)</f>
        <v>0</v>
      </c>
      <c r="I66">
        <f>MAX(Table8[Cumulative 2025])</f>
        <v>1377</v>
      </c>
      <c r="J66">
        <f>IF(YEAR(Table8[[#This Row],[Date]])=2026,B66,0)+IF(ROW(J65)=1,0,J65)</f>
        <v>0</v>
      </c>
      <c r="K66">
        <f>MAX(Table8[Cumulative 2026])</f>
        <v>3102</v>
      </c>
      <c r="Z66">
        <v>48</v>
      </c>
    </row>
    <row r="67" spans="1:27" hidden="1" x14ac:dyDescent="0.25">
      <c r="A67" s="1">
        <v>45276</v>
      </c>
      <c r="B67">
        <f>SUM(_xlfn.CHOOSEROWS(Table8[[The Golden Compass]:[end]],ROW()-1))</f>
        <v>0</v>
      </c>
      <c r="C67">
        <f>Table8[[#This Row],[Cumulative 2023 Q4]]+Table8[[#This Row],[Cumulative 2024]]+Table8[[#This Row],[Cumulative 2025]]+Table8[[#This Row],[Cumulative 2026]]</f>
        <v>3946</v>
      </c>
      <c r="D67">
        <f>IF(YEAR(Table8[[#This Row],[Date]])=2023,B67,0)+IF(ROW(D66)=1,0,D66)</f>
        <v>3946</v>
      </c>
      <c r="E67">
        <f>MAX(Table8[Cumulative 2023 Q4])</f>
        <v>4195</v>
      </c>
      <c r="F67">
        <f>IF(YEAR(Table8[[#This Row],[Date]])=2024,B67,0)+IF(ROW(F66)=1,0,F66)</f>
        <v>0</v>
      </c>
      <c r="G67">
        <f>MAX(Table8[Cumulative 2024])</f>
        <v>5831</v>
      </c>
      <c r="H67">
        <f>IF(YEAR(Table8[[#This Row],[Date]])=2025,B67,0)+IF(ROW(H66)=1,0,H66)</f>
        <v>0</v>
      </c>
      <c r="I67">
        <f>MAX(Table8[Cumulative 2025])</f>
        <v>1377</v>
      </c>
      <c r="J67">
        <f>IF(YEAR(Table8[[#This Row],[Date]])=2026,B67,0)+IF(ROW(J66)=1,0,J66)</f>
        <v>0</v>
      </c>
      <c r="K67">
        <f>MAX(Table8[Cumulative 2026])</f>
        <v>3102</v>
      </c>
    </row>
    <row r="68" spans="1:27" hidden="1" x14ac:dyDescent="0.25">
      <c r="A68" s="1">
        <v>45277</v>
      </c>
      <c r="B68">
        <f>SUM(_xlfn.CHOOSEROWS(Table8[[The Golden Compass]:[end]],ROW()-1))</f>
        <v>0</v>
      </c>
      <c r="C68">
        <f>Table8[[#This Row],[Cumulative 2023 Q4]]+Table8[[#This Row],[Cumulative 2024]]+Table8[[#This Row],[Cumulative 2025]]+Table8[[#This Row],[Cumulative 2026]]</f>
        <v>3946</v>
      </c>
      <c r="D68">
        <f>IF(YEAR(Table8[[#This Row],[Date]])=2023,B68,0)+IF(ROW(D67)=1,0,D67)</f>
        <v>3946</v>
      </c>
      <c r="E68">
        <f>MAX(Table8[Cumulative 2023 Q4])</f>
        <v>4195</v>
      </c>
      <c r="F68">
        <f>IF(YEAR(Table8[[#This Row],[Date]])=2024,B68,0)+IF(ROW(F67)=1,0,F67)</f>
        <v>0</v>
      </c>
      <c r="G68">
        <f>MAX(Table8[Cumulative 2024])</f>
        <v>5831</v>
      </c>
      <c r="H68">
        <f>IF(YEAR(Table8[[#This Row],[Date]])=2025,B68,0)+IF(ROW(H67)=1,0,H67)</f>
        <v>0</v>
      </c>
      <c r="I68">
        <f>MAX(Table8[Cumulative 2025])</f>
        <v>1377</v>
      </c>
      <c r="J68">
        <f>IF(YEAR(Table8[[#This Row],[Date]])=2026,B68,0)+IF(ROW(J67)=1,0,J67)</f>
        <v>0</v>
      </c>
      <c r="K68">
        <f>MAX(Table8[Cumulative 2026])</f>
        <v>3102</v>
      </c>
    </row>
    <row r="69" spans="1:27" hidden="1" x14ac:dyDescent="0.25">
      <c r="A69" s="1">
        <v>45278</v>
      </c>
      <c r="B69">
        <f>SUM(_xlfn.CHOOSEROWS(Table8[[The Golden Compass]:[end]],ROW()-1))</f>
        <v>0</v>
      </c>
      <c r="C69">
        <f>Table8[[#This Row],[Cumulative 2023 Q4]]+Table8[[#This Row],[Cumulative 2024]]+Table8[[#This Row],[Cumulative 2025]]+Table8[[#This Row],[Cumulative 2026]]</f>
        <v>3946</v>
      </c>
      <c r="D69">
        <f>IF(YEAR(Table8[[#This Row],[Date]])=2023,B69,0)+IF(ROW(D68)=1,0,D68)</f>
        <v>3946</v>
      </c>
      <c r="E69">
        <f>MAX(Table8[Cumulative 2023 Q4])</f>
        <v>4195</v>
      </c>
      <c r="F69">
        <f>IF(YEAR(Table8[[#This Row],[Date]])=2024,B69,0)+IF(ROW(F68)=1,0,F68)</f>
        <v>0</v>
      </c>
      <c r="G69">
        <f>MAX(Table8[Cumulative 2024])</f>
        <v>5831</v>
      </c>
      <c r="H69">
        <f>IF(YEAR(Table8[[#This Row],[Date]])=2025,B69,0)+IF(ROW(H68)=1,0,H68)</f>
        <v>0</v>
      </c>
      <c r="I69">
        <f>MAX(Table8[Cumulative 2025])</f>
        <v>1377</v>
      </c>
      <c r="J69">
        <f>IF(YEAR(Table8[[#This Row],[Date]])=2026,B69,0)+IF(ROW(J68)=1,0,J68)</f>
        <v>0</v>
      </c>
      <c r="K69">
        <f>MAX(Table8[Cumulative 2026])</f>
        <v>3102</v>
      </c>
    </row>
    <row r="70" spans="1:27" hidden="1" x14ac:dyDescent="0.25">
      <c r="A70" s="1">
        <v>45279</v>
      </c>
      <c r="B70">
        <f>SUM(_xlfn.CHOOSEROWS(Table8[[The Golden Compass]:[end]],ROW()-1))</f>
        <v>0</v>
      </c>
      <c r="C70">
        <f>Table8[[#This Row],[Cumulative 2023 Q4]]+Table8[[#This Row],[Cumulative 2024]]+Table8[[#This Row],[Cumulative 2025]]+Table8[[#This Row],[Cumulative 2026]]</f>
        <v>3946</v>
      </c>
      <c r="D70">
        <f>IF(YEAR(Table8[[#This Row],[Date]])=2023,B70,0)+IF(ROW(D69)=1,0,D69)</f>
        <v>3946</v>
      </c>
      <c r="E70">
        <f>MAX(Table8[Cumulative 2023 Q4])</f>
        <v>4195</v>
      </c>
      <c r="F70">
        <f>IF(YEAR(Table8[[#This Row],[Date]])=2024,B70,0)+IF(ROW(F69)=1,0,F69)</f>
        <v>0</v>
      </c>
      <c r="G70">
        <f>MAX(Table8[Cumulative 2024])</f>
        <v>5831</v>
      </c>
      <c r="H70">
        <f>IF(YEAR(Table8[[#This Row],[Date]])=2025,B70,0)+IF(ROW(H69)=1,0,H69)</f>
        <v>0</v>
      </c>
      <c r="I70">
        <f>MAX(Table8[Cumulative 2025])</f>
        <v>1377</v>
      </c>
      <c r="J70">
        <f>IF(YEAR(Table8[[#This Row],[Date]])=2026,B70,0)+IF(ROW(J69)=1,0,J69)</f>
        <v>0</v>
      </c>
      <c r="K70">
        <f>MAX(Table8[Cumulative 2026])</f>
        <v>3102</v>
      </c>
    </row>
    <row r="71" spans="1:27" hidden="1" x14ac:dyDescent="0.25">
      <c r="A71" s="1">
        <v>45280</v>
      </c>
      <c r="B71">
        <f>SUM(_xlfn.CHOOSEROWS(Table8[[The Golden Compass]:[end]],ROW()-1))</f>
        <v>0</v>
      </c>
      <c r="C71">
        <f>Table8[[#This Row],[Cumulative 2023 Q4]]+Table8[[#This Row],[Cumulative 2024]]+Table8[[#This Row],[Cumulative 2025]]+Table8[[#This Row],[Cumulative 2026]]</f>
        <v>3946</v>
      </c>
      <c r="D71">
        <f>IF(YEAR(Table8[[#This Row],[Date]])=2023,B71,0)+IF(ROW(D70)=1,0,D70)</f>
        <v>3946</v>
      </c>
      <c r="E71">
        <f>MAX(Table8[Cumulative 2023 Q4])</f>
        <v>4195</v>
      </c>
      <c r="F71">
        <f>IF(YEAR(Table8[[#This Row],[Date]])=2024,B71,0)+IF(ROW(F70)=1,0,F70)</f>
        <v>0</v>
      </c>
      <c r="G71">
        <f>MAX(Table8[Cumulative 2024])</f>
        <v>5831</v>
      </c>
      <c r="H71">
        <f>IF(YEAR(Table8[[#This Row],[Date]])=2025,B71,0)+IF(ROW(H70)=1,0,H70)</f>
        <v>0</v>
      </c>
      <c r="I71">
        <f>MAX(Table8[Cumulative 2025])</f>
        <v>1377</v>
      </c>
      <c r="J71">
        <f>IF(YEAR(Table8[[#This Row],[Date]])=2026,B71,0)+IF(ROW(J70)=1,0,J70)</f>
        <v>0</v>
      </c>
      <c r="K71">
        <f>MAX(Table8[Cumulative 2026])</f>
        <v>3102</v>
      </c>
    </row>
    <row r="72" spans="1:27" hidden="1" x14ac:dyDescent="0.25">
      <c r="A72" s="1">
        <v>45281</v>
      </c>
      <c r="B72">
        <f>SUM(_xlfn.CHOOSEROWS(Table8[[The Golden Compass]:[end]],ROW()-1))</f>
        <v>0</v>
      </c>
      <c r="C72">
        <f>Table8[[#This Row],[Cumulative 2023 Q4]]+Table8[[#This Row],[Cumulative 2024]]+Table8[[#This Row],[Cumulative 2025]]+Table8[[#This Row],[Cumulative 2026]]</f>
        <v>3946</v>
      </c>
      <c r="D72">
        <f>IF(YEAR(Table8[[#This Row],[Date]])=2023,B72,0)+IF(ROW(D71)=1,0,D71)</f>
        <v>3946</v>
      </c>
      <c r="E72">
        <f>MAX(Table8[Cumulative 2023 Q4])</f>
        <v>4195</v>
      </c>
      <c r="F72">
        <f>IF(YEAR(Table8[[#This Row],[Date]])=2024,B72,0)+IF(ROW(F71)=1,0,F71)</f>
        <v>0</v>
      </c>
      <c r="G72">
        <f>MAX(Table8[Cumulative 2024])</f>
        <v>5831</v>
      </c>
      <c r="H72">
        <f>IF(YEAR(Table8[[#This Row],[Date]])=2025,B72,0)+IF(ROW(H71)=1,0,H71)</f>
        <v>0</v>
      </c>
      <c r="I72">
        <f>MAX(Table8[Cumulative 2025])</f>
        <v>1377</v>
      </c>
      <c r="J72">
        <f>IF(YEAR(Table8[[#This Row],[Date]])=2026,B72,0)+IF(ROW(J71)=1,0,J71)</f>
        <v>0</v>
      </c>
      <c r="K72">
        <f>MAX(Table8[Cumulative 2026])</f>
        <v>3102</v>
      </c>
    </row>
    <row r="73" spans="1:27" hidden="1" x14ac:dyDescent="0.25">
      <c r="A73" s="1">
        <v>45282</v>
      </c>
      <c r="B73">
        <f>SUM(_xlfn.CHOOSEROWS(Table8[[The Golden Compass]:[end]],ROW()-1))</f>
        <v>0</v>
      </c>
      <c r="C73">
        <f>Table8[[#This Row],[Cumulative 2023 Q4]]+Table8[[#This Row],[Cumulative 2024]]+Table8[[#This Row],[Cumulative 2025]]+Table8[[#This Row],[Cumulative 2026]]</f>
        <v>3946</v>
      </c>
      <c r="D73">
        <f>IF(YEAR(Table8[[#This Row],[Date]])=2023,B73,0)+IF(ROW(D72)=1,0,D72)</f>
        <v>3946</v>
      </c>
      <c r="E73">
        <f>MAX(Table8[Cumulative 2023 Q4])</f>
        <v>4195</v>
      </c>
      <c r="F73">
        <f>IF(YEAR(Table8[[#This Row],[Date]])=2024,B73,0)+IF(ROW(F72)=1,0,F72)</f>
        <v>0</v>
      </c>
      <c r="G73">
        <f>MAX(Table8[Cumulative 2024])</f>
        <v>5831</v>
      </c>
      <c r="H73">
        <f>IF(YEAR(Table8[[#This Row],[Date]])=2025,B73,0)+IF(ROW(H72)=1,0,H72)</f>
        <v>0</v>
      </c>
      <c r="I73">
        <f>MAX(Table8[Cumulative 2025])</f>
        <v>1377</v>
      </c>
      <c r="J73">
        <f>IF(YEAR(Table8[[#This Row],[Date]])=2026,B73,0)+IF(ROW(J72)=1,0,J72)</f>
        <v>0</v>
      </c>
      <c r="K73">
        <f>MAX(Table8[Cumulative 2026])</f>
        <v>3102</v>
      </c>
    </row>
    <row r="74" spans="1:27" hidden="1" x14ac:dyDescent="0.25">
      <c r="A74" s="1">
        <v>45283</v>
      </c>
      <c r="B74">
        <f>SUM(_xlfn.CHOOSEROWS(Table8[[The Golden Compass]:[end]],ROW()-1))</f>
        <v>21</v>
      </c>
      <c r="C74">
        <f>Table8[[#This Row],[Cumulative 2023 Q4]]+Table8[[#This Row],[Cumulative 2024]]+Table8[[#This Row],[Cumulative 2025]]+Table8[[#This Row],[Cumulative 2026]]</f>
        <v>3967</v>
      </c>
      <c r="D74">
        <f>IF(YEAR(Table8[[#This Row],[Date]])=2023,B74,0)+IF(ROW(D73)=1,0,D73)</f>
        <v>3967</v>
      </c>
      <c r="E74">
        <f>MAX(Table8[Cumulative 2023 Q4])</f>
        <v>4195</v>
      </c>
      <c r="F74">
        <f>IF(YEAR(Table8[[#This Row],[Date]])=2024,B74,0)+IF(ROW(F73)=1,0,F73)</f>
        <v>0</v>
      </c>
      <c r="G74">
        <f>MAX(Table8[Cumulative 2024])</f>
        <v>5831</v>
      </c>
      <c r="H74">
        <f>IF(YEAR(Table8[[#This Row],[Date]])=2025,B74,0)+IF(ROW(H73)=1,0,H73)</f>
        <v>0</v>
      </c>
      <c r="I74">
        <f>MAX(Table8[Cumulative 2025])</f>
        <v>1377</v>
      </c>
      <c r="J74">
        <f>IF(YEAR(Table8[[#This Row],[Date]])=2026,B74,0)+IF(ROW(J73)=1,0,J73)</f>
        <v>0</v>
      </c>
      <c r="K74">
        <f>MAX(Table8[Cumulative 2026])</f>
        <v>3102</v>
      </c>
      <c r="Z74">
        <v>21</v>
      </c>
    </row>
    <row r="75" spans="1:27" hidden="1" x14ac:dyDescent="0.25">
      <c r="A75" s="1">
        <v>45284</v>
      </c>
      <c r="B75">
        <f>SUM(_xlfn.CHOOSEROWS(Table8[[The Golden Compass]:[end]],ROW()-1))</f>
        <v>39</v>
      </c>
      <c r="C75">
        <f>Table8[[#This Row],[Cumulative 2023 Q4]]+Table8[[#This Row],[Cumulative 2024]]+Table8[[#This Row],[Cumulative 2025]]+Table8[[#This Row],[Cumulative 2026]]</f>
        <v>4006</v>
      </c>
      <c r="D75">
        <f>IF(YEAR(Table8[[#This Row],[Date]])=2023,B75,0)+IF(ROW(D74)=1,0,D74)</f>
        <v>4006</v>
      </c>
      <c r="E75">
        <f>MAX(Table8[Cumulative 2023 Q4])</f>
        <v>4195</v>
      </c>
      <c r="F75">
        <f>IF(YEAR(Table8[[#This Row],[Date]])=2024,B75,0)+IF(ROW(F74)=1,0,F74)</f>
        <v>0</v>
      </c>
      <c r="G75">
        <f>MAX(Table8[Cumulative 2024])</f>
        <v>5831</v>
      </c>
      <c r="H75">
        <f>IF(YEAR(Table8[[#This Row],[Date]])=2025,B75,0)+IF(ROW(H74)=1,0,H74)</f>
        <v>0</v>
      </c>
      <c r="I75">
        <f>MAX(Table8[Cumulative 2025])</f>
        <v>1377</v>
      </c>
      <c r="J75">
        <f>IF(YEAR(Table8[[#This Row],[Date]])=2026,B75,0)+IF(ROW(J74)=1,0,J74)</f>
        <v>0</v>
      </c>
      <c r="K75">
        <f>MAX(Table8[Cumulative 2026])</f>
        <v>3102</v>
      </c>
      <c r="Z75">
        <v>39</v>
      </c>
    </row>
    <row r="76" spans="1:27" hidden="1" x14ac:dyDescent="0.25">
      <c r="A76" s="1">
        <v>45285</v>
      </c>
      <c r="B76">
        <f>SUM(_xlfn.CHOOSEROWS(Table8[[The Golden Compass]:[end]],ROW()-1))</f>
        <v>89</v>
      </c>
      <c r="C76">
        <f>Table8[[#This Row],[Cumulative 2023 Q4]]+Table8[[#This Row],[Cumulative 2024]]+Table8[[#This Row],[Cumulative 2025]]+Table8[[#This Row],[Cumulative 2026]]</f>
        <v>4095</v>
      </c>
      <c r="D76">
        <f>IF(YEAR(Table8[[#This Row],[Date]])=2023,B76,0)+IF(ROW(D75)=1,0,D75)</f>
        <v>4095</v>
      </c>
      <c r="E76">
        <f>MAX(Table8[Cumulative 2023 Q4])</f>
        <v>4195</v>
      </c>
      <c r="F76">
        <f>IF(YEAR(Table8[[#This Row],[Date]])=2024,B76,0)+IF(ROW(F75)=1,0,F75)</f>
        <v>0</v>
      </c>
      <c r="G76">
        <f>MAX(Table8[Cumulative 2024])</f>
        <v>5831</v>
      </c>
      <c r="H76">
        <f>IF(YEAR(Table8[[#This Row],[Date]])=2025,B76,0)+IF(ROW(H75)=1,0,H75)</f>
        <v>0</v>
      </c>
      <c r="I76">
        <f>MAX(Table8[Cumulative 2025])</f>
        <v>1377</v>
      </c>
      <c r="J76">
        <f>IF(YEAR(Table8[[#This Row],[Date]])=2026,B76,0)+IF(ROW(J75)=1,0,J75)</f>
        <v>0</v>
      </c>
      <c r="K76">
        <f>MAX(Table8[Cumulative 2026])</f>
        <v>3102</v>
      </c>
      <c r="Z76">
        <v>43</v>
      </c>
      <c r="AA76">
        <v>46</v>
      </c>
    </row>
    <row r="77" spans="1:27" hidden="1" x14ac:dyDescent="0.25">
      <c r="A77" s="1">
        <v>45286</v>
      </c>
      <c r="B77">
        <f>SUM(_xlfn.CHOOSEROWS(Table8[[The Golden Compass]:[end]],ROW()-1))</f>
        <v>30</v>
      </c>
      <c r="C77">
        <f>Table8[[#This Row],[Cumulative 2023 Q4]]+Table8[[#This Row],[Cumulative 2024]]+Table8[[#This Row],[Cumulative 2025]]+Table8[[#This Row],[Cumulative 2026]]</f>
        <v>4125</v>
      </c>
      <c r="D77">
        <f>IF(YEAR(Table8[[#This Row],[Date]])=2023,B77,0)+IF(ROW(D76)=1,0,D76)</f>
        <v>4125</v>
      </c>
      <c r="E77">
        <f>MAX(Table8[Cumulative 2023 Q4])</f>
        <v>4195</v>
      </c>
      <c r="F77">
        <f>IF(YEAR(Table8[[#This Row],[Date]])=2024,B77,0)+IF(ROW(F76)=1,0,F76)</f>
        <v>0</v>
      </c>
      <c r="G77">
        <f>MAX(Table8[Cumulative 2024])</f>
        <v>5831</v>
      </c>
      <c r="H77">
        <f>IF(YEAR(Table8[[#This Row],[Date]])=2025,B77,0)+IF(ROW(H76)=1,0,H76)</f>
        <v>0</v>
      </c>
      <c r="I77">
        <f>MAX(Table8[Cumulative 2025])</f>
        <v>1377</v>
      </c>
      <c r="J77">
        <f>IF(YEAR(Table8[[#This Row],[Date]])=2026,B77,0)+IF(ROW(J76)=1,0,J76)</f>
        <v>0</v>
      </c>
      <c r="K77">
        <f>MAX(Table8[Cumulative 2026])</f>
        <v>3102</v>
      </c>
      <c r="AA77">
        <v>30</v>
      </c>
    </row>
    <row r="78" spans="1:27" hidden="1" x14ac:dyDescent="0.25">
      <c r="A78" s="1">
        <v>45287</v>
      </c>
      <c r="B78">
        <f>SUM(_xlfn.CHOOSEROWS(Table8[[The Golden Compass]:[end]],ROW()-1))</f>
        <v>20</v>
      </c>
      <c r="C78">
        <f>Table8[[#This Row],[Cumulative 2023 Q4]]+Table8[[#This Row],[Cumulative 2024]]+Table8[[#This Row],[Cumulative 2025]]+Table8[[#This Row],[Cumulative 2026]]</f>
        <v>4145</v>
      </c>
      <c r="D78">
        <f>IF(YEAR(Table8[[#This Row],[Date]])=2023,B78,0)+IF(ROW(D77)=1,0,D77)</f>
        <v>4145</v>
      </c>
      <c r="E78">
        <f>MAX(Table8[Cumulative 2023 Q4])</f>
        <v>4195</v>
      </c>
      <c r="F78">
        <f>IF(YEAR(Table8[[#This Row],[Date]])=2024,B78,0)+IF(ROW(F77)=1,0,F77)</f>
        <v>0</v>
      </c>
      <c r="G78">
        <f>MAX(Table8[Cumulative 2024])</f>
        <v>5831</v>
      </c>
      <c r="H78">
        <f>IF(YEAR(Table8[[#This Row],[Date]])=2025,B78,0)+IF(ROW(H77)=1,0,H77)</f>
        <v>0</v>
      </c>
      <c r="I78">
        <f>MAX(Table8[Cumulative 2025])</f>
        <v>1377</v>
      </c>
      <c r="J78">
        <f>IF(YEAR(Table8[[#This Row],[Date]])=2026,B78,0)+IF(ROW(J77)=1,0,J77)</f>
        <v>0</v>
      </c>
      <c r="K78">
        <f>MAX(Table8[Cumulative 2026])</f>
        <v>3102</v>
      </c>
      <c r="AA78">
        <v>20</v>
      </c>
    </row>
    <row r="79" spans="1:27" hidden="1" x14ac:dyDescent="0.25">
      <c r="A79" s="1">
        <v>45288</v>
      </c>
      <c r="B79">
        <f>SUM(_xlfn.CHOOSEROWS(Table8[[The Golden Compass]:[end]],ROW()-1))</f>
        <v>50</v>
      </c>
      <c r="C79">
        <f>Table8[[#This Row],[Cumulative 2023 Q4]]+Table8[[#This Row],[Cumulative 2024]]+Table8[[#This Row],[Cumulative 2025]]+Table8[[#This Row],[Cumulative 2026]]</f>
        <v>4195</v>
      </c>
      <c r="D79">
        <f>IF(YEAR(Table8[[#This Row],[Date]])=2023,B79,0)+IF(ROW(D78)=1,0,D78)</f>
        <v>4195</v>
      </c>
      <c r="E79">
        <f>MAX(Table8[Cumulative 2023 Q4])</f>
        <v>4195</v>
      </c>
      <c r="F79">
        <f>IF(YEAR(Table8[[#This Row],[Date]])=2024,B79,0)+IF(ROW(F78)=1,0,F78)</f>
        <v>0</v>
      </c>
      <c r="G79">
        <f>MAX(Table8[Cumulative 2024])</f>
        <v>5831</v>
      </c>
      <c r="H79">
        <f>IF(YEAR(Table8[[#This Row],[Date]])=2025,B79,0)+IF(ROW(H78)=1,0,H78)</f>
        <v>0</v>
      </c>
      <c r="I79">
        <f>MAX(Table8[Cumulative 2025])</f>
        <v>1377</v>
      </c>
      <c r="J79">
        <f>IF(YEAR(Table8[[#This Row],[Date]])=2026,B79,0)+IF(ROW(J78)=1,0,J78)</f>
        <v>0</v>
      </c>
      <c r="K79">
        <f>MAX(Table8[Cumulative 2026])</f>
        <v>3102</v>
      </c>
      <c r="AA79">
        <v>50</v>
      </c>
    </row>
    <row r="80" spans="1:27" hidden="1" x14ac:dyDescent="0.25">
      <c r="A80" s="1">
        <v>45289</v>
      </c>
      <c r="B80">
        <f>SUM(_xlfn.CHOOSEROWS(Table8[[The Golden Compass]:[end]],ROW()-1))</f>
        <v>0</v>
      </c>
      <c r="C80">
        <f>Table8[[#This Row],[Cumulative 2023 Q4]]+Table8[[#This Row],[Cumulative 2024]]+Table8[[#This Row],[Cumulative 2025]]+Table8[[#This Row],[Cumulative 2026]]</f>
        <v>4195</v>
      </c>
      <c r="D80">
        <f>IF(YEAR(Table8[[#This Row],[Date]])=2023,B80,0)+IF(ROW(D79)=1,0,D79)</f>
        <v>4195</v>
      </c>
      <c r="E80">
        <f>MAX(Table8[Cumulative 2023 Q4])</f>
        <v>4195</v>
      </c>
      <c r="F80">
        <f>IF(YEAR(Table8[[#This Row],[Date]])=2024,B80,0)+IF(ROW(F79)=1,0,F79)</f>
        <v>0</v>
      </c>
      <c r="G80">
        <f>MAX(Table8[Cumulative 2024])</f>
        <v>5831</v>
      </c>
      <c r="H80">
        <f>IF(YEAR(Table8[[#This Row],[Date]])=2025,B80,0)+IF(ROW(H79)=1,0,H79)</f>
        <v>0</v>
      </c>
      <c r="I80">
        <f>MAX(Table8[Cumulative 2025])</f>
        <v>1377</v>
      </c>
      <c r="J80">
        <f>IF(YEAR(Table8[[#This Row],[Date]])=2026,B80,0)+IF(ROW(J79)=1,0,J79)</f>
        <v>0</v>
      </c>
      <c r="K80">
        <f>MAX(Table8[Cumulative 2026])</f>
        <v>3102</v>
      </c>
    </row>
    <row r="81" spans="1:29" hidden="1" x14ac:dyDescent="0.25">
      <c r="A81" s="1">
        <v>45290</v>
      </c>
      <c r="B81">
        <f>SUM(_xlfn.CHOOSEROWS(Table8[[The Golden Compass]:[end]],ROW()-1))</f>
        <v>0</v>
      </c>
      <c r="C81">
        <f>Table8[[#This Row],[Cumulative 2023 Q4]]+Table8[[#This Row],[Cumulative 2024]]+Table8[[#This Row],[Cumulative 2025]]+Table8[[#This Row],[Cumulative 2026]]</f>
        <v>4195</v>
      </c>
      <c r="D81">
        <f>IF(YEAR(Table8[[#This Row],[Date]])=2023,B81,0)+IF(ROW(D80)=1,0,D80)</f>
        <v>4195</v>
      </c>
      <c r="E81">
        <f>MAX(Table8[Cumulative 2023 Q4])</f>
        <v>4195</v>
      </c>
      <c r="F81">
        <f>IF(YEAR(Table8[[#This Row],[Date]])=2024,B81,0)+IF(ROW(F80)=1,0,F80)</f>
        <v>0</v>
      </c>
      <c r="G81">
        <f>MAX(Table8[Cumulative 2024])</f>
        <v>5831</v>
      </c>
      <c r="H81">
        <f>IF(YEAR(Table8[[#This Row],[Date]])=2025,B81,0)+IF(ROW(H80)=1,0,H80)</f>
        <v>0</v>
      </c>
      <c r="I81">
        <f>MAX(Table8[Cumulative 2025])</f>
        <v>1377</v>
      </c>
      <c r="J81">
        <f>IF(YEAR(Table8[[#This Row],[Date]])=2026,B81,0)+IF(ROW(J80)=1,0,J80)</f>
        <v>0</v>
      </c>
      <c r="K81">
        <f>MAX(Table8[Cumulative 2026])</f>
        <v>3102</v>
      </c>
    </row>
    <row r="82" spans="1:29" hidden="1" x14ac:dyDescent="0.25">
      <c r="A82" s="1">
        <v>45291</v>
      </c>
      <c r="B82">
        <f>SUM(_xlfn.CHOOSEROWS(Table8[[The Golden Compass]:[end]],ROW()-1))</f>
        <v>0</v>
      </c>
      <c r="C82">
        <f>Table8[[#This Row],[Cumulative 2023 Q4]]+Table8[[#This Row],[Cumulative 2024]]+Table8[[#This Row],[Cumulative 2025]]+Table8[[#This Row],[Cumulative 2026]]</f>
        <v>4195</v>
      </c>
      <c r="D82">
        <f>IF(YEAR(Table8[[#This Row],[Date]])=2023,B82,0)+IF(ROW(D81)=1,0,D81)</f>
        <v>4195</v>
      </c>
      <c r="E82">
        <f>MAX(Table8[Cumulative 2023 Q4])</f>
        <v>4195</v>
      </c>
      <c r="F82">
        <f>IF(YEAR(Table8[[#This Row],[Date]])=2024,B82,0)+IF(ROW(F81)=1,0,F81)</f>
        <v>0</v>
      </c>
      <c r="G82">
        <f>MAX(Table8[Cumulative 2024])</f>
        <v>5831</v>
      </c>
      <c r="H82">
        <f>IF(YEAR(Table8[[#This Row],[Date]])=2025,B82,0)+IF(ROW(H81)=1,0,H81)</f>
        <v>0</v>
      </c>
      <c r="I82">
        <f>MAX(Table8[Cumulative 2025])</f>
        <v>1377</v>
      </c>
      <c r="J82">
        <f>IF(YEAR(Table8[[#This Row],[Date]])=2026,B82,0)+IF(ROW(J81)=1,0,J81)</f>
        <v>0</v>
      </c>
      <c r="K82">
        <f>MAX(Table8[Cumulative 2026])</f>
        <v>3102</v>
      </c>
    </row>
    <row r="83" spans="1:29" hidden="1" x14ac:dyDescent="0.25">
      <c r="A83" s="1">
        <v>45292</v>
      </c>
      <c r="B83">
        <f>SUM(_xlfn.CHOOSEROWS(Table8[[The Golden Compass]:[end]],ROW()-1))</f>
        <v>102</v>
      </c>
      <c r="C83">
        <f>Table8[[#This Row],[Cumulative 2023 Q4]]+Table8[[#This Row],[Cumulative 2024]]+Table8[[#This Row],[Cumulative 2025]]+Table8[[#This Row],[Cumulative 2026]]</f>
        <v>4297</v>
      </c>
      <c r="D83">
        <f>IF(YEAR(Table8[[#This Row],[Date]])=2023,B83,0)+IF(ROW(D82)=1,0,D82)</f>
        <v>4195</v>
      </c>
      <c r="E83">
        <f>MAX(Table8[Cumulative 2023 Q4])</f>
        <v>4195</v>
      </c>
      <c r="F83">
        <f>IF(YEAR(Table8[[#This Row],[Date]])=2024,B83,0)+IF(ROW(F82)=1,0,F82)</f>
        <v>102</v>
      </c>
      <c r="G83">
        <f>MAX(Table8[Cumulative 2024])</f>
        <v>5831</v>
      </c>
      <c r="H83">
        <f>IF(YEAR(Table8[[#This Row],[Date]])=2025,B83,0)+IF(ROW(H82)=1,0,H82)</f>
        <v>0</v>
      </c>
      <c r="I83">
        <f>MAX(Table8[Cumulative 2025])</f>
        <v>1377</v>
      </c>
      <c r="J83">
        <f>IF(YEAR(Table8[[#This Row],[Date]])=2026,B83,0)+IF(ROW(J82)=1,0,J82)</f>
        <v>0</v>
      </c>
      <c r="K83">
        <f>MAX(Table8[Cumulative 2026])</f>
        <v>3102</v>
      </c>
      <c r="AB83">
        <v>102</v>
      </c>
    </row>
    <row r="84" spans="1:29" hidden="1" x14ac:dyDescent="0.25">
      <c r="A84" s="1">
        <v>45293</v>
      </c>
      <c r="B84">
        <f>SUM(_xlfn.CHOOSEROWS(Table8[[The Golden Compass]:[end]],ROW()-1))</f>
        <v>153</v>
      </c>
      <c r="C84">
        <f>Table8[[#This Row],[Cumulative 2023 Q4]]+Table8[[#This Row],[Cumulative 2024]]+Table8[[#This Row],[Cumulative 2025]]+Table8[[#This Row],[Cumulative 2026]]</f>
        <v>4450</v>
      </c>
      <c r="D84">
        <f>IF(YEAR(Table8[[#This Row],[Date]])=2023,B84,0)+IF(ROW(D83)=1,0,D83)</f>
        <v>4195</v>
      </c>
      <c r="E84">
        <f>MAX(Table8[Cumulative 2023 Q4])</f>
        <v>4195</v>
      </c>
      <c r="F84">
        <f>IF(YEAR(Table8[[#This Row],[Date]])=2024,B84,0)+IF(ROW(F83)=1,0,F83)</f>
        <v>255</v>
      </c>
      <c r="G84">
        <f>MAX(Table8[Cumulative 2024])</f>
        <v>5831</v>
      </c>
      <c r="H84">
        <f>IF(YEAR(Table8[[#This Row],[Date]])=2025,B84,0)+IF(ROW(H83)=1,0,H83)</f>
        <v>0</v>
      </c>
      <c r="I84">
        <f>MAX(Table8[Cumulative 2025])</f>
        <v>1377</v>
      </c>
      <c r="J84">
        <f>IF(YEAR(Table8[[#This Row],[Date]])=2026,B84,0)+IF(ROW(J83)=1,0,J83)</f>
        <v>0</v>
      </c>
      <c r="K84">
        <f>MAX(Table8[Cumulative 2026])</f>
        <v>3102</v>
      </c>
      <c r="AB84">
        <v>153</v>
      </c>
    </row>
    <row r="85" spans="1:29" hidden="1" x14ac:dyDescent="0.25">
      <c r="A85" s="1">
        <v>45294</v>
      </c>
      <c r="B85">
        <f>SUM(_xlfn.CHOOSEROWS(Table8[[The Golden Compass]:[end]],ROW()-1))</f>
        <v>139</v>
      </c>
      <c r="C85">
        <f>Table8[[#This Row],[Cumulative 2023 Q4]]+Table8[[#This Row],[Cumulative 2024]]+Table8[[#This Row],[Cumulative 2025]]+Table8[[#This Row],[Cumulative 2026]]</f>
        <v>4589</v>
      </c>
      <c r="D85">
        <f>IF(YEAR(Table8[[#This Row],[Date]])=2023,B85,0)+IF(ROW(D84)=1,0,D84)</f>
        <v>4195</v>
      </c>
      <c r="E85">
        <f>MAX(Table8[Cumulative 2023 Q4])</f>
        <v>4195</v>
      </c>
      <c r="F85">
        <f>IF(YEAR(Table8[[#This Row],[Date]])=2024,B85,0)+IF(ROW(F84)=1,0,F84)</f>
        <v>394</v>
      </c>
      <c r="G85">
        <f>MAX(Table8[Cumulative 2024])</f>
        <v>5831</v>
      </c>
      <c r="H85">
        <f>IF(YEAR(Table8[[#This Row],[Date]])=2025,B85,0)+IF(ROW(H84)=1,0,H84)</f>
        <v>0</v>
      </c>
      <c r="I85">
        <f>MAX(Table8[Cumulative 2025])</f>
        <v>1377</v>
      </c>
      <c r="J85">
        <f>IF(YEAR(Table8[[#This Row],[Date]])=2026,B85,0)+IF(ROW(J84)=1,0,J84)</f>
        <v>0</v>
      </c>
      <c r="K85">
        <f>MAX(Table8[Cumulative 2026])</f>
        <v>3102</v>
      </c>
      <c r="AB85">
        <v>129</v>
      </c>
      <c r="AC85">
        <v>10</v>
      </c>
    </row>
    <row r="86" spans="1:29" hidden="1" x14ac:dyDescent="0.25">
      <c r="A86" s="1">
        <v>45295</v>
      </c>
      <c r="B86">
        <f>SUM(_xlfn.CHOOSEROWS(Table8[[The Golden Compass]:[end]],ROW()-1))</f>
        <v>36</v>
      </c>
      <c r="C86">
        <f>Table8[[#This Row],[Cumulative 2023 Q4]]+Table8[[#This Row],[Cumulative 2024]]+Table8[[#This Row],[Cumulative 2025]]+Table8[[#This Row],[Cumulative 2026]]</f>
        <v>4625</v>
      </c>
      <c r="D86">
        <f>IF(YEAR(Table8[[#This Row],[Date]])=2023,B86,0)+IF(ROW(D85)=1,0,D85)</f>
        <v>4195</v>
      </c>
      <c r="E86">
        <f>MAX(Table8[Cumulative 2023 Q4])</f>
        <v>4195</v>
      </c>
      <c r="F86">
        <f>IF(YEAR(Table8[[#This Row],[Date]])=2024,B86,0)+IF(ROW(F85)=1,0,F85)</f>
        <v>430</v>
      </c>
      <c r="G86">
        <f>MAX(Table8[Cumulative 2024])</f>
        <v>5831</v>
      </c>
      <c r="H86">
        <f>IF(YEAR(Table8[[#This Row],[Date]])=2025,B86,0)+IF(ROW(H85)=1,0,H85)</f>
        <v>0</v>
      </c>
      <c r="I86">
        <f>MAX(Table8[Cumulative 2025])</f>
        <v>1377</v>
      </c>
      <c r="J86">
        <f>IF(YEAR(Table8[[#This Row],[Date]])=2026,B86,0)+IF(ROW(J85)=1,0,J85)</f>
        <v>0</v>
      </c>
      <c r="K86">
        <f>MAX(Table8[Cumulative 2026])</f>
        <v>3102</v>
      </c>
      <c r="AC86">
        <v>36</v>
      </c>
    </row>
    <row r="87" spans="1:29" hidden="1" x14ac:dyDescent="0.25">
      <c r="A87" s="1">
        <v>45296</v>
      </c>
      <c r="B87">
        <f>SUM(_xlfn.CHOOSEROWS(Table8[[The Golden Compass]:[end]],ROW()-1))</f>
        <v>20</v>
      </c>
      <c r="C87">
        <f>Table8[[#This Row],[Cumulative 2023 Q4]]+Table8[[#This Row],[Cumulative 2024]]+Table8[[#This Row],[Cumulative 2025]]+Table8[[#This Row],[Cumulative 2026]]</f>
        <v>4645</v>
      </c>
      <c r="D87">
        <f>IF(YEAR(Table8[[#This Row],[Date]])=2023,B87,0)+IF(ROW(D86)=1,0,D86)</f>
        <v>4195</v>
      </c>
      <c r="E87">
        <f>MAX(Table8[Cumulative 2023 Q4])</f>
        <v>4195</v>
      </c>
      <c r="F87">
        <f>IF(YEAR(Table8[[#This Row],[Date]])=2024,B87,0)+IF(ROW(F86)=1,0,F86)</f>
        <v>450</v>
      </c>
      <c r="G87">
        <f>MAX(Table8[Cumulative 2024])</f>
        <v>5831</v>
      </c>
      <c r="H87">
        <f>IF(YEAR(Table8[[#This Row],[Date]])=2025,B87,0)+IF(ROW(H86)=1,0,H86)</f>
        <v>0</v>
      </c>
      <c r="I87">
        <f>MAX(Table8[Cumulative 2025])</f>
        <v>1377</v>
      </c>
      <c r="J87">
        <f>IF(YEAR(Table8[[#This Row],[Date]])=2026,B87,0)+IF(ROW(J86)=1,0,J86)</f>
        <v>0</v>
      </c>
      <c r="K87">
        <f>MAX(Table8[Cumulative 2026])</f>
        <v>3102</v>
      </c>
      <c r="AC87">
        <v>20</v>
      </c>
    </row>
    <row r="88" spans="1:29" hidden="1" x14ac:dyDescent="0.25">
      <c r="A88" s="1">
        <v>45297</v>
      </c>
      <c r="B88">
        <f>SUM(_xlfn.CHOOSEROWS(Table8[[The Golden Compass]:[end]],ROW()-1))</f>
        <v>0</v>
      </c>
      <c r="C88">
        <f>Table8[[#This Row],[Cumulative 2023 Q4]]+Table8[[#This Row],[Cumulative 2024]]+Table8[[#This Row],[Cumulative 2025]]+Table8[[#This Row],[Cumulative 2026]]</f>
        <v>4645</v>
      </c>
      <c r="D88">
        <f>IF(YEAR(Table8[[#This Row],[Date]])=2023,B88,0)+IF(ROW(D87)=1,0,D87)</f>
        <v>4195</v>
      </c>
      <c r="E88">
        <f>MAX(Table8[Cumulative 2023 Q4])</f>
        <v>4195</v>
      </c>
      <c r="F88">
        <f>IF(YEAR(Table8[[#This Row],[Date]])=2024,B88,0)+IF(ROW(F87)=1,0,F87)</f>
        <v>450</v>
      </c>
      <c r="G88">
        <f>MAX(Table8[Cumulative 2024])</f>
        <v>5831</v>
      </c>
      <c r="H88">
        <f>IF(YEAR(Table8[[#This Row],[Date]])=2025,B88,0)+IF(ROW(H87)=1,0,H87)</f>
        <v>0</v>
      </c>
      <c r="I88">
        <f>MAX(Table8[Cumulative 2025])</f>
        <v>1377</v>
      </c>
      <c r="J88">
        <f>IF(YEAR(Table8[[#This Row],[Date]])=2026,B88,0)+IF(ROW(J87)=1,0,J87)</f>
        <v>0</v>
      </c>
      <c r="K88">
        <f>MAX(Table8[Cumulative 2026])</f>
        <v>3102</v>
      </c>
    </row>
    <row r="89" spans="1:29" hidden="1" x14ac:dyDescent="0.25">
      <c r="A89" s="1">
        <v>45298</v>
      </c>
      <c r="B89">
        <f>SUM(_xlfn.CHOOSEROWS(Table8[[The Golden Compass]:[end]],ROW()-1))</f>
        <v>0</v>
      </c>
      <c r="C89">
        <f>Table8[[#This Row],[Cumulative 2023 Q4]]+Table8[[#This Row],[Cumulative 2024]]+Table8[[#This Row],[Cumulative 2025]]+Table8[[#This Row],[Cumulative 2026]]</f>
        <v>4645</v>
      </c>
      <c r="D89">
        <f>IF(YEAR(Table8[[#This Row],[Date]])=2023,B89,0)+IF(ROW(D88)=1,0,D88)</f>
        <v>4195</v>
      </c>
      <c r="E89">
        <f>MAX(Table8[Cumulative 2023 Q4])</f>
        <v>4195</v>
      </c>
      <c r="F89">
        <f>IF(YEAR(Table8[[#This Row],[Date]])=2024,B89,0)+IF(ROW(F88)=1,0,F88)</f>
        <v>450</v>
      </c>
      <c r="G89">
        <f>MAX(Table8[Cumulative 2024])</f>
        <v>5831</v>
      </c>
      <c r="H89">
        <f>IF(YEAR(Table8[[#This Row],[Date]])=2025,B89,0)+IF(ROW(H88)=1,0,H88)</f>
        <v>0</v>
      </c>
      <c r="I89">
        <f>MAX(Table8[Cumulative 2025])</f>
        <v>1377</v>
      </c>
      <c r="J89">
        <f>IF(YEAR(Table8[[#This Row],[Date]])=2026,B89,0)+IF(ROW(J88)=1,0,J88)</f>
        <v>0</v>
      </c>
      <c r="K89">
        <f>MAX(Table8[Cumulative 2026])</f>
        <v>3102</v>
      </c>
    </row>
    <row r="90" spans="1:29" hidden="1" x14ac:dyDescent="0.25">
      <c r="A90" s="1">
        <v>45299</v>
      </c>
      <c r="B90">
        <f>SUM(_xlfn.CHOOSEROWS(Table8[[The Golden Compass]:[end]],ROW()-1))</f>
        <v>27</v>
      </c>
      <c r="C90">
        <f>Table8[[#This Row],[Cumulative 2023 Q4]]+Table8[[#This Row],[Cumulative 2024]]+Table8[[#This Row],[Cumulative 2025]]+Table8[[#This Row],[Cumulative 2026]]</f>
        <v>4672</v>
      </c>
      <c r="D90">
        <f>IF(YEAR(Table8[[#This Row],[Date]])=2023,B90,0)+IF(ROW(D89)=1,0,D89)</f>
        <v>4195</v>
      </c>
      <c r="E90">
        <f>MAX(Table8[Cumulative 2023 Q4])</f>
        <v>4195</v>
      </c>
      <c r="F90">
        <f>IF(YEAR(Table8[[#This Row],[Date]])=2024,B90,0)+IF(ROW(F89)=1,0,F89)</f>
        <v>477</v>
      </c>
      <c r="G90">
        <f>MAX(Table8[Cumulative 2024])</f>
        <v>5831</v>
      </c>
      <c r="H90">
        <f>IF(YEAR(Table8[[#This Row],[Date]])=2025,B90,0)+IF(ROW(H89)=1,0,H89)</f>
        <v>0</v>
      </c>
      <c r="I90">
        <f>MAX(Table8[Cumulative 2025])</f>
        <v>1377</v>
      </c>
      <c r="J90">
        <f>IF(YEAR(Table8[[#This Row],[Date]])=2026,B90,0)+IF(ROW(J89)=1,0,J89)</f>
        <v>0</v>
      </c>
      <c r="K90">
        <f>MAX(Table8[Cumulative 2026])</f>
        <v>3102</v>
      </c>
      <c r="AC90">
        <v>27</v>
      </c>
    </row>
    <row r="91" spans="1:29" hidden="1" x14ac:dyDescent="0.25">
      <c r="A91" s="1">
        <v>45300</v>
      </c>
      <c r="B91">
        <f>SUM(_xlfn.CHOOSEROWS(Table8[[The Golden Compass]:[end]],ROW()-1))</f>
        <v>19</v>
      </c>
      <c r="C91">
        <f>Table8[[#This Row],[Cumulative 2023 Q4]]+Table8[[#This Row],[Cumulative 2024]]+Table8[[#This Row],[Cumulative 2025]]+Table8[[#This Row],[Cumulative 2026]]</f>
        <v>4691</v>
      </c>
      <c r="D91">
        <f>IF(YEAR(Table8[[#This Row],[Date]])=2023,B91,0)+IF(ROW(D90)=1,0,D90)</f>
        <v>4195</v>
      </c>
      <c r="E91">
        <f>MAX(Table8[Cumulative 2023 Q4])</f>
        <v>4195</v>
      </c>
      <c r="F91">
        <f>IF(YEAR(Table8[[#This Row],[Date]])=2024,B91,0)+IF(ROW(F90)=1,0,F90)</f>
        <v>496</v>
      </c>
      <c r="G91">
        <f>MAX(Table8[Cumulative 2024])</f>
        <v>5831</v>
      </c>
      <c r="H91">
        <f>IF(YEAR(Table8[[#This Row],[Date]])=2025,B91,0)+IF(ROW(H90)=1,0,H90)</f>
        <v>0</v>
      </c>
      <c r="I91">
        <f>MAX(Table8[Cumulative 2025])</f>
        <v>1377</v>
      </c>
      <c r="J91">
        <f>IF(YEAR(Table8[[#This Row],[Date]])=2026,B91,0)+IF(ROW(J90)=1,0,J90)</f>
        <v>0</v>
      </c>
      <c r="K91">
        <f>MAX(Table8[Cumulative 2026])</f>
        <v>3102</v>
      </c>
      <c r="AC91">
        <v>19</v>
      </c>
    </row>
    <row r="92" spans="1:29" hidden="1" x14ac:dyDescent="0.25">
      <c r="A92" s="1">
        <v>45301</v>
      </c>
      <c r="B92">
        <f>SUM(_xlfn.CHOOSEROWS(Table8[[The Golden Compass]:[end]],ROW()-1))</f>
        <v>0</v>
      </c>
      <c r="C92">
        <f>Table8[[#This Row],[Cumulative 2023 Q4]]+Table8[[#This Row],[Cumulative 2024]]+Table8[[#This Row],[Cumulative 2025]]+Table8[[#This Row],[Cumulative 2026]]</f>
        <v>4691</v>
      </c>
      <c r="D92">
        <f>IF(YEAR(Table8[[#This Row],[Date]])=2023,B92,0)+IF(ROW(D91)=1,0,D91)</f>
        <v>4195</v>
      </c>
      <c r="E92">
        <f>MAX(Table8[Cumulative 2023 Q4])</f>
        <v>4195</v>
      </c>
      <c r="F92">
        <f>IF(YEAR(Table8[[#This Row],[Date]])=2024,B92,0)+IF(ROW(F91)=1,0,F91)</f>
        <v>496</v>
      </c>
      <c r="G92">
        <f>MAX(Table8[Cumulative 2024])</f>
        <v>5831</v>
      </c>
      <c r="H92">
        <f>IF(YEAR(Table8[[#This Row],[Date]])=2025,B92,0)+IF(ROW(H91)=1,0,H91)</f>
        <v>0</v>
      </c>
      <c r="I92">
        <f>MAX(Table8[Cumulative 2025])</f>
        <v>1377</v>
      </c>
      <c r="J92">
        <f>IF(YEAR(Table8[[#This Row],[Date]])=2026,B92,0)+IF(ROW(J91)=1,0,J91)</f>
        <v>0</v>
      </c>
      <c r="K92">
        <f>MAX(Table8[Cumulative 2026])</f>
        <v>3102</v>
      </c>
    </row>
    <row r="93" spans="1:29" hidden="1" x14ac:dyDescent="0.25">
      <c r="A93" s="1">
        <v>45302</v>
      </c>
      <c r="B93">
        <f>SUM(_xlfn.CHOOSEROWS(Table8[[The Golden Compass]:[end]],ROW()-1))</f>
        <v>0</v>
      </c>
      <c r="C93">
        <f>Table8[[#This Row],[Cumulative 2023 Q4]]+Table8[[#This Row],[Cumulative 2024]]+Table8[[#This Row],[Cumulative 2025]]+Table8[[#This Row],[Cumulative 2026]]</f>
        <v>4691</v>
      </c>
      <c r="D93">
        <f>IF(YEAR(Table8[[#This Row],[Date]])=2023,B93,0)+IF(ROW(D92)=1,0,D92)</f>
        <v>4195</v>
      </c>
      <c r="E93">
        <f>MAX(Table8[Cumulative 2023 Q4])</f>
        <v>4195</v>
      </c>
      <c r="F93">
        <f>IF(YEAR(Table8[[#This Row],[Date]])=2024,B93,0)+IF(ROW(F92)=1,0,F92)</f>
        <v>496</v>
      </c>
      <c r="G93">
        <f>MAX(Table8[Cumulative 2024])</f>
        <v>5831</v>
      </c>
      <c r="H93">
        <f>IF(YEAR(Table8[[#This Row],[Date]])=2025,B93,0)+IF(ROW(H92)=1,0,H92)</f>
        <v>0</v>
      </c>
      <c r="I93">
        <f>MAX(Table8[Cumulative 2025])</f>
        <v>1377</v>
      </c>
      <c r="J93">
        <f>IF(YEAR(Table8[[#This Row],[Date]])=2026,B93,0)+IF(ROW(J92)=1,0,J92)</f>
        <v>0</v>
      </c>
      <c r="K93">
        <f>MAX(Table8[Cumulative 2026])</f>
        <v>3102</v>
      </c>
    </row>
    <row r="94" spans="1:29" hidden="1" x14ac:dyDescent="0.25">
      <c r="A94" s="1">
        <v>45303</v>
      </c>
      <c r="B94">
        <f>SUM(_xlfn.CHOOSEROWS(Table8[[The Golden Compass]:[end]],ROW()-1))</f>
        <v>36</v>
      </c>
      <c r="C94">
        <f>Table8[[#This Row],[Cumulative 2023 Q4]]+Table8[[#This Row],[Cumulative 2024]]+Table8[[#This Row],[Cumulative 2025]]+Table8[[#This Row],[Cumulative 2026]]</f>
        <v>4727</v>
      </c>
      <c r="D94">
        <f>IF(YEAR(Table8[[#This Row],[Date]])=2023,B94,0)+IF(ROW(D93)=1,0,D93)</f>
        <v>4195</v>
      </c>
      <c r="E94">
        <f>MAX(Table8[Cumulative 2023 Q4])</f>
        <v>4195</v>
      </c>
      <c r="F94">
        <f>IF(YEAR(Table8[[#This Row],[Date]])=2024,B94,0)+IF(ROW(F93)=1,0,F93)</f>
        <v>532</v>
      </c>
      <c r="G94">
        <f>MAX(Table8[Cumulative 2024])</f>
        <v>5831</v>
      </c>
      <c r="H94">
        <f>IF(YEAR(Table8[[#This Row],[Date]])=2025,B94,0)+IF(ROW(H93)=1,0,H93)</f>
        <v>0</v>
      </c>
      <c r="I94">
        <f>MAX(Table8[Cumulative 2025])</f>
        <v>1377</v>
      </c>
      <c r="J94">
        <f>IF(YEAR(Table8[[#This Row],[Date]])=2026,B94,0)+IF(ROW(J93)=1,0,J93)</f>
        <v>0</v>
      </c>
      <c r="K94">
        <f>MAX(Table8[Cumulative 2026])</f>
        <v>3102</v>
      </c>
      <c r="AC94">
        <v>36</v>
      </c>
    </row>
    <row r="95" spans="1:29" hidden="1" x14ac:dyDescent="0.25">
      <c r="A95" s="1">
        <v>45304</v>
      </c>
      <c r="B95">
        <f>SUM(_xlfn.CHOOSEROWS(Table8[[The Golden Compass]:[end]],ROW()-1))</f>
        <v>0</v>
      </c>
      <c r="C95">
        <f>Table8[[#This Row],[Cumulative 2023 Q4]]+Table8[[#This Row],[Cumulative 2024]]+Table8[[#This Row],[Cumulative 2025]]+Table8[[#This Row],[Cumulative 2026]]</f>
        <v>4727</v>
      </c>
      <c r="D95">
        <f>IF(YEAR(Table8[[#This Row],[Date]])=2023,B95,0)+IF(ROW(D94)=1,0,D94)</f>
        <v>4195</v>
      </c>
      <c r="E95">
        <f>MAX(Table8[Cumulative 2023 Q4])</f>
        <v>4195</v>
      </c>
      <c r="F95">
        <f>IF(YEAR(Table8[[#This Row],[Date]])=2024,B95,0)+IF(ROW(F94)=1,0,F94)</f>
        <v>532</v>
      </c>
      <c r="G95">
        <f>MAX(Table8[Cumulative 2024])</f>
        <v>5831</v>
      </c>
      <c r="H95">
        <f>IF(YEAR(Table8[[#This Row],[Date]])=2025,B95,0)+IF(ROW(H94)=1,0,H94)</f>
        <v>0</v>
      </c>
      <c r="I95">
        <f>MAX(Table8[Cumulative 2025])</f>
        <v>1377</v>
      </c>
      <c r="J95">
        <f>IF(YEAR(Table8[[#This Row],[Date]])=2026,B95,0)+IF(ROW(J94)=1,0,J94)</f>
        <v>0</v>
      </c>
      <c r="K95">
        <f>MAX(Table8[Cumulative 2026])</f>
        <v>3102</v>
      </c>
    </row>
    <row r="96" spans="1:29" hidden="1" x14ac:dyDescent="0.25">
      <c r="A96" s="1">
        <v>45305</v>
      </c>
      <c r="B96">
        <f>SUM(_xlfn.CHOOSEROWS(Table8[[The Golden Compass]:[end]],ROW()-1))</f>
        <v>51</v>
      </c>
      <c r="C96">
        <f>Table8[[#This Row],[Cumulative 2023 Q4]]+Table8[[#This Row],[Cumulative 2024]]+Table8[[#This Row],[Cumulative 2025]]+Table8[[#This Row],[Cumulative 2026]]</f>
        <v>4778</v>
      </c>
      <c r="D96">
        <f>IF(YEAR(Table8[[#This Row],[Date]])=2023,B96,0)+IF(ROW(D95)=1,0,D95)</f>
        <v>4195</v>
      </c>
      <c r="E96">
        <f>MAX(Table8[Cumulative 2023 Q4])</f>
        <v>4195</v>
      </c>
      <c r="F96">
        <f>IF(YEAR(Table8[[#This Row],[Date]])=2024,B96,0)+IF(ROW(F95)=1,0,F95)</f>
        <v>583</v>
      </c>
      <c r="G96">
        <f>MAX(Table8[Cumulative 2024])</f>
        <v>5831</v>
      </c>
      <c r="H96">
        <f>IF(YEAR(Table8[[#This Row],[Date]])=2025,B96,0)+IF(ROW(H95)=1,0,H95)</f>
        <v>0</v>
      </c>
      <c r="I96">
        <f>MAX(Table8[Cumulative 2025])</f>
        <v>1377</v>
      </c>
      <c r="J96">
        <f>IF(YEAR(Table8[[#This Row],[Date]])=2026,B96,0)+IF(ROW(J95)=1,0,J95)</f>
        <v>0</v>
      </c>
      <c r="K96">
        <f>MAX(Table8[Cumulative 2026])</f>
        <v>3102</v>
      </c>
      <c r="AC96">
        <v>51</v>
      </c>
    </row>
    <row r="97" spans="1:30" hidden="1" x14ac:dyDescent="0.25">
      <c r="A97" s="1">
        <v>45306</v>
      </c>
      <c r="B97">
        <f>SUM(_xlfn.CHOOSEROWS(Table8[[The Golden Compass]:[end]],ROW()-1))</f>
        <v>37</v>
      </c>
      <c r="C97">
        <f>Table8[[#This Row],[Cumulative 2023 Q4]]+Table8[[#This Row],[Cumulative 2024]]+Table8[[#This Row],[Cumulative 2025]]+Table8[[#This Row],[Cumulative 2026]]</f>
        <v>4815</v>
      </c>
      <c r="D97">
        <f>IF(YEAR(Table8[[#This Row],[Date]])=2023,B97,0)+IF(ROW(D96)=1,0,D96)</f>
        <v>4195</v>
      </c>
      <c r="E97">
        <f>MAX(Table8[Cumulative 2023 Q4])</f>
        <v>4195</v>
      </c>
      <c r="F97">
        <f>IF(YEAR(Table8[[#This Row],[Date]])=2024,B97,0)+IF(ROW(F96)=1,0,F96)</f>
        <v>620</v>
      </c>
      <c r="G97">
        <f>MAX(Table8[Cumulative 2024])</f>
        <v>5831</v>
      </c>
      <c r="H97">
        <f>IF(YEAR(Table8[[#This Row],[Date]])=2025,B97,0)+IF(ROW(H96)=1,0,H96)</f>
        <v>0</v>
      </c>
      <c r="I97">
        <f>MAX(Table8[Cumulative 2025])</f>
        <v>1377</v>
      </c>
      <c r="J97">
        <f>IF(YEAR(Table8[[#This Row],[Date]])=2026,B97,0)+IF(ROW(J96)=1,0,J96)</f>
        <v>0</v>
      </c>
      <c r="K97">
        <f>MAX(Table8[Cumulative 2026])</f>
        <v>3102</v>
      </c>
      <c r="AC97">
        <v>37</v>
      </c>
    </row>
    <row r="98" spans="1:30" hidden="1" x14ac:dyDescent="0.25">
      <c r="A98" s="1">
        <v>45307</v>
      </c>
      <c r="B98">
        <f>SUM(_xlfn.CHOOSEROWS(Table8[[The Golden Compass]:[end]],ROW()-1))</f>
        <v>41</v>
      </c>
      <c r="C98">
        <f>Table8[[#This Row],[Cumulative 2023 Q4]]+Table8[[#This Row],[Cumulative 2024]]+Table8[[#This Row],[Cumulative 2025]]+Table8[[#This Row],[Cumulative 2026]]</f>
        <v>4856</v>
      </c>
      <c r="D98">
        <f>IF(YEAR(Table8[[#This Row],[Date]])=2023,B98,0)+IF(ROW(D97)=1,0,D97)</f>
        <v>4195</v>
      </c>
      <c r="E98">
        <f>MAX(Table8[Cumulative 2023 Q4])</f>
        <v>4195</v>
      </c>
      <c r="F98">
        <f>IF(YEAR(Table8[[#This Row],[Date]])=2024,B98,0)+IF(ROW(F97)=1,0,F97)</f>
        <v>661</v>
      </c>
      <c r="G98">
        <f>MAX(Table8[Cumulative 2024])</f>
        <v>5831</v>
      </c>
      <c r="H98">
        <f>IF(YEAR(Table8[[#This Row],[Date]])=2025,B98,0)+IF(ROW(H97)=1,0,H97)</f>
        <v>0</v>
      </c>
      <c r="I98">
        <f>MAX(Table8[Cumulative 2025])</f>
        <v>1377</v>
      </c>
      <c r="J98">
        <f>IF(YEAR(Table8[[#This Row],[Date]])=2026,B98,0)+IF(ROW(J97)=1,0,J97)</f>
        <v>0</v>
      </c>
      <c r="K98">
        <f>MAX(Table8[Cumulative 2026])</f>
        <v>3102</v>
      </c>
      <c r="AC98">
        <v>41</v>
      </c>
    </row>
    <row r="99" spans="1:30" hidden="1" x14ac:dyDescent="0.25">
      <c r="A99" s="1">
        <v>45308</v>
      </c>
      <c r="B99">
        <f>SUM(_xlfn.CHOOSEROWS(Table8[[The Golden Compass]:[end]],ROW()-1))</f>
        <v>88</v>
      </c>
      <c r="C99">
        <f>Table8[[#This Row],[Cumulative 2023 Q4]]+Table8[[#This Row],[Cumulative 2024]]+Table8[[#This Row],[Cumulative 2025]]+Table8[[#This Row],[Cumulative 2026]]</f>
        <v>4944</v>
      </c>
      <c r="D99">
        <f>IF(YEAR(Table8[[#This Row],[Date]])=2023,B99,0)+IF(ROW(D98)=1,0,D98)</f>
        <v>4195</v>
      </c>
      <c r="E99">
        <f>MAX(Table8[Cumulative 2023 Q4])</f>
        <v>4195</v>
      </c>
      <c r="F99">
        <f>IF(YEAR(Table8[[#This Row],[Date]])=2024,B99,0)+IF(ROW(F98)=1,0,F98)</f>
        <v>749</v>
      </c>
      <c r="G99">
        <f>MAX(Table8[Cumulative 2024])</f>
        <v>5831</v>
      </c>
      <c r="H99">
        <f>IF(YEAR(Table8[[#This Row],[Date]])=2025,B99,0)+IF(ROW(H98)=1,0,H98)</f>
        <v>0</v>
      </c>
      <c r="I99">
        <f>MAX(Table8[Cumulative 2025])</f>
        <v>1377</v>
      </c>
      <c r="J99">
        <f>IF(YEAR(Table8[[#This Row],[Date]])=2026,B99,0)+IF(ROW(J98)=1,0,J98)</f>
        <v>0</v>
      </c>
      <c r="K99">
        <f>MAX(Table8[Cumulative 2026])</f>
        <v>3102</v>
      </c>
      <c r="AC99">
        <v>88</v>
      </c>
    </row>
    <row r="100" spans="1:30" hidden="1" x14ac:dyDescent="0.25">
      <c r="A100" s="1">
        <v>45309</v>
      </c>
      <c r="B100">
        <f>SUM(_xlfn.CHOOSEROWS(Table8[[The Golden Compass]:[end]],ROW()-1))</f>
        <v>54</v>
      </c>
      <c r="C100">
        <f>Table8[[#This Row],[Cumulative 2023 Q4]]+Table8[[#This Row],[Cumulative 2024]]+Table8[[#This Row],[Cumulative 2025]]+Table8[[#This Row],[Cumulative 2026]]</f>
        <v>4998</v>
      </c>
      <c r="D100">
        <f>IF(YEAR(Table8[[#This Row],[Date]])=2023,B100,0)+IF(ROW(D99)=1,0,D99)</f>
        <v>4195</v>
      </c>
      <c r="E100">
        <f>MAX(Table8[Cumulative 2023 Q4])</f>
        <v>4195</v>
      </c>
      <c r="F100">
        <f>IF(YEAR(Table8[[#This Row],[Date]])=2024,B100,0)+IF(ROW(F99)=1,0,F99)</f>
        <v>803</v>
      </c>
      <c r="G100">
        <f>MAX(Table8[Cumulative 2024])</f>
        <v>5831</v>
      </c>
      <c r="H100">
        <f>IF(YEAR(Table8[[#This Row],[Date]])=2025,B100,0)+IF(ROW(H99)=1,0,H99)</f>
        <v>0</v>
      </c>
      <c r="I100">
        <f>MAX(Table8[Cumulative 2025])</f>
        <v>1377</v>
      </c>
      <c r="J100">
        <f>IF(YEAR(Table8[[#This Row],[Date]])=2026,B100,0)+IF(ROW(J99)=1,0,J99)</f>
        <v>0</v>
      </c>
      <c r="K100">
        <f>MAX(Table8[Cumulative 2026])</f>
        <v>3102</v>
      </c>
      <c r="AC100">
        <v>54</v>
      </c>
    </row>
    <row r="101" spans="1:30" hidden="1" x14ac:dyDescent="0.25">
      <c r="A101" s="1">
        <v>45310</v>
      </c>
      <c r="B101">
        <f>SUM(_xlfn.CHOOSEROWS(Table8[[The Golden Compass]:[end]],ROW()-1))</f>
        <v>0</v>
      </c>
      <c r="C101">
        <f>Table8[[#This Row],[Cumulative 2023 Q4]]+Table8[[#This Row],[Cumulative 2024]]+Table8[[#This Row],[Cumulative 2025]]+Table8[[#This Row],[Cumulative 2026]]</f>
        <v>4998</v>
      </c>
      <c r="D101">
        <f>IF(YEAR(Table8[[#This Row],[Date]])=2023,B101,0)+IF(ROW(D100)=1,0,D100)</f>
        <v>4195</v>
      </c>
      <c r="E101">
        <f>MAX(Table8[Cumulative 2023 Q4])</f>
        <v>4195</v>
      </c>
      <c r="F101">
        <f>IF(YEAR(Table8[[#This Row],[Date]])=2024,B101,0)+IF(ROW(F100)=1,0,F100)</f>
        <v>803</v>
      </c>
      <c r="G101">
        <f>MAX(Table8[Cumulative 2024])</f>
        <v>5831</v>
      </c>
      <c r="H101">
        <f>IF(YEAR(Table8[[#This Row],[Date]])=2025,B101,0)+IF(ROW(H100)=1,0,H100)</f>
        <v>0</v>
      </c>
      <c r="I101">
        <f>MAX(Table8[Cumulative 2025])</f>
        <v>1377</v>
      </c>
      <c r="J101">
        <f>IF(YEAR(Table8[[#This Row],[Date]])=2026,B101,0)+IF(ROW(J100)=1,0,J100)</f>
        <v>0</v>
      </c>
      <c r="K101">
        <f>MAX(Table8[Cumulative 2026])</f>
        <v>3102</v>
      </c>
    </row>
    <row r="102" spans="1:30" hidden="1" x14ac:dyDescent="0.25">
      <c r="A102" s="1">
        <v>45311</v>
      </c>
      <c r="B102">
        <f>SUM(_xlfn.CHOOSEROWS(Table8[[The Golden Compass]:[end]],ROW()-1))</f>
        <v>0</v>
      </c>
      <c r="C102">
        <f>Table8[[#This Row],[Cumulative 2023 Q4]]+Table8[[#This Row],[Cumulative 2024]]+Table8[[#This Row],[Cumulative 2025]]+Table8[[#This Row],[Cumulative 2026]]</f>
        <v>4998</v>
      </c>
      <c r="D102">
        <f>IF(YEAR(Table8[[#This Row],[Date]])=2023,B102,0)+IF(ROW(D101)=1,0,D101)</f>
        <v>4195</v>
      </c>
      <c r="E102">
        <f>MAX(Table8[Cumulative 2023 Q4])</f>
        <v>4195</v>
      </c>
      <c r="F102">
        <f>IF(YEAR(Table8[[#This Row],[Date]])=2024,B102,0)+IF(ROW(F101)=1,0,F101)</f>
        <v>803</v>
      </c>
      <c r="G102">
        <f>MAX(Table8[Cumulative 2024])</f>
        <v>5831</v>
      </c>
      <c r="H102">
        <f>IF(YEAR(Table8[[#This Row],[Date]])=2025,B102,0)+IF(ROW(H101)=1,0,H101)</f>
        <v>0</v>
      </c>
      <c r="I102">
        <f>MAX(Table8[Cumulative 2025])</f>
        <v>1377</v>
      </c>
      <c r="J102">
        <f>IF(YEAR(Table8[[#This Row],[Date]])=2026,B102,0)+IF(ROW(J101)=1,0,J101)</f>
        <v>0</v>
      </c>
      <c r="K102">
        <f>MAX(Table8[Cumulative 2026])</f>
        <v>3102</v>
      </c>
    </row>
    <row r="103" spans="1:30" hidden="1" x14ac:dyDescent="0.25">
      <c r="A103" s="1">
        <v>45312</v>
      </c>
      <c r="B103">
        <f>SUM(_xlfn.CHOOSEROWS(Table8[[The Golden Compass]:[end]],ROW()-1))</f>
        <v>114</v>
      </c>
      <c r="C103">
        <f>Table8[[#This Row],[Cumulative 2023 Q4]]+Table8[[#This Row],[Cumulative 2024]]+Table8[[#This Row],[Cumulative 2025]]+Table8[[#This Row],[Cumulative 2026]]</f>
        <v>5112</v>
      </c>
      <c r="D103">
        <f>IF(YEAR(Table8[[#This Row],[Date]])=2023,B103,0)+IF(ROW(D102)=1,0,D102)</f>
        <v>4195</v>
      </c>
      <c r="E103">
        <f>MAX(Table8[Cumulative 2023 Q4])</f>
        <v>4195</v>
      </c>
      <c r="F103">
        <f>IF(YEAR(Table8[[#This Row],[Date]])=2024,B103,0)+IF(ROW(F102)=1,0,F102)</f>
        <v>917</v>
      </c>
      <c r="G103">
        <f>MAX(Table8[Cumulative 2024])</f>
        <v>5831</v>
      </c>
      <c r="H103">
        <f>IF(YEAR(Table8[[#This Row],[Date]])=2025,B103,0)+IF(ROW(H102)=1,0,H102)</f>
        <v>0</v>
      </c>
      <c r="I103">
        <f>MAX(Table8[Cumulative 2025])</f>
        <v>1377</v>
      </c>
      <c r="J103">
        <f>IF(YEAR(Table8[[#This Row],[Date]])=2026,B103,0)+IF(ROW(J102)=1,0,J102)</f>
        <v>0</v>
      </c>
      <c r="K103">
        <f>MAX(Table8[Cumulative 2026])</f>
        <v>3102</v>
      </c>
      <c r="AC103">
        <v>114</v>
      </c>
    </row>
    <row r="104" spans="1:30" hidden="1" x14ac:dyDescent="0.25">
      <c r="A104" s="1">
        <v>45313</v>
      </c>
      <c r="B104">
        <f>SUM(_xlfn.CHOOSEROWS(Table8[[The Golden Compass]:[end]],ROW()-1))</f>
        <v>0</v>
      </c>
      <c r="C104">
        <f>Table8[[#This Row],[Cumulative 2023 Q4]]+Table8[[#This Row],[Cumulative 2024]]+Table8[[#This Row],[Cumulative 2025]]+Table8[[#This Row],[Cumulative 2026]]</f>
        <v>5112</v>
      </c>
      <c r="D104">
        <f>IF(YEAR(Table8[[#This Row],[Date]])=2023,B104,0)+IF(ROW(D103)=1,0,D103)</f>
        <v>4195</v>
      </c>
      <c r="E104">
        <f>MAX(Table8[Cumulative 2023 Q4])</f>
        <v>4195</v>
      </c>
      <c r="F104">
        <f>IF(YEAR(Table8[[#This Row],[Date]])=2024,B104,0)+IF(ROW(F103)=1,0,F103)</f>
        <v>917</v>
      </c>
      <c r="G104">
        <f>MAX(Table8[Cumulative 2024])</f>
        <v>5831</v>
      </c>
      <c r="H104">
        <f>IF(YEAR(Table8[[#This Row],[Date]])=2025,B104,0)+IF(ROW(H103)=1,0,H103)</f>
        <v>0</v>
      </c>
      <c r="I104">
        <f>MAX(Table8[Cumulative 2025])</f>
        <v>1377</v>
      </c>
      <c r="J104">
        <f>IF(YEAR(Table8[[#This Row],[Date]])=2026,B104,0)+IF(ROW(J103)=1,0,J103)</f>
        <v>0</v>
      </c>
      <c r="K104">
        <f>MAX(Table8[Cumulative 2026])</f>
        <v>3102</v>
      </c>
    </row>
    <row r="105" spans="1:30" hidden="1" x14ac:dyDescent="0.25">
      <c r="A105" s="1">
        <v>45314</v>
      </c>
      <c r="B105">
        <f>SUM(_xlfn.CHOOSEROWS(Table8[[The Golden Compass]:[end]],ROW()-1))</f>
        <v>0</v>
      </c>
      <c r="C105">
        <f>Table8[[#This Row],[Cumulative 2023 Q4]]+Table8[[#This Row],[Cumulative 2024]]+Table8[[#This Row],[Cumulative 2025]]+Table8[[#This Row],[Cumulative 2026]]</f>
        <v>5112</v>
      </c>
      <c r="D105">
        <f>IF(YEAR(Table8[[#This Row],[Date]])=2023,B105,0)+IF(ROW(D104)=1,0,D104)</f>
        <v>4195</v>
      </c>
      <c r="E105">
        <f>MAX(Table8[Cumulative 2023 Q4])</f>
        <v>4195</v>
      </c>
      <c r="F105">
        <f>IF(YEAR(Table8[[#This Row],[Date]])=2024,B105,0)+IF(ROW(F104)=1,0,F104)</f>
        <v>917</v>
      </c>
      <c r="G105">
        <f>MAX(Table8[Cumulative 2024])</f>
        <v>5831</v>
      </c>
      <c r="H105">
        <f>IF(YEAR(Table8[[#This Row],[Date]])=2025,B105,0)+IF(ROW(H104)=1,0,H104)</f>
        <v>0</v>
      </c>
      <c r="I105">
        <f>MAX(Table8[Cumulative 2025])</f>
        <v>1377</v>
      </c>
      <c r="J105">
        <f>IF(YEAR(Table8[[#This Row],[Date]])=2026,B105,0)+IF(ROW(J104)=1,0,J104)</f>
        <v>0</v>
      </c>
      <c r="K105">
        <f>MAX(Table8[Cumulative 2026])</f>
        <v>3102</v>
      </c>
    </row>
    <row r="106" spans="1:30" hidden="1" x14ac:dyDescent="0.25">
      <c r="A106" s="1">
        <v>45315</v>
      </c>
      <c r="B106">
        <f>SUM(_xlfn.CHOOSEROWS(Table8[[The Golden Compass]:[end]],ROW()-1))</f>
        <v>0</v>
      </c>
      <c r="C106">
        <f>Table8[[#This Row],[Cumulative 2023 Q4]]+Table8[[#This Row],[Cumulative 2024]]+Table8[[#This Row],[Cumulative 2025]]+Table8[[#This Row],[Cumulative 2026]]</f>
        <v>5112</v>
      </c>
      <c r="D106">
        <f>IF(YEAR(Table8[[#This Row],[Date]])=2023,B106,0)+IF(ROW(D105)=1,0,D105)</f>
        <v>4195</v>
      </c>
      <c r="E106">
        <f>MAX(Table8[Cumulative 2023 Q4])</f>
        <v>4195</v>
      </c>
      <c r="F106">
        <f>IF(YEAR(Table8[[#This Row],[Date]])=2024,B106,0)+IF(ROW(F105)=1,0,F105)</f>
        <v>917</v>
      </c>
      <c r="G106">
        <f>MAX(Table8[Cumulative 2024])</f>
        <v>5831</v>
      </c>
      <c r="H106">
        <f>IF(YEAR(Table8[[#This Row],[Date]])=2025,B106,0)+IF(ROW(H105)=1,0,H105)</f>
        <v>0</v>
      </c>
      <c r="I106">
        <f>MAX(Table8[Cumulative 2025])</f>
        <v>1377</v>
      </c>
      <c r="J106">
        <f>IF(YEAR(Table8[[#This Row],[Date]])=2026,B106,0)+IF(ROW(J105)=1,0,J105)</f>
        <v>0</v>
      </c>
      <c r="K106">
        <f>MAX(Table8[Cumulative 2026])</f>
        <v>3102</v>
      </c>
    </row>
    <row r="107" spans="1:30" hidden="1" x14ac:dyDescent="0.25">
      <c r="A107" s="1">
        <v>45316</v>
      </c>
      <c r="B107">
        <f>SUM(_xlfn.CHOOSEROWS(Table8[[The Golden Compass]:[end]],ROW()-1))</f>
        <v>0</v>
      </c>
      <c r="C107">
        <f>Table8[[#This Row],[Cumulative 2023 Q4]]+Table8[[#This Row],[Cumulative 2024]]+Table8[[#This Row],[Cumulative 2025]]+Table8[[#This Row],[Cumulative 2026]]</f>
        <v>5112</v>
      </c>
      <c r="D107">
        <f>IF(YEAR(Table8[[#This Row],[Date]])=2023,B107,0)+IF(ROW(D106)=1,0,D106)</f>
        <v>4195</v>
      </c>
      <c r="E107">
        <f>MAX(Table8[Cumulative 2023 Q4])</f>
        <v>4195</v>
      </c>
      <c r="F107">
        <f>IF(YEAR(Table8[[#This Row],[Date]])=2024,B107,0)+IF(ROW(F106)=1,0,F106)</f>
        <v>917</v>
      </c>
      <c r="G107">
        <f>MAX(Table8[Cumulative 2024])</f>
        <v>5831</v>
      </c>
      <c r="H107">
        <f>IF(YEAR(Table8[[#This Row],[Date]])=2025,B107,0)+IF(ROW(H106)=1,0,H106)</f>
        <v>0</v>
      </c>
      <c r="I107">
        <f>MAX(Table8[Cumulative 2025])</f>
        <v>1377</v>
      </c>
      <c r="J107">
        <f>IF(YEAR(Table8[[#This Row],[Date]])=2026,B107,0)+IF(ROW(J106)=1,0,J106)</f>
        <v>0</v>
      </c>
      <c r="K107">
        <f>MAX(Table8[Cumulative 2026])</f>
        <v>3102</v>
      </c>
    </row>
    <row r="108" spans="1:30" hidden="1" x14ac:dyDescent="0.25">
      <c r="A108" s="1">
        <v>45317</v>
      </c>
      <c r="B108">
        <f>SUM(_xlfn.CHOOSEROWS(Table8[[The Golden Compass]:[end]],ROW()-1))</f>
        <v>18</v>
      </c>
      <c r="C108">
        <f>Table8[[#This Row],[Cumulative 2023 Q4]]+Table8[[#This Row],[Cumulative 2024]]+Table8[[#This Row],[Cumulative 2025]]+Table8[[#This Row],[Cumulative 2026]]</f>
        <v>5130</v>
      </c>
      <c r="D108">
        <f>IF(YEAR(Table8[[#This Row],[Date]])=2023,B108,0)+IF(ROW(D107)=1,0,D107)</f>
        <v>4195</v>
      </c>
      <c r="E108">
        <f>MAX(Table8[Cumulative 2023 Q4])</f>
        <v>4195</v>
      </c>
      <c r="F108">
        <f>IF(YEAR(Table8[[#This Row],[Date]])=2024,B108,0)+IF(ROW(F107)=1,0,F107)</f>
        <v>935</v>
      </c>
      <c r="G108">
        <f>MAX(Table8[Cumulative 2024])</f>
        <v>5831</v>
      </c>
      <c r="H108">
        <f>IF(YEAR(Table8[[#This Row],[Date]])=2025,B108,0)+IF(ROW(H107)=1,0,H107)</f>
        <v>0</v>
      </c>
      <c r="I108">
        <f>MAX(Table8[Cumulative 2025])</f>
        <v>1377</v>
      </c>
      <c r="J108">
        <f>IF(YEAR(Table8[[#This Row],[Date]])=2026,B108,0)+IF(ROW(J107)=1,0,J107)</f>
        <v>0</v>
      </c>
      <c r="K108">
        <f>MAX(Table8[Cumulative 2026])</f>
        <v>3102</v>
      </c>
      <c r="AD108">
        <v>18</v>
      </c>
    </row>
    <row r="109" spans="1:30" hidden="1" x14ac:dyDescent="0.25">
      <c r="A109" s="1">
        <v>45318</v>
      </c>
      <c r="B109">
        <f>SUM(_xlfn.CHOOSEROWS(Table8[[The Golden Compass]:[end]],ROW()-1))</f>
        <v>0</v>
      </c>
      <c r="C109">
        <f>Table8[[#This Row],[Cumulative 2023 Q4]]+Table8[[#This Row],[Cumulative 2024]]+Table8[[#This Row],[Cumulative 2025]]+Table8[[#This Row],[Cumulative 2026]]</f>
        <v>5130</v>
      </c>
      <c r="D109">
        <f>IF(YEAR(Table8[[#This Row],[Date]])=2023,B109,0)+IF(ROW(D108)=1,0,D108)</f>
        <v>4195</v>
      </c>
      <c r="E109">
        <f>MAX(Table8[Cumulative 2023 Q4])</f>
        <v>4195</v>
      </c>
      <c r="F109">
        <f>IF(YEAR(Table8[[#This Row],[Date]])=2024,B109,0)+IF(ROW(F108)=1,0,F108)</f>
        <v>935</v>
      </c>
      <c r="G109">
        <f>MAX(Table8[Cumulative 2024])</f>
        <v>5831</v>
      </c>
      <c r="H109">
        <f>IF(YEAR(Table8[[#This Row],[Date]])=2025,B109,0)+IF(ROW(H108)=1,0,H108)</f>
        <v>0</v>
      </c>
      <c r="I109">
        <f>MAX(Table8[Cumulative 2025])</f>
        <v>1377</v>
      </c>
      <c r="J109">
        <f>IF(YEAR(Table8[[#This Row],[Date]])=2026,B109,0)+IF(ROW(J108)=1,0,J108)</f>
        <v>0</v>
      </c>
      <c r="K109">
        <f>MAX(Table8[Cumulative 2026])</f>
        <v>3102</v>
      </c>
    </row>
    <row r="110" spans="1:30" hidden="1" x14ac:dyDescent="0.25">
      <c r="A110" s="1">
        <v>45319</v>
      </c>
      <c r="B110">
        <f>SUM(_xlfn.CHOOSEROWS(Table8[[The Golden Compass]:[end]],ROW()-1))</f>
        <v>16</v>
      </c>
      <c r="C110">
        <f>Table8[[#This Row],[Cumulative 2023 Q4]]+Table8[[#This Row],[Cumulative 2024]]+Table8[[#This Row],[Cumulative 2025]]+Table8[[#This Row],[Cumulative 2026]]</f>
        <v>5146</v>
      </c>
      <c r="D110">
        <f>IF(YEAR(Table8[[#This Row],[Date]])=2023,B110,0)+IF(ROW(D109)=1,0,D109)</f>
        <v>4195</v>
      </c>
      <c r="E110">
        <f>MAX(Table8[Cumulative 2023 Q4])</f>
        <v>4195</v>
      </c>
      <c r="F110">
        <f>IF(YEAR(Table8[[#This Row],[Date]])=2024,B110,0)+IF(ROW(F109)=1,0,F109)</f>
        <v>951</v>
      </c>
      <c r="G110">
        <f>MAX(Table8[Cumulative 2024])</f>
        <v>5831</v>
      </c>
      <c r="H110">
        <f>IF(YEAR(Table8[[#This Row],[Date]])=2025,B110,0)+IF(ROW(H109)=1,0,H109)</f>
        <v>0</v>
      </c>
      <c r="I110">
        <f>MAX(Table8[Cumulative 2025])</f>
        <v>1377</v>
      </c>
      <c r="J110">
        <f>IF(YEAR(Table8[[#This Row],[Date]])=2026,B110,0)+IF(ROW(J109)=1,0,J109)</f>
        <v>0</v>
      </c>
      <c r="K110">
        <f>MAX(Table8[Cumulative 2026])</f>
        <v>3102</v>
      </c>
      <c r="AD110">
        <v>16</v>
      </c>
    </row>
    <row r="111" spans="1:30" hidden="1" x14ac:dyDescent="0.25">
      <c r="A111" s="1">
        <v>45320</v>
      </c>
      <c r="B111">
        <f>SUM(_xlfn.CHOOSEROWS(Table8[[The Golden Compass]:[end]],ROW()-1))</f>
        <v>72</v>
      </c>
      <c r="C111">
        <f>Table8[[#This Row],[Cumulative 2023 Q4]]+Table8[[#This Row],[Cumulative 2024]]+Table8[[#This Row],[Cumulative 2025]]+Table8[[#This Row],[Cumulative 2026]]</f>
        <v>5218</v>
      </c>
      <c r="D111">
        <f>IF(YEAR(Table8[[#This Row],[Date]])=2023,B111,0)+IF(ROW(D110)=1,0,D110)</f>
        <v>4195</v>
      </c>
      <c r="E111">
        <f>MAX(Table8[Cumulative 2023 Q4])</f>
        <v>4195</v>
      </c>
      <c r="F111">
        <f>IF(YEAR(Table8[[#This Row],[Date]])=2024,B111,0)+IF(ROW(F110)=1,0,F110)</f>
        <v>1023</v>
      </c>
      <c r="G111">
        <f>MAX(Table8[Cumulative 2024])</f>
        <v>5831</v>
      </c>
      <c r="H111">
        <f>IF(YEAR(Table8[[#This Row],[Date]])=2025,B111,0)+IF(ROW(H110)=1,0,H110)</f>
        <v>0</v>
      </c>
      <c r="I111">
        <f>MAX(Table8[Cumulative 2025])</f>
        <v>1377</v>
      </c>
      <c r="J111">
        <f>IF(YEAR(Table8[[#This Row],[Date]])=2026,B111,0)+IF(ROW(J110)=1,0,J110)</f>
        <v>0</v>
      </c>
      <c r="K111">
        <f>MAX(Table8[Cumulative 2026])</f>
        <v>3102</v>
      </c>
      <c r="AD111">
        <v>72</v>
      </c>
    </row>
    <row r="112" spans="1:30" hidden="1" x14ac:dyDescent="0.25">
      <c r="A112" s="1">
        <v>45321</v>
      </c>
      <c r="B112">
        <f>SUM(_xlfn.CHOOSEROWS(Table8[[The Golden Compass]:[end]],ROW()-1))</f>
        <v>78</v>
      </c>
      <c r="C112">
        <f>Table8[[#This Row],[Cumulative 2023 Q4]]+Table8[[#This Row],[Cumulative 2024]]+Table8[[#This Row],[Cumulative 2025]]+Table8[[#This Row],[Cumulative 2026]]</f>
        <v>5296</v>
      </c>
      <c r="D112">
        <f>IF(YEAR(Table8[[#This Row],[Date]])=2023,B112,0)+IF(ROW(D111)=1,0,D111)</f>
        <v>4195</v>
      </c>
      <c r="E112">
        <f>MAX(Table8[Cumulative 2023 Q4])</f>
        <v>4195</v>
      </c>
      <c r="F112">
        <f>IF(YEAR(Table8[[#This Row],[Date]])=2024,B112,0)+IF(ROW(F111)=1,0,F111)</f>
        <v>1101</v>
      </c>
      <c r="G112">
        <f>MAX(Table8[Cumulative 2024])</f>
        <v>5831</v>
      </c>
      <c r="H112">
        <f>IF(YEAR(Table8[[#This Row],[Date]])=2025,B112,0)+IF(ROW(H111)=1,0,H111)</f>
        <v>0</v>
      </c>
      <c r="I112">
        <f>MAX(Table8[Cumulative 2025])</f>
        <v>1377</v>
      </c>
      <c r="J112">
        <f>IF(YEAR(Table8[[#This Row],[Date]])=2026,B112,0)+IF(ROW(J111)=1,0,J111)</f>
        <v>0</v>
      </c>
      <c r="K112">
        <f>MAX(Table8[Cumulative 2026])</f>
        <v>3102</v>
      </c>
      <c r="AD112">
        <v>78</v>
      </c>
    </row>
    <row r="113" spans="1:32" hidden="1" x14ac:dyDescent="0.25">
      <c r="A113" s="1">
        <v>45322</v>
      </c>
      <c r="B113">
        <f>SUM(_xlfn.CHOOSEROWS(Table8[[The Golden Compass]:[end]],ROW()-1))</f>
        <v>218</v>
      </c>
      <c r="C113">
        <f>Table8[[#This Row],[Cumulative 2023 Q4]]+Table8[[#This Row],[Cumulative 2024]]+Table8[[#This Row],[Cumulative 2025]]+Table8[[#This Row],[Cumulative 2026]]</f>
        <v>5514</v>
      </c>
      <c r="D113">
        <f>IF(YEAR(Table8[[#This Row],[Date]])=2023,B113,0)+IF(ROW(D112)=1,0,D112)</f>
        <v>4195</v>
      </c>
      <c r="E113">
        <f>MAX(Table8[Cumulative 2023 Q4])</f>
        <v>4195</v>
      </c>
      <c r="F113">
        <f>IF(YEAR(Table8[[#This Row],[Date]])=2024,B113,0)+IF(ROW(F112)=1,0,F112)</f>
        <v>1319</v>
      </c>
      <c r="G113">
        <f>MAX(Table8[Cumulative 2024])</f>
        <v>5831</v>
      </c>
      <c r="H113">
        <f>IF(YEAR(Table8[[#This Row],[Date]])=2025,B113,0)+IF(ROW(H112)=1,0,H112)</f>
        <v>0</v>
      </c>
      <c r="I113">
        <f>MAX(Table8[Cumulative 2025])</f>
        <v>1377</v>
      </c>
      <c r="J113">
        <f>IF(YEAR(Table8[[#This Row],[Date]])=2026,B113,0)+IF(ROW(J112)=1,0,J112)</f>
        <v>0</v>
      </c>
      <c r="K113">
        <f>MAX(Table8[Cumulative 2026])</f>
        <v>3102</v>
      </c>
      <c r="AD113">
        <v>218</v>
      </c>
    </row>
    <row r="114" spans="1:32" hidden="1" x14ac:dyDescent="0.25">
      <c r="A114" s="1">
        <v>45323</v>
      </c>
      <c r="B114">
        <f>SUM(_xlfn.CHOOSEROWS(Table8[[The Golden Compass]:[end]],ROW()-1))</f>
        <v>0</v>
      </c>
      <c r="C114">
        <f>Table8[[#This Row],[Cumulative 2023 Q4]]+Table8[[#This Row],[Cumulative 2024]]+Table8[[#This Row],[Cumulative 2025]]+Table8[[#This Row],[Cumulative 2026]]</f>
        <v>5514</v>
      </c>
      <c r="D114">
        <f>IF(YEAR(Table8[[#This Row],[Date]])=2023,B114,0)+IF(ROW(D113)=1,0,D113)</f>
        <v>4195</v>
      </c>
      <c r="E114">
        <f>MAX(Table8[Cumulative 2023 Q4])</f>
        <v>4195</v>
      </c>
      <c r="F114">
        <f>IF(YEAR(Table8[[#This Row],[Date]])=2024,B114,0)+IF(ROW(F113)=1,0,F113)</f>
        <v>1319</v>
      </c>
      <c r="G114">
        <f>MAX(Table8[Cumulative 2024])</f>
        <v>5831</v>
      </c>
      <c r="H114">
        <f>IF(YEAR(Table8[[#This Row],[Date]])=2025,B114,0)+IF(ROW(H113)=1,0,H113)</f>
        <v>0</v>
      </c>
      <c r="I114">
        <f>MAX(Table8[Cumulative 2025])</f>
        <v>1377</v>
      </c>
      <c r="J114">
        <f>IF(YEAR(Table8[[#This Row],[Date]])=2026,B114,0)+IF(ROW(J113)=1,0,J113)</f>
        <v>0</v>
      </c>
      <c r="K114">
        <f>MAX(Table8[Cumulative 2026])</f>
        <v>3102</v>
      </c>
    </row>
    <row r="115" spans="1:32" hidden="1" x14ac:dyDescent="0.25">
      <c r="A115" s="1">
        <v>45324</v>
      </c>
      <c r="B115">
        <f>SUM(_xlfn.CHOOSEROWS(Table8[[The Golden Compass]:[end]],ROW()-1))</f>
        <v>0</v>
      </c>
      <c r="C115">
        <f>Table8[[#This Row],[Cumulative 2023 Q4]]+Table8[[#This Row],[Cumulative 2024]]+Table8[[#This Row],[Cumulative 2025]]+Table8[[#This Row],[Cumulative 2026]]</f>
        <v>5514</v>
      </c>
      <c r="D115">
        <f>IF(YEAR(Table8[[#This Row],[Date]])=2023,B115,0)+IF(ROW(D114)=1,0,D114)</f>
        <v>4195</v>
      </c>
      <c r="E115">
        <f>MAX(Table8[Cumulative 2023 Q4])</f>
        <v>4195</v>
      </c>
      <c r="F115">
        <f>IF(YEAR(Table8[[#This Row],[Date]])=2024,B115,0)+IF(ROW(F114)=1,0,F114)</f>
        <v>1319</v>
      </c>
      <c r="G115">
        <f>MAX(Table8[Cumulative 2024])</f>
        <v>5831</v>
      </c>
      <c r="H115">
        <f>IF(YEAR(Table8[[#This Row],[Date]])=2025,B115,0)+IF(ROW(H114)=1,0,H114)</f>
        <v>0</v>
      </c>
      <c r="I115">
        <f>MAX(Table8[Cumulative 2025])</f>
        <v>1377</v>
      </c>
      <c r="J115">
        <f>IF(YEAR(Table8[[#This Row],[Date]])=2026,B115,0)+IF(ROW(J114)=1,0,J114)</f>
        <v>0</v>
      </c>
      <c r="K115">
        <f>MAX(Table8[Cumulative 2026])</f>
        <v>3102</v>
      </c>
    </row>
    <row r="116" spans="1:32" hidden="1" x14ac:dyDescent="0.25">
      <c r="A116" s="1">
        <v>45325</v>
      </c>
      <c r="B116">
        <f>SUM(_xlfn.CHOOSEROWS(Table8[[The Golden Compass]:[end]],ROW()-1))</f>
        <v>37</v>
      </c>
      <c r="C116">
        <f>Table8[[#This Row],[Cumulative 2023 Q4]]+Table8[[#This Row],[Cumulative 2024]]+Table8[[#This Row],[Cumulative 2025]]+Table8[[#This Row],[Cumulative 2026]]</f>
        <v>5551</v>
      </c>
      <c r="D116">
        <f>IF(YEAR(Table8[[#This Row],[Date]])=2023,B116,0)+IF(ROW(D115)=1,0,D115)</f>
        <v>4195</v>
      </c>
      <c r="E116">
        <f>MAX(Table8[Cumulative 2023 Q4])</f>
        <v>4195</v>
      </c>
      <c r="F116">
        <f>IF(YEAR(Table8[[#This Row],[Date]])=2024,B116,0)+IF(ROW(F115)=1,0,F115)</f>
        <v>1356</v>
      </c>
      <c r="G116">
        <f>MAX(Table8[Cumulative 2024])</f>
        <v>5831</v>
      </c>
      <c r="H116">
        <f>IF(YEAR(Table8[[#This Row],[Date]])=2025,B116,0)+IF(ROW(H115)=1,0,H115)</f>
        <v>0</v>
      </c>
      <c r="I116">
        <f>MAX(Table8[Cumulative 2025])</f>
        <v>1377</v>
      </c>
      <c r="J116">
        <f>IF(YEAR(Table8[[#This Row],[Date]])=2026,B116,0)+IF(ROW(J115)=1,0,J115)</f>
        <v>0</v>
      </c>
      <c r="K116">
        <f>MAX(Table8[Cumulative 2026])</f>
        <v>3102</v>
      </c>
      <c r="AE116">
        <v>37</v>
      </c>
    </row>
    <row r="117" spans="1:32" hidden="1" x14ac:dyDescent="0.25">
      <c r="A117" s="1">
        <v>45326</v>
      </c>
      <c r="B117">
        <f>SUM(_xlfn.CHOOSEROWS(Table8[[The Golden Compass]:[end]],ROW()-1))</f>
        <v>0</v>
      </c>
      <c r="C117">
        <f>Table8[[#This Row],[Cumulative 2023 Q4]]+Table8[[#This Row],[Cumulative 2024]]+Table8[[#This Row],[Cumulative 2025]]+Table8[[#This Row],[Cumulative 2026]]</f>
        <v>5551</v>
      </c>
      <c r="D117">
        <f>IF(YEAR(Table8[[#This Row],[Date]])=2023,B117,0)+IF(ROW(D116)=1,0,D116)</f>
        <v>4195</v>
      </c>
      <c r="E117">
        <f>MAX(Table8[Cumulative 2023 Q4])</f>
        <v>4195</v>
      </c>
      <c r="F117">
        <f>IF(YEAR(Table8[[#This Row],[Date]])=2024,B117,0)+IF(ROW(F116)=1,0,F116)</f>
        <v>1356</v>
      </c>
      <c r="G117">
        <f>MAX(Table8[Cumulative 2024])</f>
        <v>5831</v>
      </c>
      <c r="H117">
        <f>IF(YEAR(Table8[[#This Row],[Date]])=2025,B117,0)+IF(ROW(H116)=1,0,H116)</f>
        <v>0</v>
      </c>
      <c r="I117">
        <f>MAX(Table8[Cumulative 2025])</f>
        <v>1377</v>
      </c>
      <c r="J117">
        <f>IF(YEAR(Table8[[#This Row],[Date]])=2026,B117,0)+IF(ROW(J116)=1,0,J116)</f>
        <v>0</v>
      </c>
      <c r="K117">
        <f>MAX(Table8[Cumulative 2026])</f>
        <v>3102</v>
      </c>
    </row>
    <row r="118" spans="1:32" hidden="1" x14ac:dyDescent="0.25">
      <c r="A118" s="1">
        <v>45327</v>
      </c>
      <c r="B118">
        <f>SUM(_xlfn.CHOOSEROWS(Table8[[The Golden Compass]:[end]],ROW()-1))</f>
        <v>207</v>
      </c>
      <c r="C118">
        <f>Table8[[#This Row],[Cumulative 2023 Q4]]+Table8[[#This Row],[Cumulative 2024]]+Table8[[#This Row],[Cumulative 2025]]+Table8[[#This Row],[Cumulative 2026]]</f>
        <v>5758</v>
      </c>
      <c r="D118">
        <f>IF(YEAR(Table8[[#This Row],[Date]])=2023,B118,0)+IF(ROW(D117)=1,0,D117)</f>
        <v>4195</v>
      </c>
      <c r="E118">
        <f>MAX(Table8[Cumulative 2023 Q4])</f>
        <v>4195</v>
      </c>
      <c r="F118">
        <f>IF(YEAR(Table8[[#This Row],[Date]])=2024,B118,0)+IF(ROW(F117)=1,0,F117)</f>
        <v>1563</v>
      </c>
      <c r="G118">
        <f>MAX(Table8[Cumulative 2024])</f>
        <v>5831</v>
      </c>
      <c r="H118">
        <f>IF(YEAR(Table8[[#This Row],[Date]])=2025,B118,0)+IF(ROW(H117)=1,0,H117)</f>
        <v>0</v>
      </c>
      <c r="I118">
        <f>MAX(Table8[Cumulative 2025])</f>
        <v>1377</v>
      </c>
      <c r="J118">
        <f>IF(YEAR(Table8[[#This Row],[Date]])=2026,B118,0)+IF(ROW(J117)=1,0,J117)</f>
        <v>0</v>
      </c>
      <c r="K118">
        <f>MAX(Table8[Cumulative 2026])</f>
        <v>3102</v>
      </c>
      <c r="AE118">
        <v>178</v>
      </c>
      <c r="AF118">
        <v>29</v>
      </c>
    </row>
    <row r="119" spans="1:32" hidden="1" x14ac:dyDescent="0.25">
      <c r="A119" s="1">
        <v>45328</v>
      </c>
      <c r="B119">
        <f>SUM(_xlfn.CHOOSEROWS(Table8[[The Golden Compass]:[end]],ROW()-1))</f>
        <v>0</v>
      </c>
      <c r="C119">
        <f>Table8[[#This Row],[Cumulative 2023 Q4]]+Table8[[#This Row],[Cumulative 2024]]+Table8[[#This Row],[Cumulative 2025]]+Table8[[#This Row],[Cumulative 2026]]</f>
        <v>5758</v>
      </c>
      <c r="D119">
        <f>IF(YEAR(Table8[[#This Row],[Date]])=2023,B119,0)+IF(ROW(D118)=1,0,D118)</f>
        <v>4195</v>
      </c>
      <c r="E119">
        <f>MAX(Table8[Cumulative 2023 Q4])</f>
        <v>4195</v>
      </c>
      <c r="F119">
        <f>IF(YEAR(Table8[[#This Row],[Date]])=2024,B119,0)+IF(ROW(F118)=1,0,F118)</f>
        <v>1563</v>
      </c>
      <c r="G119">
        <f>MAX(Table8[Cumulative 2024])</f>
        <v>5831</v>
      </c>
      <c r="H119">
        <f>IF(YEAR(Table8[[#This Row],[Date]])=2025,B119,0)+IF(ROW(H118)=1,0,H118)</f>
        <v>0</v>
      </c>
      <c r="I119">
        <f>MAX(Table8[Cumulative 2025])</f>
        <v>1377</v>
      </c>
      <c r="J119">
        <f>IF(YEAR(Table8[[#This Row],[Date]])=2026,B119,0)+IF(ROW(J118)=1,0,J118)</f>
        <v>0</v>
      </c>
      <c r="K119">
        <f>MAX(Table8[Cumulative 2026])</f>
        <v>3102</v>
      </c>
    </row>
    <row r="120" spans="1:32" hidden="1" x14ac:dyDescent="0.25">
      <c r="A120" s="1">
        <v>45329</v>
      </c>
      <c r="B120">
        <f>SUM(_xlfn.CHOOSEROWS(Table8[[The Golden Compass]:[end]],ROW()-1))</f>
        <v>42</v>
      </c>
      <c r="C120">
        <f>Table8[[#This Row],[Cumulative 2023 Q4]]+Table8[[#This Row],[Cumulative 2024]]+Table8[[#This Row],[Cumulative 2025]]+Table8[[#This Row],[Cumulative 2026]]</f>
        <v>5800</v>
      </c>
      <c r="D120">
        <f>IF(YEAR(Table8[[#This Row],[Date]])=2023,B120,0)+IF(ROW(D119)=1,0,D119)</f>
        <v>4195</v>
      </c>
      <c r="E120">
        <f>MAX(Table8[Cumulative 2023 Q4])</f>
        <v>4195</v>
      </c>
      <c r="F120">
        <f>IF(YEAR(Table8[[#This Row],[Date]])=2024,B120,0)+IF(ROW(F119)=1,0,F119)</f>
        <v>1605</v>
      </c>
      <c r="G120">
        <f>MAX(Table8[Cumulative 2024])</f>
        <v>5831</v>
      </c>
      <c r="H120">
        <f>IF(YEAR(Table8[[#This Row],[Date]])=2025,B120,0)+IF(ROW(H119)=1,0,H119)</f>
        <v>0</v>
      </c>
      <c r="I120">
        <f>MAX(Table8[Cumulative 2025])</f>
        <v>1377</v>
      </c>
      <c r="J120">
        <f>IF(YEAR(Table8[[#This Row],[Date]])=2026,B120,0)+IF(ROW(J119)=1,0,J119)</f>
        <v>0</v>
      </c>
      <c r="K120">
        <f>MAX(Table8[Cumulative 2026])</f>
        <v>3102</v>
      </c>
      <c r="AF120">
        <v>42</v>
      </c>
    </row>
    <row r="121" spans="1:32" hidden="1" x14ac:dyDescent="0.25">
      <c r="A121" s="1">
        <v>45330</v>
      </c>
      <c r="B121">
        <f>SUM(_xlfn.CHOOSEROWS(Table8[[The Golden Compass]:[end]],ROW()-1))</f>
        <v>0</v>
      </c>
      <c r="C121">
        <f>Table8[[#This Row],[Cumulative 2023 Q4]]+Table8[[#This Row],[Cumulative 2024]]+Table8[[#This Row],[Cumulative 2025]]+Table8[[#This Row],[Cumulative 2026]]</f>
        <v>5800</v>
      </c>
      <c r="D121">
        <f>IF(YEAR(Table8[[#This Row],[Date]])=2023,B121,0)+IF(ROW(D120)=1,0,D120)</f>
        <v>4195</v>
      </c>
      <c r="E121">
        <f>MAX(Table8[Cumulative 2023 Q4])</f>
        <v>4195</v>
      </c>
      <c r="F121">
        <f>IF(YEAR(Table8[[#This Row],[Date]])=2024,B121,0)+IF(ROW(F120)=1,0,F120)</f>
        <v>1605</v>
      </c>
      <c r="G121">
        <f>MAX(Table8[Cumulative 2024])</f>
        <v>5831</v>
      </c>
      <c r="H121">
        <f>IF(YEAR(Table8[[#This Row],[Date]])=2025,B121,0)+IF(ROW(H120)=1,0,H120)</f>
        <v>0</v>
      </c>
      <c r="I121">
        <f>MAX(Table8[Cumulative 2025])</f>
        <v>1377</v>
      </c>
      <c r="J121">
        <f>IF(YEAR(Table8[[#This Row],[Date]])=2026,B121,0)+IF(ROW(J120)=1,0,J120)</f>
        <v>0</v>
      </c>
      <c r="K121">
        <f>MAX(Table8[Cumulative 2026])</f>
        <v>3102</v>
      </c>
    </row>
    <row r="122" spans="1:32" hidden="1" x14ac:dyDescent="0.25">
      <c r="A122" s="1">
        <v>45331</v>
      </c>
      <c r="B122">
        <f>SUM(_xlfn.CHOOSEROWS(Table8[[The Golden Compass]:[end]],ROW()-1))</f>
        <v>0</v>
      </c>
      <c r="C122">
        <f>Table8[[#This Row],[Cumulative 2023 Q4]]+Table8[[#This Row],[Cumulative 2024]]+Table8[[#This Row],[Cumulative 2025]]+Table8[[#This Row],[Cumulative 2026]]</f>
        <v>5800</v>
      </c>
      <c r="D122">
        <f>IF(YEAR(Table8[[#This Row],[Date]])=2023,B122,0)+IF(ROW(D121)=1,0,D121)</f>
        <v>4195</v>
      </c>
      <c r="E122">
        <f>MAX(Table8[Cumulative 2023 Q4])</f>
        <v>4195</v>
      </c>
      <c r="F122">
        <f>IF(YEAR(Table8[[#This Row],[Date]])=2024,B122,0)+IF(ROW(F121)=1,0,F121)</f>
        <v>1605</v>
      </c>
      <c r="G122">
        <f>MAX(Table8[Cumulative 2024])</f>
        <v>5831</v>
      </c>
      <c r="H122">
        <f>IF(YEAR(Table8[[#This Row],[Date]])=2025,B122,0)+IF(ROW(H121)=1,0,H121)</f>
        <v>0</v>
      </c>
      <c r="I122">
        <f>MAX(Table8[Cumulative 2025])</f>
        <v>1377</v>
      </c>
      <c r="J122">
        <f>IF(YEAR(Table8[[#This Row],[Date]])=2026,B122,0)+IF(ROW(J121)=1,0,J121)</f>
        <v>0</v>
      </c>
      <c r="K122">
        <f>MAX(Table8[Cumulative 2026])</f>
        <v>3102</v>
      </c>
    </row>
    <row r="123" spans="1:32" hidden="1" x14ac:dyDescent="0.25">
      <c r="A123" s="1">
        <v>45332</v>
      </c>
      <c r="B123">
        <f>SUM(_xlfn.CHOOSEROWS(Table8[[The Golden Compass]:[end]],ROW()-1))</f>
        <v>0</v>
      </c>
      <c r="C123">
        <f>Table8[[#This Row],[Cumulative 2023 Q4]]+Table8[[#This Row],[Cumulative 2024]]+Table8[[#This Row],[Cumulative 2025]]+Table8[[#This Row],[Cumulative 2026]]</f>
        <v>5800</v>
      </c>
      <c r="D123">
        <f>IF(YEAR(Table8[[#This Row],[Date]])=2023,B123,0)+IF(ROW(D122)=1,0,D122)</f>
        <v>4195</v>
      </c>
      <c r="E123">
        <f>MAX(Table8[Cumulative 2023 Q4])</f>
        <v>4195</v>
      </c>
      <c r="F123">
        <f>IF(YEAR(Table8[[#This Row],[Date]])=2024,B123,0)+IF(ROW(F122)=1,0,F122)</f>
        <v>1605</v>
      </c>
      <c r="G123">
        <f>MAX(Table8[Cumulative 2024])</f>
        <v>5831</v>
      </c>
      <c r="H123">
        <f>IF(YEAR(Table8[[#This Row],[Date]])=2025,B123,0)+IF(ROW(H122)=1,0,H122)</f>
        <v>0</v>
      </c>
      <c r="I123">
        <f>MAX(Table8[Cumulative 2025])</f>
        <v>1377</v>
      </c>
      <c r="J123">
        <f>IF(YEAR(Table8[[#This Row],[Date]])=2026,B123,0)+IF(ROW(J122)=1,0,J122)</f>
        <v>0</v>
      </c>
      <c r="K123">
        <f>MAX(Table8[Cumulative 2026])</f>
        <v>3102</v>
      </c>
    </row>
    <row r="124" spans="1:32" hidden="1" x14ac:dyDescent="0.25">
      <c r="A124" s="1">
        <v>45333</v>
      </c>
      <c r="B124">
        <f>SUM(_xlfn.CHOOSEROWS(Table8[[The Golden Compass]:[end]],ROW()-1))</f>
        <v>0</v>
      </c>
      <c r="C124">
        <f>Table8[[#This Row],[Cumulative 2023 Q4]]+Table8[[#This Row],[Cumulative 2024]]+Table8[[#This Row],[Cumulative 2025]]+Table8[[#This Row],[Cumulative 2026]]</f>
        <v>5800</v>
      </c>
      <c r="D124">
        <f>IF(YEAR(Table8[[#This Row],[Date]])=2023,B124,0)+IF(ROW(D123)=1,0,D123)</f>
        <v>4195</v>
      </c>
      <c r="E124">
        <f>MAX(Table8[Cumulative 2023 Q4])</f>
        <v>4195</v>
      </c>
      <c r="F124">
        <f>IF(YEAR(Table8[[#This Row],[Date]])=2024,B124,0)+IF(ROW(F123)=1,0,F123)</f>
        <v>1605</v>
      </c>
      <c r="G124">
        <f>MAX(Table8[Cumulative 2024])</f>
        <v>5831</v>
      </c>
      <c r="H124">
        <f>IF(YEAR(Table8[[#This Row],[Date]])=2025,B124,0)+IF(ROW(H123)=1,0,H123)</f>
        <v>0</v>
      </c>
      <c r="I124">
        <f>MAX(Table8[Cumulative 2025])</f>
        <v>1377</v>
      </c>
      <c r="J124">
        <f>IF(YEAR(Table8[[#This Row],[Date]])=2026,B124,0)+IF(ROW(J123)=1,0,J123)</f>
        <v>0</v>
      </c>
      <c r="K124">
        <f>MAX(Table8[Cumulative 2026])</f>
        <v>3102</v>
      </c>
    </row>
    <row r="125" spans="1:32" hidden="1" x14ac:dyDescent="0.25">
      <c r="A125" s="1">
        <v>45334</v>
      </c>
      <c r="B125">
        <f>SUM(_xlfn.CHOOSEROWS(Table8[[The Golden Compass]:[end]],ROW()-1))</f>
        <v>33</v>
      </c>
      <c r="C125">
        <f>Table8[[#This Row],[Cumulative 2023 Q4]]+Table8[[#This Row],[Cumulative 2024]]+Table8[[#This Row],[Cumulative 2025]]+Table8[[#This Row],[Cumulative 2026]]</f>
        <v>5833</v>
      </c>
      <c r="D125">
        <f>IF(YEAR(Table8[[#This Row],[Date]])=2023,B125,0)+IF(ROW(D124)=1,0,D124)</f>
        <v>4195</v>
      </c>
      <c r="E125">
        <f>MAX(Table8[Cumulative 2023 Q4])</f>
        <v>4195</v>
      </c>
      <c r="F125">
        <f>IF(YEAR(Table8[[#This Row],[Date]])=2024,B125,0)+IF(ROW(F124)=1,0,F124)</f>
        <v>1638</v>
      </c>
      <c r="G125">
        <f>MAX(Table8[Cumulative 2024])</f>
        <v>5831</v>
      </c>
      <c r="H125">
        <f>IF(YEAR(Table8[[#This Row],[Date]])=2025,B125,0)+IF(ROW(H124)=1,0,H124)</f>
        <v>0</v>
      </c>
      <c r="I125">
        <f>MAX(Table8[Cumulative 2025])</f>
        <v>1377</v>
      </c>
      <c r="J125">
        <f>IF(YEAR(Table8[[#This Row],[Date]])=2026,B125,0)+IF(ROW(J124)=1,0,J124)</f>
        <v>0</v>
      </c>
      <c r="K125">
        <f>MAX(Table8[Cumulative 2026])</f>
        <v>3102</v>
      </c>
      <c r="AF125">
        <v>33</v>
      </c>
    </row>
    <row r="126" spans="1:32" hidden="1" x14ac:dyDescent="0.25">
      <c r="A126" s="1">
        <v>45335</v>
      </c>
      <c r="B126">
        <f>SUM(_xlfn.CHOOSEROWS(Table8[[The Golden Compass]:[end]],ROW()-1))</f>
        <v>43</v>
      </c>
      <c r="C126">
        <f>Table8[[#This Row],[Cumulative 2023 Q4]]+Table8[[#This Row],[Cumulative 2024]]+Table8[[#This Row],[Cumulative 2025]]+Table8[[#This Row],[Cumulative 2026]]</f>
        <v>5876</v>
      </c>
      <c r="D126">
        <f>IF(YEAR(Table8[[#This Row],[Date]])=2023,B126,0)+IF(ROW(D125)=1,0,D125)</f>
        <v>4195</v>
      </c>
      <c r="E126">
        <f>MAX(Table8[Cumulative 2023 Q4])</f>
        <v>4195</v>
      </c>
      <c r="F126">
        <f>IF(YEAR(Table8[[#This Row],[Date]])=2024,B126,0)+IF(ROW(F125)=1,0,F125)</f>
        <v>1681</v>
      </c>
      <c r="G126">
        <f>MAX(Table8[Cumulative 2024])</f>
        <v>5831</v>
      </c>
      <c r="H126">
        <f>IF(YEAR(Table8[[#This Row],[Date]])=2025,B126,0)+IF(ROW(H125)=1,0,H125)</f>
        <v>0</v>
      </c>
      <c r="I126">
        <f>MAX(Table8[Cumulative 2025])</f>
        <v>1377</v>
      </c>
      <c r="J126">
        <f>IF(YEAR(Table8[[#This Row],[Date]])=2026,B126,0)+IF(ROW(J125)=1,0,J125)</f>
        <v>0</v>
      </c>
      <c r="K126">
        <f>MAX(Table8[Cumulative 2026])</f>
        <v>3102</v>
      </c>
      <c r="AF126">
        <v>43</v>
      </c>
    </row>
    <row r="127" spans="1:32" hidden="1" x14ac:dyDescent="0.25">
      <c r="A127" s="1">
        <v>45336</v>
      </c>
      <c r="B127">
        <f>SUM(_xlfn.CHOOSEROWS(Table8[[The Golden Compass]:[end]],ROW()-1))</f>
        <v>65</v>
      </c>
      <c r="C127">
        <f>Table8[[#This Row],[Cumulative 2023 Q4]]+Table8[[#This Row],[Cumulative 2024]]+Table8[[#This Row],[Cumulative 2025]]+Table8[[#This Row],[Cumulative 2026]]</f>
        <v>5941</v>
      </c>
      <c r="D127">
        <f>IF(YEAR(Table8[[#This Row],[Date]])=2023,B127,0)+IF(ROW(D126)=1,0,D126)</f>
        <v>4195</v>
      </c>
      <c r="E127">
        <f>MAX(Table8[Cumulative 2023 Q4])</f>
        <v>4195</v>
      </c>
      <c r="F127">
        <f>IF(YEAR(Table8[[#This Row],[Date]])=2024,B127,0)+IF(ROW(F126)=1,0,F126)</f>
        <v>1746</v>
      </c>
      <c r="G127">
        <f>MAX(Table8[Cumulative 2024])</f>
        <v>5831</v>
      </c>
      <c r="H127">
        <f>IF(YEAR(Table8[[#This Row],[Date]])=2025,B127,0)+IF(ROW(H126)=1,0,H126)</f>
        <v>0</v>
      </c>
      <c r="I127">
        <f>MAX(Table8[Cumulative 2025])</f>
        <v>1377</v>
      </c>
      <c r="J127">
        <f>IF(YEAR(Table8[[#This Row],[Date]])=2026,B127,0)+IF(ROW(J126)=1,0,J126)</f>
        <v>0</v>
      </c>
      <c r="K127">
        <f>MAX(Table8[Cumulative 2026])</f>
        <v>3102</v>
      </c>
      <c r="AF127">
        <v>65</v>
      </c>
    </row>
    <row r="128" spans="1:32" hidden="1" x14ac:dyDescent="0.25">
      <c r="A128" s="1">
        <v>45337</v>
      </c>
      <c r="B128">
        <f>SUM(_xlfn.CHOOSEROWS(Table8[[The Golden Compass]:[end]],ROW()-1))</f>
        <v>0</v>
      </c>
      <c r="C128">
        <f>Table8[[#This Row],[Cumulative 2023 Q4]]+Table8[[#This Row],[Cumulative 2024]]+Table8[[#This Row],[Cumulative 2025]]+Table8[[#This Row],[Cumulative 2026]]</f>
        <v>5941</v>
      </c>
      <c r="D128">
        <f>IF(YEAR(Table8[[#This Row],[Date]])=2023,B128,0)+IF(ROW(D127)=1,0,D127)</f>
        <v>4195</v>
      </c>
      <c r="E128">
        <f>MAX(Table8[Cumulative 2023 Q4])</f>
        <v>4195</v>
      </c>
      <c r="F128">
        <f>IF(YEAR(Table8[[#This Row],[Date]])=2024,B128,0)+IF(ROW(F127)=1,0,F127)</f>
        <v>1746</v>
      </c>
      <c r="G128">
        <f>MAX(Table8[Cumulative 2024])</f>
        <v>5831</v>
      </c>
      <c r="H128">
        <f>IF(YEAR(Table8[[#This Row],[Date]])=2025,B128,0)+IF(ROW(H127)=1,0,H127)</f>
        <v>0</v>
      </c>
      <c r="I128">
        <f>MAX(Table8[Cumulative 2025])</f>
        <v>1377</v>
      </c>
      <c r="J128">
        <f>IF(YEAR(Table8[[#This Row],[Date]])=2026,B128,0)+IF(ROW(J127)=1,0,J127)</f>
        <v>0</v>
      </c>
      <c r="K128">
        <f>MAX(Table8[Cumulative 2026])</f>
        <v>3102</v>
      </c>
    </row>
    <row r="129" spans="1:33" hidden="1" x14ac:dyDescent="0.25">
      <c r="A129" s="1">
        <v>45338</v>
      </c>
      <c r="B129">
        <f>SUM(_xlfn.CHOOSEROWS(Table8[[The Golden Compass]:[end]],ROW()-1))</f>
        <v>0</v>
      </c>
      <c r="C129">
        <f>Table8[[#This Row],[Cumulative 2023 Q4]]+Table8[[#This Row],[Cumulative 2024]]+Table8[[#This Row],[Cumulative 2025]]+Table8[[#This Row],[Cumulative 2026]]</f>
        <v>5941</v>
      </c>
      <c r="D129">
        <f>IF(YEAR(Table8[[#This Row],[Date]])=2023,B129,0)+IF(ROW(D128)=1,0,D128)</f>
        <v>4195</v>
      </c>
      <c r="E129">
        <f>MAX(Table8[Cumulative 2023 Q4])</f>
        <v>4195</v>
      </c>
      <c r="F129">
        <f>IF(YEAR(Table8[[#This Row],[Date]])=2024,B129,0)+IF(ROW(F128)=1,0,F128)</f>
        <v>1746</v>
      </c>
      <c r="G129">
        <f>MAX(Table8[Cumulative 2024])</f>
        <v>5831</v>
      </c>
      <c r="H129">
        <f>IF(YEAR(Table8[[#This Row],[Date]])=2025,B129,0)+IF(ROW(H128)=1,0,H128)</f>
        <v>0</v>
      </c>
      <c r="I129">
        <f>MAX(Table8[Cumulative 2025])</f>
        <v>1377</v>
      </c>
      <c r="J129">
        <f>IF(YEAR(Table8[[#This Row],[Date]])=2026,B129,0)+IF(ROW(J128)=1,0,J128)</f>
        <v>0</v>
      </c>
      <c r="K129">
        <f>MAX(Table8[Cumulative 2026])</f>
        <v>3102</v>
      </c>
    </row>
    <row r="130" spans="1:33" hidden="1" x14ac:dyDescent="0.25">
      <c r="A130" s="1">
        <v>45339</v>
      </c>
      <c r="B130">
        <f>SUM(_xlfn.CHOOSEROWS(Table8[[The Golden Compass]:[end]],ROW()-1))</f>
        <v>0</v>
      </c>
      <c r="C130">
        <f>Table8[[#This Row],[Cumulative 2023 Q4]]+Table8[[#This Row],[Cumulative 2024]]+Table8[[#This Row],[Cumulative 2025]]+Table8[[#This Row],[Cumulative 2026]]</f>
        <v>5941</v>
      </c>
      <c r="D130">
        <f>IF(YEAR(Table8[[#This Row],[Date]])=2023,B130,0)+IF(ROW(D129)=1,0,D129)</f>
        <v>4195</v>
      </c>
      <c r="E130">
        <f>MAX(Table8[Cumulative 2023 Q4])</f>
        <v>4195</v>
      </c>
      <c r="F130">
        <f>IF(YEAR(Table8[[#This Row],[Date]])=2024,B130,0)+IF(ROW(F129)=1,0,F129)</f>
        <v>1746</v>
      </c>
      <c r="G130">
        <f>MAX(Table8[Cumulative 2024])</f>
        <v>5831</v>
      </c>
      <c r="H130">
        <f>IF(YEAR(Table8[[#This Row],[Date]])=2025,B130,0)+IF(ROW(H129)=1,0,H129)</f>
        <v>0</v>
      </c>
      <c r="I130">
        <f>MAX(Table8[Cumulative 2025])</f>
        <v>1377</v>
      </c>
      <c r="J130">
        <f>IF(YEAR(Table8[[#This Row],[Date]])=2026,B130,0)+IF(ROW(J129)=1,0,J129)</f>
        <v>0</v>
      </c>
      <c r="K130">
        <f>MAX(Table8[Cumulative 2026])</f>
        <v>3102</v>
      </c>
    </row>
    <row r="131" spans="1:33" hidden="1" x14ac:dyDescent="0.25">
      <c r="A131" s="1">
        <v>45340</v>
      </c>
      <c r="B131">
        <f>SUM(_xlfn.CHOOSEROWS(Table8[[The Golden Compass]:[end]],ROW()-1))</f>
        <v>0</v>
      </c>
      <c r="C131">
        <f>Table8[[#This Row],[Cumulative 2023 Q4]]+Table8[[#This Row],[Cumulative 2024]]+Table8[[#This Row],[Cumulative 2025]]+Table8[[#This Row],[Cumulative 2026]]</f>
        <v>5941</v>
      </c>
      <c r="D131">
        <f>IF(YEAR(Table8[[#This Row],[Date]])=2023,B131,0)+IF(ROW(D130)=1,0,D130)</f>
        <v>4195</v>
      </c>
      <c r="E131">
        <f>MAX(Table8[Cumulative 2023 Q4])</f>
        <v>4195</v>
      </c>
      <c r="F131">
        <f>IF(YEAR(Table8[[#This Row],[Date]])=2024,B131,0)+IF(ROW(F130)=1,0,F130)</f>
        <v>1746</v>
      </c>
      <c r="G131">
        <f>MAX(Table8[Cumulative 2024])</f>
        <v>5831</v>
      </c>
      <c r="H131">
        <f>IF(YEAR(Table8[[#This Row],[Date]])=2025,B131,0)+IF(ROW(H130)=1,0,H130)</f>
        <v>0</v>
      </c>
      <c r="I131">
        <f>MAX(Table8[Cumulative 2025])</f>
        <v>1377</v>
      </c>
      <c r="J131">
        <f>IF(YEAR(Table8[[#This Row],[Date]])=2026,B131,0)+IF(ROW(J130)=1,0,J130)</f>
        <v>0</v>
      </c>
      <c r="K131">
        <f>MAX(Table8[Cumulative 2026])</f>
        <v>3102</v>
      </c>
    </row>
    <row r="132" spans="1:33" hidden="1" x14ac:dyDescent="0.25">
      <c r="A132" s="1">
        <v>45341</v>
      </c>
      <c r="B132">
        <f>SUM(_xlfn.CHOOSEROWS(Table8[[The Golden Compass]:[end]],ROW()-1))</f>
        <v>0</v>
      </c>
      <c r="C132">
        <f>Table8[[#This Row],[Cumulative 2023 Q4]]+Table8[[#This Row],[Cumulative 2024]]+Table8[[#This Row],[Cumulative 2025]]+Table8[[#This Row],[Cumulative 2026]]</f>
        <v>5941</v>
      </c>
      <c r="D132">
        <f>IF(YEAR(Table8[[#This Row],[Date]])=2023,B132,0)+IF(ROW(D131)=1,0,D131)</f>
        <v>4195</v>
      </c>
      <c r="E132">
        <f>MAX(Table8[Cumulative 2023 Q4])</f>
        <v>4195</v>
      </c>
      <c r="F132">
        <f>IF(YEAR(Table8[[#This Row],[Date]])=2024,B132,0)+IF(ROW(F131)=1,0,F131)</f>
        <v>1746</v>
      </c>
      <c r="G132">
        <f>MAX(Table8[Cumulative 2024])</f>
        <v>5831</v>
      </c>
      <c r="H132">
        <f>IF(YEAR(Table8[[#This Row],[Date]])=2025,B132,0)+IF(ROW(H131)=1,0,H131)</f>
        <v>0</v>
      </c>
      <c r="I132">
        <f>MAX(Table8[Cumulative 2025])</f>
        <v>1377</v>
      </c>
      <c r="J132">
        <f>IF(YEAR(Table8[[#This Row],[Date]])=2026,B132,0)+IF(ROW(J131)=1,0,J131)</f>
        <v>0</v>
      </c>
      <c r="K132">
        <f>MAX(Table8[Cumulative 2026])</f>
        <v>3102</v>
      </c>
    </row>
    <row r="133" spans="1:33" hidden="1" x14ac:dyDescent="0.25">
      <c r="A133" s="1">
        <v>45342</v>
      </c>
      <c r="B133">
        <f>SUM(_xlfn.CHOOSEROWS(Table8[[The Golden Compass]:[end]],ROW()-1))</f>
        <v>0</v>
      </c>
      <c r="C133">
        <f>Table8[[#This Row],[Cumulative 2023 Q4]]+Table8[[#This Row],[Cumulative 2024]]+Table8[[#This Row],[Cumulative 2025]]+Table8[[#This Row],[Cumulative 2026]]</f>
        <v>5941</v>
      </c>
      <c r="D133">
        <f>IF(YEAR(Table8[[#This Row],[Date]])=2023,B133,0)+IF(ROW(D132)=1,0,D132)</f>
        <v>4195</v>
      </c>
      <c r="E133">
        <f>MAX(Table8[Cumulative 2023 Q4])</f>
        <v>4195</v>
      </c>
      <c r="F133">
        <f>IF(YEAR(Table8[[#This Row],[Date]])=2024,B133,0)+IF(ROW(F132)=1,0,F132)</f>
        <v>1746</v>
      </c>
      <c r="G133">
        <f>MAX(Table8[Cumulative 2024])</f>
        <v>5831</v>
      </c>
      <c r="H133">
        <f>IF(YEAR(Table8[[#This Row],[Date]])=2025,B133,0)+IF(ROW(H132)=1,0,H132)</f>
        <v>0</v>
      </c>
      <c r="I133">
        <f>MAX(Table8[Cumulative 2025])</f>
        <v>1377</v>
      </c>
      <c r="J133">
        <f>IF(YEAR(Table8[[#This Row],[Date]])=2026,B133,0)+IF(ROW(J132)=1,0,J132)</f>
        <v>0</v>
      </c>
      <c r="K133">
        <f>MAX(Table8[Cumulative 2026])</f>
        <v>3102</v>
      </c>
    </row>
    <row r="134" spans="1:33" hidden="1" x14ac:dyDescent="0.25">
      <c r="A134" s="1">
        <v>45343</v>
      </c>
      <c r="B134">
        <f>SUM(_xlfn.CHOOSEROWS(Table8[[The Golden Compass]:[end]],ROW()-1))</f>
        <v>0</v>
      </c>
      <c r="C134">
        <f>Table8[[#This Row],[Cumulative 2023 Q4]]+Table8[[#This Row],[Cumulative 2024]]+Table8[[#This Row],[Cumulative 2025]]+Table8[[#This Row],[Cumulative 2026]]</f>
        <v>5941</v>
      </c>
      <c r="D134">
        <f>IF(YEAR(Table8[[#This Row],[Date]])=2023,B134,0)+IF(ROW(D133)=1,0,D133)</f>
        <v>4195</v>
      </c>
      <c r="E134">
        <f>MAX(Table8[Cumulative 2023 Q4])</f>
        <v>4195</v>
      </c>
      <c r="F134">
        <f>IF(YEAR(Table8[[#This Row],[Date]])=2024,B134,0)+IF(ROW(F133)=1,0,F133)</f>
        <v>1746</v>
      </c>
      <c r="G134">
        <f>MAX(Table8[Cumulative 2024])</f>
        <v>5831</v>
      </c>
      <c r="H134">
        <f>IF(YEAR(Table8[[#This Row],[Date]])=2025,B134,0)+IF(ROW(H133)=1,0,H133)</f>
        <v>0</v>
      </c>
      <c r="I134">
        <f>MAX(Table8[Cumulative 2025])</f>
        <v>1377</v>
      </c>
      <c r="J134">
        <f>IF(YEAR(Table8[[#This Row],[Date]])=2026,B134,0)+IF(ROW(J133)=1,0,J133)</f>
        <v>0</v>
      </c>
      <c r="K134">
        <f>MAX(Table8[Cumulative 2026])</f>
        <v>3102</v>
      </c>
    </row>
    <row r="135" spans="1:33" hidden="1" x14ac:dyDescent="0.25">
      <c r="A135" s="1">
        <v>45344</v>
      </c>
      <c r="B135">
        <f>SUM(_xlfn.CHOOSEROWS(Table8[[The Golden Compass]:[end]],ROW()-1))</f>
        <v>0</v>
      </c>
      <c r="C135">
        <f>Table8[[#This Row],[Cumulative 2023 Q4]]+Table8[[#This Row],[Cumulative 2024]]+Table8[[#This Row],[Cumulative 2025]]+Table8[[#This Row],[Cumulative 2026]]</f>
        <v>5941</v>
      </c>
      <c r="D135">
        <f>IF(YEAR(Table8[[#This Row],[Date]])=2023,B135,0)+IF(ROW(D134)=1,0,D134)</f>
        <v>4195</v>
      </c>
      <c r="E135">
        <f>MAX(Table8[Cumulative 2023 Q4])</f>
        <v>4195</v>
      </c>
      <c r="F135">
        <f>IF(YEAR(Table8[[#This Row],[Date]])=2024,B135,0)+IF(ROW(F134)=1,0,F134)</f>
        <v>1746</v>
      </c>
      <c r="G135">
        <f>MAX(Table8[Cumulative 2024])</f>
        <v>5831</v>
      </c>
      <c r="H135">
        <f>IF(YEAR(Table8[[#This Row],[Date]])=2025,B135,0)+IF(ROW(H134)=1,0,H134)</f>
        <v>0</v>
      </c>
      <c r="I135">
        <f>MAX(Table8[Cumulative 2025])</f>
        <v>1377</v>
      </c>
      <c r="J135">
        <f>IF(YEAR(Table8[[#This Row],[Date]])=2026,B135,0)+IF(ROW(J134)=1,0,J134)</f>
        <v>0</v>
      </c>
      <c r="K135">
        <f>MAX(Table8[Cumulative 2026])</f>
        <v>3102</v>
      </c>
    </row>
    <row r="136" spans="1:33" hidden="1" x14ac:dyDescent="0.25">
      <c r="A136" s="1">
        <v>45345</v>
      </c>
      <c r="B136">
        <f>SUM(_xlfn.CHOOSEROWS(Table8[[The Golden Compass]:[end]],ROW()-1))</f>
        <v>0</v>
      </c>
      <c r="C136">
        <f>Table8[[#This Row],[Cumulative 2023 Q4]]+Table8[[#This Row],[Cumulative 2024]]+Table8[[#This Row],[Cumulative 2025]]+Table8[[#This Row],[Cumulative 2026]]</f>
        <v>5941</v>
      </c>
      <c r="D136">
        <f>IF(YEAR(Table8[[#This Row],[Date]])=2023,B136,0)+IF(ROW(D135)=1,0,D135)</f>
        <v>4195</v>
      </c>
      <c r="E136">
        <f>MAX(Table8[Cumulative 2023 Q4])</f>
        <v>4195</v>
      </c>
      <c r="F136">
        <f>IF(YEAR(Table8[[#This Row],[Date]])=2024,B136,0)+IF(ROW(F135)=1,0,F135)</f>
        <v>1746</v>
      </c>
      <c r="G136">
        <f>MAX(Table8[Cumulative 2024])</f>
        <v>5831</v>
      </c>
      <c r="H136">
        <f>IF(YEAR(Table8[[#This Row],[Date]])=2025,B136,0)+IF(ROW(H135)=1,0,H135)</f>
        <v>0</v>
      </c>
      <c r="I136">
        <f>MAX(Table8[Cumulative 2025])</f>
        <v>1377</v>
      </c>
      <c r="J136">
        <f>IF(YEAR(Table8[[#This Row],[Date]])=2026,B136,0)+IF(ROW(J135)=1,0,J135)</f>
        <v>0</v>
      </c>
      <c r="K136">
        <f>MAX(Table8[Cumulative 2026])</f>
        <v>3102</v>
      </c>
    </row>
    <row r="137" spans="1:33" hidden="1" x14ac:dyDescent="0.25">
      <c r="A137" s="1">
        <v>45346</v>
      </c>
      <c r="B137">
        <f>SUM(_xlfn.CHOOSEROWS(Table8[[The Golden Compass]:[end]],ROW()-1))</f>
        <v>0</v>
      </c>
      <c r="C137">
        <f>Table8[[#This Row],[Cumulative 2023 Q4]]+Table8[[#This Row],[Cumulative 2024]]+Table8[[#This Row],[Cumulative 2025]]+Table8[[#This Row],[Cumulative 2026]]</f>
        <v>5941</v>
      </c>
      <c r="D137">
        <f>IF(YEAR(Table8[[#This Row],[Date]])=2023,B137,0)+IF(ROW(D136)=1,0,D136)</f>
        <v>4195</v>
      </c>
      <c r="E137">
        <f>MAX(Table8[Cumulative 2023 Q4])</f>
        <v>4195</v>
      </c>
      <c r="F137">
        <f>IF(YEAR(Table8[[#This Row],[Date]])=2024,B137,0)+IF(ROW(F136)=1,0,F136)</f>
        <v>1746</v>
      </c>
      <c r="G137">
        <f>MAX(Table8[Cumulative 2024])</f>
        <v>5831</v>
      </c>
      <c r="H137">
        <f>IF(YEAR(Table8[[#This Row],[Date]])=2025,B137,0)+IF(ROW(H136)=1,0,H136)</f>
        <v>0</v>
      </c>
      <c r="I137">
        <f>MAX(Table8[Cumulative 2025])</f>
        <v>1377</v>
      </c>
      <c r="J137">
        <f>IF(YEAR(Table8[[#This Row],[Date]])=2026,B137,0)+IF(ROW(J136)=1,0,J136)</f>
        <v>0</v>
      </c>
      <c r="K137">
        <f>MAX(Table8[Cumulative 2026])</f>
        <v>3102</v>
      </c>
    </row>
    <row r="138" spans="1:33" hidden="1" x14ac:dyDescent="0.25">
      <c r="A138" s="1">
        <v>45347</v>
      </c>
      <c r="B138">
        <f>SUM(_xlfn.CHOOSEROWS(Table8[[The Golden Compass]:[end]],ROW()-1))</f>
        <v>0</v>
      </c>
      <c r="C138">
        <f>Table8[[#This Row],[Cumulative 2023 Q4]]+Table8[[#This Row],[Cumulative 2024]]+Table8[[#This Row],[Cumulative 2025]]+Table8[[#This Row],[Cumulative 2026]]</f>
        <v>5941</v>
      </c>
      <c r="D138">
        <f>IF(YEAR(Table8[[#This Row],[Date]])=2023,B138,0)+IF(ROW(D137)=1,0,D137)</f>
        <v>4195</v>
      </c>
      <c r="E138">
        <f>MAX(Table8[Cumulative 2023 Q4])</f>
        <v>4195</v>
      </c>
      <c r="F138">
        <f>IF(YEAR(Table8[[#This Row],[Date]])=2024,B138,0)+IF(ROW(F137)=1,0,F137)</f>
        <v>1746</v>
      </c>
      <c r="G138">
        <f>MAX(Table8[Cumulative 2024])</f>
        <v>5831</v>
      </c>
      <c r="H138">
        <f>IF(YEAR(Table8[[#This Row],[Date]])=2025,B138,0)+IF(ROW(H137)=1,0,H137)</f>
        <v>0</v>
      </c>
      <c r="I138">
        <f>MAX(Table8[Cumulative 2025])</f>
        <v>1377</v>
      </c>
      <c r="J138">
        <f>IF(YEAR(Table8[[#This Row],[Date]])=2026,B138,0)+IF(ROW(J137)=1,0,J137)</f>
        <v>0</v>
      </c>
      <c r="K138">
        <f>MAX(Table8[Cumulative 2026])</f>
        <v>3102</v>
      </c>
    </row>
    <row r="139" spans="1:33" hidden="1" x14ac:dyDescent="0.25">
      <c r="A139" s="1">
        <v>45348</v>
      </c>
      <c r="B139">
        <f>SUM(_xlfn.CHOOSEROWS(Table8[[The Golden Compass]:[end]],ROW()-1))</f>
        <v>0</v>
      </c>
      <c r="C139">
        <f>Table8[[#This Row],[Cumulative 2023 Q4]]+Table8[[#This Row],[Cumulative 2024]]+Table8[[#This Row],[Cumulative 2025]]+Table8[[#This Row],[Cumulative 2026]]</f>
        <v>5941</v>
      </c>
      <c r="D139">
        <f>IF(YEAR(Table8[[#This Row],[Date]])=2023,B139,0)+IF(ROW(D138)=1,0,D138)</f>
        <v>4195</v>
      </c>
      <c r="E139">
        <f>MAX(Table8[Cumulative 2023 Q4])</f>
        <v>4195</v>
      </c>
      <c r="F139">
        <f>IF(YEAR(Table8[[#This Row],[Date]])=2024,B139,0)+IF(ROW(F138)=1,0,F138)</f>
        <v>1746</v>
      </c>
      <c r="G139">
        <f>MAX(Table8[Cumulative 2024])</f>
        <v>5831</v>
      </c>
      <c r="H139">
        <f>IF(YEAR(Table8[[#This Row],[Date]])=2025,B139,0)+IF(ROW(H138)=1,0,H138)</f>
        <v>0</v>
      </c>
      <c r="I139">
        <f>MAX(Table8[Cumulative 2025])</f>
        <v>1377</v>
      </c>
      <c r="J139">
        <f>IF(YEAR(Table8[[#This Row],[Date]])=2026,B139,0)+IF(ROW(J138)=1,0,J138)</f>
        <v>0</v>
      </c>
      <c r="K139">
        <f>MAX(Table8[Cumulative 2026])</f>
        <v>3102</v>
      </c>
    </row>
    <row r="140" spans="1:33" hidden="1" x14ac:dyDescent="0.25">
      <c r="A140" s="1">
        <v>45349</v>
      </c>
      <c r="B140">
        <f>SUM(_xlfn.CHOOSEROWS(Table8[[The Golden Compass]:[end]],ROW()-1))</f>
        <v>0</v>
      </c>
      <c r="C140">
        <f>Table8[[#This Row],[Cumulative 2023 Q4]]+Table8[[#This Row],[Cumulative 2024]]+Table8[[#This Row],[Cumulative 2025]]+Table8[[#This Row],[Cumulative 2026]]</f>
        <v>5941</v>
      </c>
      <c r="D140">
        <f>IF(YEAR(Table8[[#This Row],[Date]])=2023,B140,0)+IF(ROW(D139)=1,0,D139)</f>
        <v>4195</v>
      </c>
      <c r="E140">
        <f>MAX(Table8[Cumulative 2023 Q4])</f>
        <v>4195</v>
      </c>
      <c r="F140">
        <f>IF(YEAR(Table8[[#This Row],[Date]])=2024,B140,0)+IF(ROW(F139)=1,0,F139)</f>
        <v>1746</v>
      </c>
      <c r="G140">
        <f>MAX(Table8[Cumulative 2024])</f>
        <v>5831</v>
      </c>
      <c r="H140">
        <f>IF(YEAR(Table8[[#This Row],[Date]])=2025,B140,0)+IF(ROW(H139)=1,0,H139)</f>
        <v>0</v>
      </c>
      <c r="I140">
        <f>MAX(Table8[Cumulative 2025])</f>
        <v>1377</v>
      </c>
      <c r="J140">
        <f>IF(YEAR(Table8[[#This Row],[Date]])=2026,B140,0)+IF(ROW(J139)=1,0,J139)</f>
        <v>0</v>
      </c>
      <c r="K140">
        <f>MAX(Table8[Cumulative 2026])</f>
        <v>3102</v>
      </c>
    </row>
    <row r="141" spans="1:33" hidden="1" x14ac:dyDescent="0.25">
      <c r="A141" s="1">
        <v>45350</v>
      </c>
      <c r="B141">
        <f>SUM(_xlfn.CHOOSEROWS(Table8[[The Golden Compass]:[end]],ROW()-1))</f>
        <v>0</v>
      </c>
      <c r="C141">
        <f>Table8[[#This Row],[Cumulative 2023 Q4]]+Table8[[#This Row],[Cumulative 2024]]+Table8[[#This Row],[Cumulative 2025]]+Table8[[#This Row],[Cumulative 2026]]</f>
        <v>5941</v>
      </c>
      <c r="D141">
        <f>IF(YEAR(Table8[[#This Row],[Date]])=2023,B141,0)+IF(ROW(D140)=1,0,D140)</f>
        <v>4195</v>
      </c>
      <c r="E141">
        <f>MAX(Table8[Cumulative 2023 Q4])</f>
        <v>4195</v>
      </c>
      <c r="F141">
        <f>IF(YEAR(Table8[[#This Row],[Date]])=2024,B141,0)+IF(ROW(F140)=1,0,F140)</f>
        <v>1746</v>
      </c>
      <c r="G141">
        <f>MAX(Table8[Cumulative 2024])</f>
        <v>5831</v>
      </c>
      <c r="H141">
        <f>IF(YEAR(Table8[[#This Row],[Date]])=2025,B141,0)+IF(ROW(H140)=1,0,H140)</f>
        <v>0</v>
      </c>
      <c r="I141">
        <f>MAX(Table8[Cumulative 2025])</f>
        <v>1377</v>
      </c>
      <c r="J141">
        <f>IF(YEAR(Table8[[#This Row],[Date]])=2026,B141,0)+IF(ROW(J140)=1,0,J140)</f>
        <v>0</v>
      </c>
      <c r="K141">
        <f>MAX(Table8[Cumulative 2026])</f>
        <v>3102</v>
      </c>
    </row>
    <row r="142" spans="1:33" hidden="1" x14ac:dyDescent="0.25">
      <c r="A142" s="1">
        <v>45351</v>
      </c>
      <c r="B142">
        <f>SUM(_xlfn.CHOOSEROWS(Table8[[The Golden Compass]:[end]],ROW()-1))</f>
        <v>0</v>
      </c>
      <c r="C142">
        <f>Table8[[#This Row],[Cumulative 2023 Q4]]+Table8[[#This Row],[Cumulative 2024]]+Table8[[#This Row],[Cumulative 2025]]+Table8[[#This Row],[Cumulative 2026]]</f>
        <v>5941</v>
      </c>
      <c r="D142">
        <f>IF(YEAR(Table8[[#This Row],[Date]])=2023,B142,0)+IF(ROW(D141)=1,0,D141)</f>
        <v>4195</v>
      </c>
      <c r="E142">
        <f>MAX(Table8[Cumulative 2023 Q4])</f>
        <v>4195</v>
      </c>
      <c r="F142">
        <f>IF(YEAR(Table8[[#This Row],[Date]])=2024,B142,0)+IF(ROW(F141)=1,0,F141)</f>
        <v>1746</v>
      </c>
      <c r="G142">
        <f>MAX(Table8[Cumulative 2024])</f>
        <v>5831</v>
      </c>
      <c r="H142">
        <f>IF(YEAR(Table8[[#This Row],[Date]])=2025,B142,0)+IF(ROW(H141)=1,0,H141)</f>
        <v>0</v>
      </c>
      <c r="I142">
        <f>MAX(Table8[Cumulative 2025])</f>
        <v>1377</v>
      </c>
      <c r="J142">
        <f>IF(YEAR(Table8[[#This Row],[Date]])=2026,B142,0)+IF(ROW(J141)=1,0,J141)</f>
        <v>0</v>
      </c>
      <c r="K142">
        <f>MAX(Table8[Cumulative 2026])</f>
        <v>3102</v>
      </c>
    </row>
    <row r="143" spans="1:33" hidden="1" x14ac:dyDescent="0.25">
      <c r="A143" s="1">
        <v>45352</v>
      </c>
      <c r="B143">
        <f>SUM(_xlfn.CHOOSEROWS(Table8[[The Golden Compass]:[end]],ROW()-1))</f>
        <v>0</v>
      </c>
      <c r="C143">
        <f>Table8[[#This Row],[Cumulative 2023 Q4]]+Table8[[#This Row],[Cumulative 2024]]+Table8[[#This Row],[Cumulative 2025]]+Table8[[#This Row],[Cumulative 2026]]</f>
        <v>5941</v>
      </c>
      <c r="D143">
        <f>IF(YEAR(Table8[[#This Row],[Date]])=2023,B143,0)+IF(ROW(D142)=1,0,D142)</f>
        <v>4195</v>
      </c>
      <c r="E143">
        <f>MAX(Table8[Cumulative 2023 Q4])</f>
        <v>4195</v>
      </c>
      <c r="F143">
        <f>IF(YEAR(Table8[[#This Row],[Date]])=2024,B143,0)+IF(ROW(F142)=1,0,F142)</f>
        <v>1746</v>
      </c>
      <c r="G143">
        <f>MAX(Table8[Cumulative 2024])</f>
        <v>5831</v>
      </c>
      <c r="H143">
        <f>IF(YEAR(Table8[[#This Row],[Date]])=2025,B143,0)+IF(ROW(H142)=1,0,H142)</f>
        <v>0</v>
      </c>
      <c r="I143">
        <f>MAX(Table8[Cumulative 2025])</f>
        <v>1377</v>
      </c>
      <c r="J143">
        <f>IF(YEAR(Table8[[#This Row],[Date]])=2026,B143,0)+IF(ROW(J142)=1,0,J142)</f>
        <v>0</v>
      </c>
      <c r="K143">
        <f>MAX(Table8[Cumulative 2026])</f>
        <v>3102</v>
      </c>
    </row>
    <row r="144" spans="1:33" hidden="1" x14ac:dyDescent="0.25">
      <c r="A144" s="1">
        <v>45353</v>
      </c>
      <c r="B144">
        <f>SUM(_xlfn.CHOOSEROWS(Table8[[The Golden Compass]:[end]],ROW()-1))</f>
        <v>77</v>
      </c>
      <c r="C144">
        <f>Table8[[#This Row],[Cumulative 2023 Q4]]+Table8[[#This Row],[Cumulative 2024]]+Table8[[#This Row],[Cumulative 2025]]+Table8[[#This Row],[Cumulative 2026]]</f>
        <v>6018</v>
      </c>
      <c r="D144">
        <f>IF(YEAR(Table8[[#This Row],[Date]])=2023,B144,0)+IF(ROW(D143)=1,0,D143)</f>
        <v>4195</v>
      </c>
      <c r="E144">
        <f>MAX(Table8[Cumulative 2023 Q4])</f>
        <v>4195</v>
      </c>
      <c r="F144">
        <f>IF(YEAR(Table8[[#This Row],[Date]])=2024,B144,0)+IF(ROW(F143)=1,0,F143)</f>
        <v>1823</v>
      </c>
      <c r="G144">
        <f>MAX(Table8[Cumulative 2024])</f>
        <v>5831</v>
      </c>
      <c r="H144">
        <f>IF(YEAR(Table8[[#This Row],[Date]])=2025,B144,0)+IF(ROW(H143)=1,0,H143)</f>
        <v>0</v>
      </c>
      <c r="I144">
        <f>MAX(Table8[Cumulative 2025])</f>
        <v>1377</v>
      </c>
      <c r="J144">
        <f>IF(YEAR(Table8[[#This Row],[Date]])=2026,B144,0)+IF(ROW(J143)=1,0,J143)</f>
        <v>0</v>
      </c>
      <c r="K144">
        <f>MAX(Table8[Cumulative 2026])</f>
        <v>3102</v>
      </c>
      <c r="AF144">
        <v>38</v>
      </c>
      <c r="AG144">
        <v>39</v>
      </c>
    </row>
    <row r="145" spans="1:33" hidden="1" x14ac:dyDescent="0.25">
      <c r="A145" s="1">
        <v>45354</v>
      </c>
      <c r="B145">
        <f>SUM(_xlfn.CHOOSEROWS(Table8[[The Golden Compass]:[end]],ROW()-1))</f>
        <v>0</v>
      </c>
      <c r="C145">
        <f>Table8[[#This Row],[Cumulative 2023 Q4]]+Table8[[#This Row],[Cumulative 2024]]+Table8[[#This Row],[Cumulative 2025]]+Table8[[#This Row],[Cumulative 2026]]</f>
        <v>6018</v>
      </c>
      <c r="D145">
        <f>IF(YEAR(Table8[[#This Row],[Date]])=2023,B145,0)+IF(ROW(D144)=1,0,D144)</f>
        <v>4195</v>
      </c>
      <c r="E145">
        <f>MAX(Table8[Cumulative 2023 Q4])</f>
        <v>4195</v>
      </c>
      <c r="F145">
        <f>IF(YEAR(Table8[[#This Row],[Date]])=2024,B145,0)+IF(ROW(F144)=1,0,F144)</f>
        <v>1823</v>
      </c>
      <c r="G145">
        <f>MAX(Table8[Cumulative 2024])</f>
        <v>5831</v>
      </c>
      <c r="H145">
        <f>IF(YEAR(Table8[[#This Row],[Date]])=2025,B145,0)+IF(ROW(H144)=1,0,H144)</f>
        <v>0</v>
      </c>
      <c r="I145">
        <f>MAX(Table8[Cumulative 2025])</f>
        <v>1377</v>
      </c>
      <c r="J145">
        <f>IF(YEAR(Table8[[#This Row],[Date]])=2026,B145,0)+IF(ROW(J144)=1,0,J144)</f>
        <v>0</v>
      </c>
      <c r="K145">
        <f>MAX(Table8[Cumulative 2026])</f>
        <v>3102</v>
      </c>
    </row>
    <row r="146" spans="1:33" hidden="1" x14ac:dyDescent="0.25">
      <c r="A146" s="1">
        <v>45355</v>
      </c>
      <c r="B146">
        <f>SUM(_xlfn.CHOOSEROWS(Table8[[The Golden Compass]:[end]],ROW()-1))</f>
        <v>21</v>
      </c>
      <c r="C146">
        <f>Table8[[#This Row],[Cumulative 2023 Q4]]+Table8[[#This Row],[Cumulative 2024]]+Table8[[#This Row],[Cumulative 2025]]+Table8[[#This Row],[Cumulative 2026]]</f>
        <v>6039</v>
      </c>
      <c r="D146">
        <f>IF(YEAR(Table8[[#This Row],[Date]])=2023,B146,0)+IF(ROW(D145)=1,0,D145)</f>
        <v>4195</v>
      </c>
      <c r="E146">
        <f>MAX(Table8[Cumulative 2023 Q4])</f>
        <v>4195</v>
      </c>
      <c r="F146">
        <f>IF(YEAR(Table8[[#This Row],[Date]])=2024,B146,0)+IF(ROW(F145)=1,0,F145)</f>
        <v>1844</v>
      </c>
      <c r="G146">
        <f>MAX(Table8[Cumulative 2024])</f>
        <v>5831</v>
      </c>
      <c r="H146">
        <f>IF(YEAR(Table8[[#This Row],[Date]])=2025,B146,0)+IF(ROW(H145)=1,0,H145)</f>
        <v>0</v>
      </c>
      <c r="I146">
        <f>MAX(Table8[Cumulative 2025])</f>
        <v>1377</v>
      </c>
      <c r="J146">
        <f>IF(YEAR(Table8[[#This Row],[Date]])=2026,B146,0)+IF(ROW(J145)=1,0,J145)</f>
        <v>0</v>
      </c>
      <c r="K146">
        <f>MAX(Table8[Cumulative 2026])</f>
        <v>3102</v>
      </c>
      <c r="AG146">
        <v>21</v>
      </c>
    </row>
    <row r="147" spans="1:33" hidden="1" x14ac:dyDescent="0.25">
      <c r="A147" s="1">
        <v>45356</v>
      </c>
      <c r="B147">
        <f>SUM(_xlfn.CHOOSEROWS(Table8[[The Golden Compass]:[end]],ROW()-1))</f>
        <v>0</v>
      </c>
      <c r="C147">
        <f>Table8[[#This Row],[Cumulative 2023 Q4]]+Table8[[#This Row],[Cumulative 2024]]+Table8[[#This Row],[Cumulative 2025]]+Table8[[#This Row],[Cumulative 2026]]</f>
        <v>6039</v>
      </c>
      <c r="D147">
        <f>IF(YEAR(Table8[[#This Row],[Date]])=2023,B147,0)+IF(ROW(D146)=1,0,D146)</f>
        <v>4195</v>
      </c>
      <c r="E147">
        <f>MAX(Table8[Cumulative 2023 Q4])</f>
        <v>4195</v>
      </c>
      <c r="F147">
        <f>IF(YEAR(Table8[[#This Row],[Date]])=2024,B147,0)+IF(ROW(F146)=1,0,F146)</f>
        <v>1844</v>
      </c>
      <c r="G147">
        <f>MAX(Table8[Cumulative 2024])</f>
        <v>5831</v>
      </c>
      <c r="H147">
        <f>IF(YEAR(Table8[[#This Row],[Date]])=2025,B147,0)+IF(ROW(H146)=1,0,H146)</f>
        <v>0</v>
      </c>
      <c r="I147">
        <f>MAX(Table8[Cumulative 2025])</f>
        <v>1377</v>
      </c>
      <c r="J147">
        <f>IF(YEAR(Table8[[#This Row],[Date]])=2026,B147,0)+IF(ROW(J146)=1,0,J146)</f>
        <v>0</v>
      </c>
      <c r="K147">
        <f>MAX(Table8[Cumulative 2026])</f>
        <v>3102</v>
      </c>
    </row>
    <row r="148" spans="1:33" hidden="1" x14ac:dyDescent="0.25">
      <c r="A148" s="1">
        <v>45357</v>
      </c>
      <c r="B148">
        <f>SUM(_xlfn.CHOOSEROWS(Table8[[The Golden Compass]:[end]],ROW()-1))</f>
        <v>0</v>
      </c>
      <c r="C148">
        <f>Table8[[#This Row],[Cumulative 2023 Q4]]+Table8[[#This Row],[Cumulative 2024]]+Table8[[#This Row],[Cumulative 2025]]+Table8[[#This Row],[Cumulative 2026]]</f>
        <v>6039</v>
      </c>
      <c r="D148">
        <f>IF(YEAR(Table8[[#This Row],[Date]])=2023,B148,0)+IF(ROW(D147)=1,0,D147)</f>
        <v>4195</v>
      </c>
      <c r="E148">
        <f>MAX(Table8[Cumulative 2023 Q4])</f>
        <v>4195</v>
      </c>
      <c r="F148">
        <f>IF(YEAR(Table8[[#This Row],[Date]])=2024,B148,0)+IF(ROW(F147)=1,0,F147)</f>
        <v>1844</v>
      </c>
      <c r="G148">
        <f>MAX(Table8[Cumulative 2024])</f>
        <v>5831</v>
      </c>
      <c r="H148">
        <f>IF(YEAR(Table8[[#This Row],[Date]])=2025,B148,0)+IF(ROW(H147)=1,0,H147)</f>
        <v>0</v>
      </c>
      <c r="I148">
        <f>MAX(Table8[Cumulative 2025])</f>
        <v>1377</v>
      </c>
      <c r="J148">
        <f>IF(YEAR(Table8[[#This Row],[Date]])=2026,B148,0)+IF(ROW(J147)=1,0,J147)</f>
        <v>0</v>
      </c>
      <c r="K148">
        <f>MAX(Table8[Cumulative 2026])</f>
        <v>3102</v>
      </c>
    </row>
    <row r="149" spans="1:33" hidden="1" x14ac:dyDescent="0.25">
      <c r="A149" s="1">
        <v>45358</v>
      </c>
      <c r="B149">
        <f>SUM(_xlfn.CHOOSEROWS(Table8[[The Golden Compass]:[end]],ROW()-1))</f>
        <v>0</v>
      </c>
      <c r="C149">
        <f>Table8[[#This Row],[Cumulative 2023 Q4]]+Table8[[#This Row],[Cumulative 2024]]+Table8[[#This Row],[Cumulative 2025]]+Table8[[#This Row],[Cumulative 2026]]</f>
        <v>6039</v>
      </c>
      <c r="D149">
        <f>IF(YEAR(Table8[[#This Row],[Date]])=2023,B149,0)+IF(ROW(D148)=1,0,D148)</f>
        <v>4195</v>
      </c>
      <c r="E149">
        <f>MAX(Table8[Cumulative 2023 Q4])</f>
        <v>4195</v>
      </c>
      <c r="F149">
        <f>IF(YEAR(Table8[[#This Row],[Date]])=2024,B149,0)+IF(ROW(F148)=1,0,F148)</f>
        <v>1844</v>
      </c>
      <c r="G149">
        <f>MAX(Table8[Cumulative 2024])</f>
        <v>5831</v>
      </c>
      <c r="H149">
        <f>IF(YEAR(Table8[[#This Row],[Date]])=2025,B149,0)+IF(ROW(H148)=1,0,H148)</f>
        <v>0</v>
      </c>
      <c r="I149">
        <f>MAX(Table8[Cumulative 2025])</f>
        <v>1377</v>
      </c>
      <c r="J149">
        <f>IF(YEAR(Table8[[#This Row],[Date]])=2026,B149,0)+IF(ROW(J148)=1,0,J148)</f>
        <v>0</v>
      </c>
      <c r="K149">
        <f>MAX(Table8[Cumulative 2026])</f>
        <v>3102</v>
      </c>
    </row>
    <row r="150" spans="1:33" hidden="1" x14ac:dyDescent="0.25">
      <c r="A150" s="1">
        <v>45359</v>
      </c>
      <c r="B150">
        <f>SUM(_xlfn.CHOOSEROWS(Table8[[The Golden Compass]:[end]],ROW()-1))</f>
        <v>0</v>
      </c>
      <c r="C150">
        <f>Table8[[#This Row],[Cumulative 2023 Q4]]+Table8[[#This Row],[Cumulative 2024]]+Table8[[#This Row],[Cumulative 2025]]+Table8[[#This Row],[Cumulative 2026]]</f>
        <v>6039</v>
      </c>
      <c r="D150">
        <f>IF(YEAR(Table8[[#This Row],[Date]])=2023,B150,0)+IF(ROW(D149)=1,0,D149)</f>
        <v>4195</v>
      </c>
      <c r="E150">
        <f>MAX(Table8[Cumulative 2023 Q4])</f>
        <v>4195</v>
      </c>
      <c r="F150">
        <f>IF(YEAR(Table8[[#This Row],[Date]])=2024,B150,0)+IF(ROW(F149)=1,0,F149)</f>
        <v>1844</v>
      </c>
      <c r="G150">
        <f>MAX(Table8[Cumulative 2024])</f>
        <v>5831</v>
      </c>
      <c r="H150">
        <f>IF(YEAR(Table8[[#This Row],[Date]])=2025,B150,0)+IF(ROW(H149)=1,0,H149)</f>
        <v>0</v>
      </c>
      <c r="I150">
        <f>MAX(Table8[Cumulative 2025])</f>
        <v>1377</v>
      </c>
      <c r="J150">
        <f>IF(YEAR(Table8[[#This Row],[Date]])=2026,B150,0)+IF(ROW(J149)=1,0,J149)</f>
        <v>0</v>
      </c>
      <c r="K150">
        <f>MAX(Table8[Cumulative 2026])</f>
        <v>3102</v>
      </c>
    </row>
    <row r="151" spans="1:33" hidden="1" x14ac:dyDescent="0.25">
      <c r="A151" s="1">
        <v>45360</v>
      </c>
      <c r="B151">
        <f>SUM(_xlfn.CHOOSEROWS(Table8[[The Golden Compass]:[end]],ROW()-1))</f>
        <v>0</v>
      </c>
      <c r="C151">
        <f>Table8[[#This Row],[Cumulative 2023 Q4]]+Table8[[#This Row],[Cumulative 2024]]+Table8[[#This Row],[Cumulative 2025]]+Table8[[#This Row],[Cumulative 2026]]</f>
        <v>6039</v>
      </c>
      <c r="D151">
        <f>IF(YEAR(Table8[[#This Row],[Date]])=2023,B151,0)+IF(ROW(D150)=1,0,D150)</f>
        <v>4195</v>
      </c>
      <c r="E151">
        <f>MAX(Table8[Cumulative 2023 Q4])</f>
        <v>4195</v>
      </c>
      <c r="F151">
        <f>IF(YEAR(Table8[[#This Row],[Date]])=2024,B151,0)+IF(ROW(F150)=1,0,F150)</f>
        <v>1844</v>
      </c>
      <c r="G151">
        <f>MAX(Table8[Cumulative 2024])</f>
        <v>5831</v>
      </c>
      <c r="H151">
        <f>IF(YEAR(Table8[[#This Row],[Date]])=2025,B151,0)+IF(ROW(H150)=1,0,H150)</f>
        <v>0</v>
      </c>
      <c r="I151">
        <f>MAX(Table8[Cumulative 2025])</f>
        <v>1377</v>
      </c>
      <c r="J151">
        <f>IF(YEAR(Table8[[#This Row],[Date]])=2026,B151,0)+IF(ROW(J150)=1,0,J150)</f>
        <v>0</v>
      </c>
      <c r="K151">
        <f>MAX(Table8[Cumulative 2026])</f>
        <v>3102</v>
      </c>
    </row>
    <row r="152" spans="1:33" hidden="1" x14ac:dyDescent="0.25">
      <c r="A152" s="1">
        <v>45361</v>
      </c>
      <c r="B152">
        <f>SUM(_xlfn.CHOOSEROWS(Table8[[The Golden Compass]:[end]],ROW()-1))</f>
        <v>0</v>
      </c>
      <c r="C152">
        <f>Table8[[#This Row],[Cumulative 2023 Q4]]+Table8[[#This Row],[Cumulative 2024]]+Table8[[#This Row],[Cumulative 2025]]+Table8[[#This Row],[Cumulative 2026]]</f>
        <v>6039</v>
      </c>
      <c r="D152">
        <f>IF(YEAR(Table8[[#This Row],[Date]])=2023,B152,0)+IF(ROW(D151)=1,0,D151)</f>
        <v>4195</v>
      </c>
      <c r="E152">
        <f>MAX(Table8[Cumulative 2023 Q4])</f>
        <v>4195</v>
      </c>
      <c r="F152">
        <f>IF(YEAR(Table8[[#This Row],[Date]])=2024,B152,0)+IF(ROW(F151)=1,0,F151)</f>
        <v>1844</v>
      </c>
      <c r="G152">
        <f>MAX(Table8[Cumulative 2024])</f>
        <v>5831</v>
      </c>
      <c r="H152">
        <f>IF(YEAR(Table8[[#This Row],[Date]])=2025,B152,0)+IF(ROW(H151)=1,0,H151)</f>
        <v>0</v>
      </c>
      <c r="I152">
        <f>MAX(Table8[Cumulative 2025])</f>
        <v>1377</v>
      </c>
      <c r="J152">
        <f>IF(YEAR(Table8[[#This Row],[Date]])=2026,B152,0)+IF(ROW(J151)=1,0,J151)</f>
        <v>0</v>
      </c>
      <c r="K152">
        <f>MAX(Table8[Cumulative 2026])</f>
        <v>3102</v>
      </c>
    </row>
    <row r="153" spans="1:33" hidden="1" x14ac:dyDescent="0.25">
      <c r="A153" s="1">
        <v>45362</v>
      </c>
      <c r="B153">
        <f>SUM(_xlfn.CHOOSEROWS(Table8[[The Golden Compass]:[end]],ROW()-1))</f>
        <v>0</v>
      </c>
      <c r="C153">
        <f>Table8[[#This Row],[Cumulative 2023 Q4]]+Table8[[#This Row],[Cumulative 2024]]+Table8[[#This Row],[Cumulative 2025]]+Table8[[#This Row],[Cumulative 2026]]</f>
        <v>6039</v>
      </c>
      <c r="D153">
        <f>IF(YEAR(Table8[[#This Row],[Date]])=2023,B153,0)+IF(ROW(D152)=1,0,D152)</f>
        <v>4195</v>
      </c>
      <c r="E153">
        <f>MAX(Table8[Cumulative 2023 Q4])</f>
        <v>4195</v>
      </c>
      <c r="F153">
        <f>IF(YEAR(Table8[[#This Row],[Date]])=2024,B153,0)+IF(ROW(F152)=1,0,F152)</f>
        <v>1844</v>
      </c>
      <c r="G153">
        <f>MAX(Table8[Cumulative 2024])</f>
        <v>5831</v>
      </c>
      <c r="H153">
        <f>IF(YEAR(Table8[[#This Row],[Date]])=2025,B153,0)+IF(ROW(H152)=1,0,H152)</f>
        <v>0</v>
      </c>
      <c r="I153">
        <f>MAX(Table8[Cumulative 2025])</f>
        <v>1377</v>
      </c>
      <c r="J153">
        <f>IF(YEAR(Table8[[#This Row],[Date]])=2026,B153,0)+IF(ROW(J152)=1,0,J152)</f>
        <v>0</v>
      </c>
      <c r="K153">
        <f>MAX(Table8[Cumulative 2026])</f>
        <v>3102</v>
      </c>
    </row>
    <row r="154" spans="1:33" hidden="1" x14ac:dyDescent="0.25">
      <c r="A154" s="1">
        <v>45363</v>
      </c>
      <c r="B154">
        <f>SUM(_xlfn.CHOOSEROWS(Table8[[The Golden Compass]:[end]],ROW()-1))</f>
        <v>0</v>
      </c>
      <c r="C154">
        <f>Table8[[#This Row],[Cumulative 2023 Q4]]+Table8[[#This Row],[Cumulative 2024]]+Table8[[#This Row],[Cumulative 2025]]+Table8[[#This Row],[Cumulative 2026]]</f>
        <v>6039</v>
      </c>
      <c r="D154">
        <f>IF(YEAR(Table8[[#This Row],[Date]])=2023,B154,0)+IF(ROW(D153)=1,0,D153)</f>
        <v>4195</v>
      </c>
      <c r="E154">
        <f>MAX(Table8[Cumulative 2023 Q4])</f>
        <v>4195</v>
      </c>
      <c r="F154">
        <f>IF(YEAR(Table8[[#This Row],[Date]])=2024,B154,0)+IF(ROW(F153)=1,0,F153)</f>
        <v>1844</v>
      </c>
      <c r="G154">
        <f>MAX(Table8[Cumulative 2024])</f>
        <v>5831</v>
      </c>
      <c r="H154">
        <f>IF(YEAR(Table8[[#This Row],[Date]])=2025,B154,0)+IF(ROW(H153)=1,0,H153)</f>
        <v>0</v>
      </c>
      <c r="I154">
        <f>MAX(Table8[Cumulative 2025])</f>
        <v>1377</v>
      </c>
      <c r="J154">
        <f>IF(YEAR(Table8[[#This Row],[Date]])=2026,B154,0)+IF(ROW(J153)=1,0,J153)</f>
        <v>0</v>
      </c>
      <c r="K154">
        <f>MAX(Table8[Cumulative 2026])</f>
        <v>3102</v>
      </c>
    </row>
    <row r="155" spans="1:33" hidden="1" x14ac:dyDescent="0.25">
      <c r="A155" s="1">
        <v>45364</v>
      </c>
      <c r="B155">
        <f>SUM(_xlfn.CHOOSEROWS(Table8[[The Golden Compass]:[end]],ROW()-1))</f>
        <v>0</v>
      </c>
      <c r="C155">
        <f>Table8[[#This Row],[Cumulative 2023 Q4]]+Table8[[#This Row],[Cumulative 2024]]+Table8[[#This Row],[Cumulative 2025]]+Table8[[#This Row],[Cumulative 2026]]</f>
        <v>6039</v>
      </c>
      <c r="D155">
        <f>IF(YEAR(Table8[[#This Row],[Date]])=2023,B155,0)+IF(ROW(D154)=1,0,D154)</f>
        <v>4195</v>
      </c>
      <c r="E155">
        <f>MAX(Table8[Cumulative 2023 Q4])</f>
        <v>4195</v>
      </c>
      <c r="F155">
        <f>IF(YEAR(Table8[[#This Row],[Date]])=2024,B155,0)+IF(ROW(F154)=1,0,F154)</f>
        <v>1844</v>
      </c>
      <c r="G155">
        <f>MAX(Table8[Cumulative 2024])</f>
        <v>5831</v>
      </c>
      <c r="H155">
        <f>IF(YEAR(Table8[[#This Row],[Date]])=2025,B155,0)+IF(ROW(H154)=1,0,H154)</f>
        <v>0</v>
      </c>
      <c r="I155">
        <f>MAX(Table8[Cumulative 2025])</f>
        <v>1377</v>
      </c>
      <c r="J155">
        <f>IF(YEAR(Table8[[#This Row],[Date]])=2026,B155,0)+IF(ROW(J154)=1,0,J154)</f>
        <v>0</v>
      </c>
      <c r="K155">
        <f>MAX(Table8[Cumulative 2026])</f>
        <v>3102</v>
      </c>
    </row>
    <row r="156" spans="1:33" hidden="1" x14ac:dyDescent="0.25">
      <c r="A156" s="1">
        <v>45365</v>
      </c>
      <c r="B156">
        <f>SUM(_xlfn.CHOOSEROWS(Table8[[The Golden Compass]:[end]],ROW()-1))</f>
        <v>0</v>
      </c>
      <c r="C156">
        <f>Table8[[#This Row],[Cumulative 2023 Q4]]+Table8[[#This Row],[Cumulative 2024]]+Table8[[#This Row],[Cumulative 2025]]+Table8[[#This Row],[Cumulative 2026]]</f>
        <v>6039</v>
      </c>
      <c r="D156">
        <f>IF(YEAR(Table8[[#This Row],[Date]])=2023,B156,0)+IF(ROW(D155)=1,0,D155)</f>
        <v>4195</v>
      </c>
      <c r="E156">
        <f>MAX(Table8[Cumulative 2023 Q4])</f>
        <v>4195</v>
      </c>
      <c r="F156">
        <f>IF(YEAR(Table8[[#This Row],[Date]])=2024,B156,0)+IF(ROW(F155)=1,0,F155)</f>
        <v>1844</v>
      </c>
      <c r="G156">
        <f>MAX(Table8[Cumulative 2024])</f>
        <v>5831</v>
      </c>
      <c r="H156">
        <f>IF(YEAR(Table8[[#This Row],[Date]])=2025,B156,0)+IF(ROW(H155)=1,0,H155)</f>
        <v>0</v>
      </c>
      <c r="I156">
        <f>MAX(Table8[Cumulative 2025])</f>
        <v>1377</v>
      </c>
      <c r="J156">
        <f>IF(YEAR(Table8[[#This Row],[Date]])=2026,B156,0)+IF(ROW(J155)=1,0,J155)</f>
        <v>0</v>
      </c>
      <c r="K156">
        <f>MAX(Table8[Cumulative 2026])</f>
        <v>3102</v>
      </c>
    </row>
    <row r="157" spans="1:33" hidden="1" x14ac:dyDescent="0.25">
      <c r="A157" s="1">
        <v>45366</v>
      </c>
      <c r="B157">
        <f>SUM(_xlfn.CHOOSEROWS(Table8[[The Golden Compass]:[end]],ROW()-1))</f>
        <v>0</v>
      </c>
      <c r="C157">
        <f>Table8[[#This Row],[Cumulative 2023 Q4]]+Table8[[#This Row],[Cumulative 2024]]+Table8[[#This Row],[Cumulative 2025]]+Table8[[#This Row],[Cumulative 2026]]</f>
        <v>6039</v>
      </c>
      <c r="D157">
        <f>IF(YEAR(Table8[[#This Row],[Date]])=2023,B157,0)+IF(ROW(D156)=1,0,D156)</f>
        <v>4195</v>
      </c>
      <c r="E157">
        <f>MAX(Table8[Cumulative 2023 Q4])</f>
        <v>4195</v>
      </c>
      <c r="F157">
        <f>IF(YEAR(Table8[[#This Row],[Date]])=2024,B157,0)+IF(ROW(F156)=1,0,F156)</f>
        <v>1844</v>
      </c>
      <c r="G157">
        <f>MAX(Table8[Cumulative 2024])</f>
        <v>5831</v>
      </c>
      <c r="H157">
        <f>IF(YEAR(Table8[[#This Row],[Date]])=2025,B157,0)+IF(ROW(H156)=1,0,H156)</f>
        <v>0</v>
      </c>
      <c r="I157">
        <f>MAX(Table8[Cumulative 2025])</f>
        <v>1377</v>
      </c>
      <c r="J157">
        <f>IF(YEAR(Table8[[#This Row],[Date]])=2026,B157,0)+IF(ROW(J156)=1,0,J156)</f>
        <v>0</v>
      </c>
      <c r="K157">
        <f>MAX(Table8[Cumulative 2026])</f>
        <v>3102</v>
      </c>
    </row>
    <row r="158" spans="1:33" hidden="1" x14ac:dyDescent="0.25">
      <c r="A158" s="1">
        <v>45367</v>
      </c>
      <c r="B158">
        <f>SUM(_xlfn.CHOOSEROWS(Table8[[The Golden Compass]:[end]],ROW()-1))</f>
        <v>0</v>
      </c>
      <c r="C158">
        <f>Table8[[#This Row],[Cumulative 2023 Q4]]+Table8[[#This Row],[Cumulative 2024]]+Table8[[#This Row],[Cumulative 2025]]+Table8[[#This Row],[Cumulative 2026]]</f>
        <v>6039</v>
      </c>
      <c r="D158">
        <f>IF(YEAR(Table8[[#This Row],[Date]])=2023,B158,0)+IF(ROW(D157)=1,0,D157)</f>
        <v>4195</v>
      </c>
      <c r="E158">
        <f>MAX(Table8[Cumulative 2023 Q4])</f>
        <v>4195</v>
      </c>
      <c r="F158">
        <f>IF(YEAR(Table8[[#This Row],[Date]])=2024,B158,0)+IF(ROW(F157)=1,0,F157)</f>
        <v>1844</v>
      </c>
      <c r="G158">
        <f>MAX(Table8[Cumulative 2024])</f>
        <v>5831</v>
      </c>
      <c r="H158">
        <f>IF(YEAR(Table8[[#This Row],[Date]])=2025,B158,0)+IF(ROW(H157)=1,0,H157)</f>
        <v>0</v>
      </c>
      <c r="I158">
        <f>MAX(Table8[Cumulative 2025])</f>
        <v>1377</v>
      </c>
      <c r="J158">
        <f>IF(YEAR(Table8[[#This Row],[Date]])=2026,B158,0)+IF(ROW(J157)=1,0,J157)</f>
        <v>0</v>
      </c>
      <c r="K158">
        <f>MAX(Table8[Cumulative 2026])</f>
        <v>3102</v>
      </c>
    </row>
    <row r="159" spans="1:33" hidden="1" x14ac:dyDescent="0.25">
      <c r="A159" s="1">
        <v>45368</v>
      </c>
      <c r="B159">
        <f>SUM(_xlfn.CHOOSEROWS(Table8[[The Golden Compass]:[end]],ROW()-1))</f>
        <v>0</v>
      </c>
      <c r="C159">
        <f>Table8[[#This Row],[Cumulative 2023 Q4]]+Table8[[#This Row],[Cumulative 2024]]+Table8[[#This Row],[Cumulative 2025]]+Table8[[#This Row],[Cumulative 2026]]</f>
        <v>6039</v>
      </c>
      <c r="D159">
        <f>IF(YEAR(Table8[[#This Row],[Date]])=2023,B159,0)+IF(ROW(D158)=1,0,D158)</f>
        <v>4195</v>
      </c>
      <c r="E159">
        <f>MAX(Table8[Cumulative 2023 Q4])</f>
        <v>4195</v>
      </c>
      <c r="F159">
        <f>IF(YEAR(Table8[[#This Row],[Date]])=2024,B159,0)+IF(ROW(F158)=1,0,F158)</f>
        <v>1844</v>
      </c>
      <c r="G159">
        <f>MAX(Table8[Cumulative 2024])</f>
        <v>5831</v>
      </c>
      <c r="H159">
        <f>IF(YEAR(Table8[[#This Row],[Date]])=2025,B159,0)+IF(ROW(H158)=1,0,H158)</f>
        <v>0</v>
      </c>
      <c r="I159">
        <f>MAX(Table8[Cumulative 2025])</f>
        <v>1377</v>
      </c>
      <c r="J159">
        <f>IF(YEAR(Table8[[#This Row],[Date]])=2026,B159,0)+IF(ROW(J158)=1,0,J158)</f>
        <v>0</v>
      </c>
      <c r="K159">
        <f>MAX(Table8[Cumulative 2026])</f>
        <v>3102</v>
      </c>
    </row>
    <row r="160" spans="1:33" hidden="1" x14ac:dyDescent="0.25">
      <c r="A160" s="1">
        <v>45369</v>
      </c>
      <c r="B160">
        <f>SUM(_xlfn.CHOOSEROWS(Table8[[The Golden Compass]:[end]],ROW()-1))</f>
        <v>0</v>
      </c>
      <c r="C160">
        <f>Table8[[#This Row],[Cumulative 2023 Q4]]+Table8[[#This Row],[Cumulative 2024]]+Table8[[#This Row],[Cumulative 2025]]+Table8[[#This Row],[Cumulative 2026]]</f>
        <v>6039</v>
      </c>
      <c r="D160">
        <f>IF(YEAR(Table8[[#This Row],[Date]])=2023,B160,0)+IF(ROW(D159)=1,0,D159)</f>
        <v>4195</v>
      </c>
      <c r="E160">
        <f>MAX(Table8[Cumulative 2023 Q4])</f>
        <v>4195</v>
      </c>
      <c r="F160">
        <f>IF(YEAR(Table8[[#This Row],[Date]])=2024,B160,0)+IF(ROW(F159)=1,0,F159)</f>
        <v>1844</v>
      </c>
      <c r="G160">
        <f>MAX(Table8[Cumulative 2024])</f>
        <v>5831</v>
      </c>
      <c r="H160">
        <f>IF(YEAR(Table8[[#This Row],[Date]])=2025,B160,0)+IF(ROW(H159)=1,0,H159)</f>
        <v>0</v>
      </c>
      <c r="I160">
        <f>MAX(Table8[Cumulative 2025])</f>
        <v>1377</v>
      </c>
      <c r="J160">
        <f>IF(YEAR(Table8[[#This Row],[Date]])=2026,B160,0)+IF(ROW(J159)=1,0,J159)</f>
        <v>0</v>
      </c>
      <c r="K160">
        <f>MAX(Table8[Cumulative 2026])</f>
        <v>3102</v>
      </c>
    </row>
    <row r="161" spans="1:34" hidden="1" x14ac:dyDescent="0.25">
      <c r="A161" s="1">
        <v>45370</v>
      </c>
      <c r="B161">
        <f>SUM(_xlfn.CHOOSEROWS(Table8[[The Golden Compass]:[end]],ROW()-1))</f>
        <v>0</v>
      </c>
      <c r="C161">
        <f>Table8[[#This Row],[Cumulative 2023 Q4]]+Table8[[#This Row],[Cumulative 2024]]+Table8[[#This Row],[Cumulative 2025]]+Table8[[#This Row],[Cumulative 2026]]</f>
        <v>6039</v>
      </c>
      <c r="D161">
        <f>IF(YEAR(Table8[[#This Row],[Date]])=2023,B161,0)+IF(ROW(D160)=1,0,D160)</f>
        <v>4195</v>
      </c>
      <c r="E161">
        <f>MAX(Table8[Cumulative 2023 Q4])</f>
        <v>4195</v>
      </c>
      <c r="F161">
        <f>IF(YEAR(Table8[[#This Row],[Date]])=2024,B161,0)+IF(ROW(F160)=1,0,F160)</f>
        <v>1844</v>
      </c>
      <c r="G161">
        <f>MAX(Table8[Cumulative 2024])</f>
        <v>5831</v>
      </c>
      <c r="H161">
        <f>IF(YEAR(Table8[[#This Row],[Date]])=2025,B161,0)+IF(ROW(H160)=1,0,H160)</f>
        <v>0</v>
      </c>
      <c r="I161">
        <f>MAX(Table8[Cumulative 2025])</f>
        <v>1377</v>
      </c>
      <c r="J161">
        <f>IF(YEAR(Table8[[#This Row],[Date]])=2026,B161,0)+IF(ROW(J160)=1,0,J160)</f>
        <v>0</v>
      </c>
      <c r="K161">
        <f>MAX(Table8[Cumulative 2026])</f>
        <v>3102</v>
      </c>
    </row>
    <row r="162" spans="1:34" hidden="1" x14ac:dyDescent="0.25">
      <c r="A162" s="1">
        <v>45371</v>
      </c>
      <c r="B162">
        <f>SUM(_xlfn.CHOOSEROWS(Table8[[The Golden Compass]:[end]],ROW()-1))</f>
        <v>0</v>
      </c>
      <c r="C162">
        <f>Table8[[#This Row],[Cumulative 2023 Q4]]+Table8[[#This Row],[Cumulative 2024]]+Table8[[#This Row],[Cumulative 2025]]+Table8[[#This Row],[Cumulative 2026]]</f>
        <v>6039</v>
      </c>
      <c r="D162">
        <f>IF(YEAR(Table8[[#This Row],[Date]])=2023,B162,0)+IF(ROW(D161)=1,0,D161)</f>
        <v>4195</v>
      </c>
      <c r="E162">
        <f>MAX(Table8[Cumulative 2023 Q4])</f>
        <v>4195</v>
      </c>
      <c r="F162">
        <f>IF(YEAR(Table8[[#This Row],[Date]])=2024,B162,0)+IF(ROW(F161)=1,0,F161)</f>
        <v>1844</v>
      </c>
      <c r="G162">
        <f>MAX(Table8[Cumulative 2024])</f>
        <v>5831</v>
      </c>
      <c r="H162">
        <f>IF(YEAR(Table8[[#This Row],[Date]])=2025,B162,0)+IF(ROW(H161)=1,0,H161)</f>
        <v>0</v>
      </c>
      <c r="I162">
        <f>MAX(Table8[Cumulative 2025])</f>
        <v>1377</v>
      </c>
      <c r="J162">
        <f>IF(YEAR(Table8[[#This Row],[Date]])=2026,B162,0)+IF(ROW(J161)=1,0,J161)</f>
        <v>0</v>
      </c>
      <c r="K162">
        <f>MAX(Table8[Cumulative 2026])</f>
        <v>3102</v>
      </c>
    </row>
    <row r="163" spans="1:34" hidden="1" x14ac:dyDescent="0.25">
      <c r="A163" s="1">
        <v>45372</v>
      </c>
      <c r="B163">
        <f>SUM(_xlfn.CHOOSEROWS(Table8[[The Golden Compass]:[end]],ROW()-1))</f>
        <v>0</v>
      </c>
      <c r="C163">
        <f>Table8[[#This Row],[Cumulative 2023 Q4]]+Table8[[#This Row],[Cumulative 2024]]+Table8[[#This Row],[Cumulative 2025]]+Table8[[#This Row],[Cumulative 2026]]</f>
        <v>6039</v>
      </c>
      <c r="D163">
        <f>IF(YEAR(Table8[[#This Row],[Date]])=2023,B163,0)+IF(ROW(D162)=1,0,D162)</f>
        <v>4195</v>
      </c>
      <c r="E163">
        <f>MAX(Table8[Cumulative 2023 Q4])</f>
        <v>4195</v>
      </c>
      <c r="F163">
        <f>IF(YEAR(Table8[[#This Row],[Date]])=2024,B163,0)+IF(ROW(F162)=1,0,F162)</f>
        <v>1844</v>
      </c>
      <c r="G163">
        <f>MAX(Table8[Cumulative 2024])</f>
        <v>5831</v>
      </c>
      <c r="H163">
        <f>IF(YEAR(Table8[[#This Row],[Date]])=2025,B163,0)+IF(ROW(H162)=1,0,H162)</f>
        <v>0</v>
      </c>
      <c r="I163">
        <f>MAX(Table8[Cumulative 2025])</f>
        <v>1377</v>
      </c>
      <c r="J163">
        <f>IF(YEAR(Table8[[#This Row],[Date]])=2026,B163,0)+IF(ROW(J162)=1,0,J162)</f>
        <v>0</v>
      </c>
      <c r="K163">
        <f>MAX(Table8[Cumulative 2026])</f>
        <v>3102</v>
      </c>
    </row>
    <row r="164" spans="1:34" hidden="1" x14ac:dyDescent="0.25">
      <c r="A164" s="1">
        <v>45373</v>
      </c>
      <c r="B164">
        <f>SUM(_xlfn.CHOOSEROWS(Table8[[The Golden Compass]:[end]],ROW()-1))</f>
        <v>0</v>
      </c>
      <c r="C164">
        <f>Table8[[#This Row],[Cumulative 2023 Q4]]+Table8[[#This Row],[Cumulative 2024]]+Table8[[#This Row],[Cumulative 2025]]+Table8[[#This Row],[Cumulative 2026]]</f>
        <v>6039</v>
      </c>
      <c r="D164">
        <f>IF(YEAR(Table8[[#This Row],[Date]])=2023,B164,0)+IF(ROW(D163)=1,0,D163)</f>
        <v>4195</v>
      </c>
      <c r="E164">
        <f>MAX(Table8[Cumulative 2023 Q4])</f>
        <v>4195</v>
      </c>
      <c r="F164">
        <f>IF(YEAR(Table8[[#This Row],[Date]])=2024,B164,0)+IF(ROW(F163)=1,0,F163)</f>
        <v>1844</v>
      </c>
      <c r="G164">
        <f>MAX(Table8[Cumulative 2024])</f>
        <v>5831</v>
      </c>
      <c r="H164">
        <f>IF(YEAR(Table8[[#This Row],[Date]])=2025,B164,0)+IF(ROW(H163)=1,0,H163)</f>
        <v>0</v>
      </c>
      <c r="I164">
        <f>MAX(Table8[Cumulative 2025])</f>
        <v>1377</v>
      </c>
      <c r="J164">
        <f>IF(YEAR(Table8[[#This Row],[Date]])=2026,B164,0)+IF(ROW(J163)=1,0,J163)</f>
        <v>0</v>
      </c>
      <c r="K164">
        <f>MAX(Table8[Cumulative 2026])</f>
        <v>3102</v>
      </c>
    </row>
    <row r="165" spans="1:34" hidden="1" x14ac:dyDescent="0.25">
      <c r="A165" s="1">
        <v>45374</v>
      </c>
      <c r="B165">
        <f>SUM(_xlfn.CHOOSEROWS(Table8[[The Golden Compass]:[end]],ROW()-1))</f>
        <v>0</v>
      </c>
      <c r="C165">
        <f>Table8[[#This Row],[Cumulative 2023 Q4]]+Table8[[#This Row],[Cumulative 2024]]+Table8[[#This Row],[Cumulative 2025]]+Table8[[#This Row],[Cumulative 2026]]</f>
        <v>6039</v>
      </c>
      <c r="D165">
        <f>IF(YEAR(Table8[[#This Row],[Date]])=2023,B165,0)+IF(ROW(D164)=1,0,D164)</f>
        <v>4195</v>
      </c>
      <c r="E165">
        <f>MAX(Table8[Cumulative 2023 Q4])</f>
        <v>4195</v>
      </c>
      <c r="F165">
        <f>IF(YEAR(Table8[[#This Row],[Date]])=2024,B165,0)+IF(ROW(F164)=1,0,F164)</f>
        <v>1844</v>
      </c>
      <c r="G165">
        <f>MAX(Table8[Cumulative 2024])</f>
        <v>5831</v>
      </c>
      <c r="H165">
        <f>IF(YEAR(Table8[[#This Row],[Date]])=2025,B165,0)+IF(ROW(H164)=1,0,H164)</f>
        <v>0</v>
      </c>
      <c r="I165">
        <f>MAX(Table8[Cumulative 2025])</f>
        <v>1377</v>
      </c>
      <c r="J165">
        <f>IF(YEAR(Table8[[#This Row],[Date]])=2026,B165,0)+IF(ROW(J164)=1,0,J164)</f>
        <v>0</v>
      </c>
      <c r="K165">
        <f>MAX(Table8[Cumulative 2026])</f>
        <v>3102</v>
      </c>
    </row>
    <row r="166" spans="1:34" hidden="1" x14ac:dyDescent="0.25">
      <c r="A166" s="1">
        <v>45375</v>
      </c>
      <c r="B166">
        <f>SUM(_xlfn.CHOOSEROWS(Table8[[The Golden Compass]:[end]],ROW()-1))</f>
        <v>56</v>
      </c>
      <c r="C166">
        <f>Table8[[#This Row],[Cumulative 2023 Q4]]+Table8[[#This Row],[Cumulative 2024]]+Table8[[#This Row],[Cumulative 2025]]+Table8[[#This Row],[Cumulative 2026]]</f>
        <v>6095</v>
      </c>
      <c r="D166">
        <f>IF(YEAR(Table8[[#This Row],[Date]])=2023,B166,0)+IF(ROW(D165)=1,0,D165)</f>
        <v>4195</v>
      </c>
      <c r="E166">
        <f>MAX(Table8[Cumulative 2023 Q4])</f>
        <v>4195</v>
      </c>
      <c r="F166">
        <f>IF(YEAR(Table8[[#This Row],[Date]])=2024,B166,0)+IF(ROW(F165)=1,0,F165)</f>
        <v>1900</v>
      </c>
      <c r="G166">
        <f>MAX(Table8[Cumulative 2024])</f>
        <v>5831</v>
      </c>
      <c r="H166">
        <f>IF(YEAR(Table8[[#This Row],[Date]])=2025,B166,0)+IF(ROW(H165)=1,0,H165)</f>
        <v>0</v>
      </c>
      <c r="I166">
        <f>MAX(Table8[Cumulative 2025])</f>
        <v>1377</v>
      </c>
      <c r="J166">
        <f>IF(YEAR(Table8[[#This Row],[Date]])=2026,B166,0)+IF(ROW(J165)=1,0,J165)</f>
        <v>0</v>
      </c>
      <c r="K166">
        <f>MAX(Table8[Cumulative 2026])</f>
        <v>3102</v>
      </c>
      <c r="AG166">
        <v>56</v>
      </c>
    </row>
    <row r="167" spans="1:34" hidden="1" x14ac:dyDescent="0.25">
      <c r="A167" s="1">
        <v>45376</v>
      </c>
      <c r="B167">
        <f>SUM(_xlfn.CHOOSEROWS(Table8[[The Golden Compass]:[end]],ROW()-1))</f>
        <v>0</v>
      </c>
      <c r="C167">
        <f>Table8[[#This Row],[Cumulative 2023 Q4]]+Table8[[#This Row],[Cumulative 2024]]+Table8[[#This Row],[Cumulative 2025]]+Table8[[#This Row],[Cumulative 2026]]</f>
        <v>6095</v>
      </c>
      <c r="D167">
        <f>IF(YEAR(Table8[[#This Row],[Date]])=2023,B167,0)+IF(ROW(D166)=1,0,D166)</f>
        <v>4195</v>
      </c>
      <c r="E167">
        <f>MAX(Table8[Cumulative 2023 Q4])</f>
        <v>4195</v>
      </c>
      <c r="F167">
        <f>IF(YEAR(Table8[[#This Row],[Date]])=2024,B167,0)+IF(ROW(F166)=1,0,F166)</f>
        <v>1900</v>
      </c>
      <c r="G167">
        <f>MAX(Table8[Cumulative 2024])</f>
        <v>5831</v>
      </c>
      <c r="H167">
        <f>IF(YEAR(Table8[[#This Row],[Date]])=2025,B167,0)+IF(ROW(H166)=1,0,H166)</f>
        <v>0</v>
      </c>
      <c r="I167">
        <f>MAX(Table8[Cumulative 2025])</f>
        <v>1377</v>
      </c>
      <c r="J167">
        <f>IF(YEAR(Table8[[#This Row],[Date]])=2026,B167,0)+IF(ROW(J166)=1,0,J166)</f>
        <v>0</v>
      </c>
      <c r="K167">
        <f>MAX(Table8[Cumulative 2026])</f>
        <v>3102</v>
      </c>
    </row>
    <row r="168" spans="1:34" hidden="1" x14ac:dyDescent="0.25">
      <c r="A168" s="1">
        <v>45377</v>
      </c>
      <c r="B168">
        <f>SUM(_xlfn.CHOOSEROWS(Table8[[The Golden Compass]:[end]],ROW()-1))</f>
        <v>0</v>
      </c>
      <c r="C168">
        <f>Table8[[#This Row],[Cumulative 2023 Q4]]+Table8[[#This Row],[Cumulative 2024]]+Table8[[#This Row],[Cumulative 2025]]+Table8[[#This Row],[Cumulative 2026]]</f>
        <v>6095</v>
      </c>
      <c r="D168">
        <f>IF(YEAR(Table8[[#This Row],[Date]])=2023,B168,0)+IF(ROW(D167)=1,0,D167)</f>
        <v>4195</v>
      </c>
      <c r="E168">
        <f>MAX(Table8[Cumulative 2023 Q4])</f>
        <v>4195</v>
      </c>
      <c r="F168">
        <f>IF(YEAR(Table8[[#This Row],[Date]])=2024,B168,0)+IF(ROW(F167)=1,0,F167)</f>
        <v>1900</v>
      </c>
      <c r="G168">
        <f>MAX(Table8[Cumulative 2024])</f>
        <v>5831</v>
      </c>
      <c r="H168">
        <f>IF(YEAR(Table8[[#This Row],[Date]])=2025,B168,0)+IF(ROW(H167)=1,0,H167)</f>
        <v>0</v>
      </c>
      <c r="I168">
        <f>MAX(Table8[Cumulative 2025])</f>
        <v>1377</v>
      </c>
      <c r="J168">
        <f>IF(YEAR(Table8[[#This Row],[Date]])=2026,B168,0)+IF(ROW(J167)=1,0,J167)</f>
        <v>0</v>
      </c>
      <c r="K168">
        <f>MAX(Table8[Cumulative 2026])</f>
        <v>3102</v>
      </c>
    </row>
    <row r="169" spans="1:34" hidden="1" x14ac:dyDescent="0.25">
      <c r="A169" s="1">
        <v>45378</v>
      </c>
      <c r="B169">
        <f>SUM(_xlfn.CHOOSEROWS(Table8[[The Golden Compass]:[end]],ROW()-1))</f>
        <v>49</v>
      </c>
      <c r="C169">
        <f>Table8[[#This Row],[Cumulative 2023 Q4]]+Table8[[#This Row],[Cumulative 2024]]+Table8[[#This Row],[Cumulative 2025]]+Table8[[#This Row],[Cumulative 2026]]</f>
        <v>6144</v>
      </c>
      <c r="D169">
        <f>IF(YEAR(Table8[[#This Row],[Date]])=2023,B169,0)+IF(ROW(D168)=1,0,D168)</f>
        <v>4195</v>
      </c>
      <c r="E169">
        <f>MAX(Table8[Cumulative 2023 Q4])</f>
        <v>4195</v>
      </c>
      <c r="F169">
        <f>IF(YEAR(Table8[[#This Row],[Date]])=2024,B169,0)+IF(ROW(F168)=1,0,F168)</f>
        <v>1949</v>
      </c>
      <c r="G169">
        <f>MAX(Table8[Cumulative 2024])</f>
        <v>5831</v>
      </c>
      <c r="H169">
        <f>IF(YEAR(Table8[[#This Row],[Date]])=2025,B169,0)+IF(ROW(H168)=1,0,H168)</f>
        <v>0</v>
      </c>
      <c r="I169">
        <f>MAX(Table8[Cumulative 2025])</f>
        <v>1377</v>
      </c>
      <c r="J169">
        <f>IF(YEAR(Table8[[#This Row],[Date]])=2026,B169,0)+IF(ROW(J168)=1,0,J168)</f>
        <v>0</v>
      </c>
      <c r="K169">
        <f>MAX(Table8[Cumulative 2026])</f>
        <v>3102</v>
      </c>
      <c r="AG169">
        <v>49</v>
      </c>
    </row>
    <row r="170" spans="1:34" hidden="1" x14ac:dyDescent="0.25">
      <c r="A170" s="1">
        <v>45379</v>
      </c>
      <c r="B170">
        <f>SUM(_xlfn.CHOOSEROWS(Table8[[The Golden Compass]:[end]],ROW()-1))</f>
        <v>0</v>
      </c>
      <c r="C170">
        <f>Table8[[#This Row],[Cumulative 2023 Q4]]+Table8[[#This Row],[Cumulative 2024]]+Table8[[#This Row],[Cumulative 2025]]+Table8[[#This Row],[Cumulative 2026]]</f>
        <v>6144</v>
      </c>
      <c r="D170">
        <f>IF(YEAR(Table8[[#This Row],[Date]])=2023,B170,0)+IF(ROW(D169)=1,0,D169)</f>
        <v>4195</v>
      </c>
      <c r="E170">
        <f>MAX(Table8[Cumulative 2023 Q4])</f>
        <v>4195</v>
      </c>
      <c r="F170">
        <f>IF(YEAR(Table8[[#This Row],[Date]])=2024,B170,0)+IF(ROW(F169)=1,0,F169)</f>
        <v>1949</v>
      </c>
      <c r="G170">
        <f>MAX(Table8[Cumulative 2024])</f>
        <v>5831</v>
      </c>
      <c r="H170">
        <f>IF(YEAR(Table8[[#This Row],[Date]])=2025,B170,0)+IF(ROW(H169)=1,0,H169)</f>
        <v>0</v>
      </c>
      <c r="I170">
        <f>MAX(Table8[Cumulative 2025])</f>
        <v>1377</v>
      </c>
      <c r="J170">
        <f>IF(YEAR(Table8[[#This Row],[Date]])=2026,B170,0)+IF(ROW(J169)=1,0,J169)</f>
        <v>0</v>
      </c>
      <c r="K170">
        <f>MAX(Table8[Cumulative 2026])</f>
        <v>3102</v>
      </c>
    </row>
    <row r="171" spans="1:34" hidden="1" x14ac:dyDescent="0.25">
      <c r="A171" s="1">
        <v>45380</v>
      </c>
      <c r="B171">
        <f>SUM(_xlfn.CHOOSEROWS(Table8[[The Golden Compass]:[end]],ROW()-1))</f>
        <v>0</v>
      </c>
      <c r="C171">
        <f>Table8[[#This Row],[Cumulative 2023 Q4]]+Table8[[#This Row],[Cumulative 2024]]+Table8[[#This Row],[Cumulative 2025]]+Table8[[#This Row],[Cumulative 2026]]</f>
        <v>6144</v>
      </c>
      <c r="D171">
        <f>IF(YEAR(Table8[[#This Row],[Date]])=2023,B171,0)+IF(ROW(D170)=1,0,D170)</f>
        <v>4195</v>
      </c>
      <c r="E171">
        <f>MAX(Table8[Cumulative 2023 Q4])</f>
        <v>4195</v>
      </c>
      <c r="F171">
        <f>IF(YEAR(Table8[[#This Row],[Date]])=2024,B171,0)+IF(ROW(F170)=1,0,F170)</f>
        <v>1949</v>
      </c>
      <c r="G171">
        <f>MAX(Table8[Cumulative 2024])</f>
        <v>5831</v>
      </c>
      <c r="H171">
        <f>IF(YEAR(Table8[[#This Row],[Date]])=2025,B171,0)+IF(ROW(H170)=1,0,H170)</f>
        <v>0</v>
      </c>
      <c r="I171">
        <f>MAX(Table8[Cumulative 2025])</f>
        <v>1377</v>
      </c>
      <c r="J171">
        <f>IF(YEAR(Table8[[#This Row],[Date]])=2026,B171,0)+IF(ROW(J170)=1,0,J170)</f>
        <v>0</v>
      </c>
      <c r="K171">
        <f>MAX(Table8[Cumulative 2026])</f>
        <v>3102</v>
      </c>
    </row>
    <row r="172" spans="1:34" hidden="1" x14ac:dyDescent="0.25">
      <c r="A172" s="1">
        <v>45381</v>
      </c>
      <c r="B172">
        <f>SUM(_xlfn.CHOOSEROWS(Table8[[The Golden Compass]:[end]],ROW()-1))</f>
        <v>0</v>
      </c>
      <c r="C172">
        <f>Table8[[#This Row],[Cumulative 2023 Q4]]+Table8[[#This Row],[Cumulative 2024]]+Table8[[#This Row],[Cumulative 2025]]+Table8[[#This Row],[Cumulative 2026]]</f>
        <v>6144</v>
      </c>
      <c r="D172">
        <f>IF(YEAR(Table8[[#This Row],[Date]])=2023,B172,0)+IF(ROW(D171)=1,0,D171)</f>
        <v>4195</v>
      </c>
      <c r="E172">
        <f>MAX(Table8[Cumulative 2023 Q4])</f>
        <v>4195</v>
      </c>
      <c r="F172">
        <f>IF(YEAR(Table8[[#This Row],[Date]])=2024,B172,0)+IF(ROW(F171)=1,0,F171)</f>
        <v>1949</v>
      </c>
      <c r="G172">
        <f>MAX(Table8[Cumulative 2024])</f>
        <v>5831</v>
      </c>
      <c r="H172">
        <f>IF(YEAR(Table8[[#This Row],[Date]])=2025,B172,0)+IF(ROW(H171)=1,0,H171)</f>
        <v>0</v>
      </c>
      <c r="I172">
        <f>MAX(Table8[Cumulative 2025])</f>
        <v>1377</v>
      </c>
      <c r="J172">
        <f>IF(YEAR(Table8[[#This Row],[Date]])=2026,B172,0)+IF(ROW(J171)=1,0,J171)</f>
        <v>0</v>
      </c>
      <c r="K172">
        <f>MAX(Table8[Cumulative 2026])</f>
        <v>3102</v>
      </c>
    </row>
    <row r="173" spans="1:34" hidden="1" x14ac:dyDescent="0.25">
      <c r="A173" s="1">
        <v>45382</v>
      </c>
      <c r="B173">
        <f>SUM(_xlfn.CHOOSEROWS(Table8[[The Golden Compass]:[end]],ROW()-1))</f>
        <v>75</v>
      </c>
      <c r="C173">
        <f>Table8[[#This Row],[Cumulative 2023 Q4]]+Table8[[#This Row],[Cumulative 2024]]+Table8[[#This Row],[Cumulative 2025]]+Table8[[#This Row],[Cumulative 2026]]</f>
        <v>6219</v>
      </c>
      <c r="D173">
        <f>IF(YEAR(Table8[[#This Row],[Date]])=2023,B173,0)+IF(ROW(D172)=1,0,D172)</f>
        <v>4195</v>
      </c>
      <c r="E173">
        <f>MAX(Table8[Cumulative 2023 Q4])</f>
        <v>4195</v>
      </c>
      <c r="F173">
        <f>IF(YEAR(Table8[[#This Row],[Date]])=2024,B173,0)+IF(ROW(F172)=1,0,F172)</f>
        <v>2024</v>
      </c>
      <c r="G173">
        <f>MAX(Table8[Cumulative 2024])</f>
        <v>5831</v>
      </c>
      <c r="H173">
        <f>IF(YEAR(Table8[[#This Row],[Date]])=2025,B173,0)+IF(ROW(H172)=1,0,H172)</f>
        <v>0</v>
      </c>
      <c r="I173">
        <f>MAX(Table8[Cumulative 2025])</f>
        <v>1377</v>
      </c>
      <c r="J173">
        <f>IF(YEAR(Table8[[#This Row],[Date]])=2026,B173,0)+IF(ROW(J172)=1,0,J172)</f>
        <v>0</v>
      </c>
      <c r="K173">
        <f>MAX(Table8[Cumulative 2026])</f>
        <v>3102</v>
      </c>
      <c r="AG173">
        <v>75</v>
      </c>
    </row>
    <row r="174" spans="1:34" hidden="1" x14ac:dyDescent="0.25">
      <c r="A174" s="1">
        <v>45383</v>
      </c>
      <c r="B174">
        <f>SUM(_xlfn.CHOOSEROWS(Table8[[The Golden Compass]:[end]],ROW()-1))</f>
        <v>43</v>
      </c>
      <c r="C174">
        <f>Table8[[#This Row],[Cumulative 2023 Q4]]+Table8[[#This Row],[Cumulative 2024]]+Table8[[#This Row],[Cumulative 2025]]+Table8[[#This Row],[Cumulative 2026]]</f>
        <v>6262</v>
      </c>
      <c r="D174">
        <f>IF(YEAR(Table8[[#This Row],[Date]])=2023,B174,0)+IF(ROW(D173)=1,0,D173)</f>
        <v>4195</v>
      </c>
      <c r="E174">
        <f>MAX(Table8[Cumulative 2023 Q4])</f>
        <v>4195</v>
      </c>
      <c r="F174">
        <f>IF(YEAR(Table8[[#This Row],[Date]])=2024,B174,0)+IF(ROW(F173)=1,0,F173)</f>
        <v>2067</v>
      </c>
      <c r="G174">
        <f>MAX(Table8[Cumulative 2024])</f>
        <v>5831</v>
      </c>
      <c r="H174">
        <f>IF(YEAR(Table8[[#This Row],[Date]])=2025,B174,0)+IF(ROW(H173)=1,0,H173)</f>
        <v>0</v>
      </c>
      <c r="I174">
        <f>MAX(Table8[Cumulative 2025])</f>
        <v>1377</v>
      </c>
      <c r="J174">
        <f>IF(YEAR(Table8[[#This Row],[Date]])=2026,B174,0)+IF(ROW(J173)=1,0,J173)</f>
        <v>0</v>
      </c>
      <c r="K174">
        <f>MAX(Table8[Cumulative 2026])</f>
        <v>3102</v>
      </c>
      <c r="AH174">
        <v>43</v>
      </c>
    </row>
    <row r="175" spans="1:34" hidden="1" x14ac:dyDescent="0.25">
      <c r="A175" s="1">
        <v>45384</v>
      </c>
      <c r="B175">
        <f>SUM(_xlfn.CHOOSEROWS(Table8[[The Golden Compass]:[end]],ROW()-1))</f>
        <v>0</v>
      </c>
      <c r="C175">
        <f>Table8[[#This Row],[Cumulative 2023 Q4]]+Table8[[#This Row],[Cumulative 2024]]+Table8[[#This Row],[Cumulative 2025]]+Table8[[#This Row],[Cumulative 2026]]</f>
        <v>6262</v>
      </c>
      <c r="D175">
        <f>IF(YEAR(Table8[[#This Row],[Date]])=2023,B175,0)+IF(ROW(D174)=1,0,D174)</f>
        <v>4195</v>
      </c>
      <c r="E175">
        <f>MAX(Table8[Cumulative 2023 Q4])</f>
        <v>4195</v>
      </c>
      <c r="F175">
        <f>IF(YEAR(Table8[[#This Row],[Date]])=2024,B175,0)+IF(ROW(F174)=1,0,F174)</f>
        <v>2067</v>
      </c>
      <c r="G175">
        <f>MAX(Table8[Cumulative 2024])</f>
        <v>5831</v>
      </c>
      <c r="H175">
        <f>IF(YEAR(Table8[[#This Row],[Date]])=2025,B175,0)+IF(ROW(H174)=1,0,H174)</f>
        <v>0</v>
      </c>
      <c r="I175">
        <f>MAX(Table8[Cumulative 2025])</f>
        <v>1377</v>
      </c>
      <c r="J175">
        <f>IF(YEAR(Table8[[#This Row],[Date]])=2026,B175,0)+IF(ROW(J174)=1,0,J174)</f>
        <v>0</v>
      </c>
      <c r="K175">
        <f>MAX(Table8[Cumulative 2026])</f>
        <v>3102</v>
      </c>
    </row>
    <row r="176" spans="1:34" hidden="1" x14ac:dyDescent="0.25">
      <c r="A176" s="1">
        <v>45385</v>
      </c>
      <c r="B176">
        <f>SUM(_xlfn.CHOOSEROWS(Table8[[The Golden Compass]:[end]],ROW()-1))</f>
        <v>83</v>
      </c>
      <c r="C176">
        <f>Table8[[#This Row],[Cumulative 2023 Q4]]+Table8[[#This Row],[Cumulative 2024]]+Table8[[#This Row],[Cumulative 2025]]+Table8[[#This Row],[Cumulative 2026]]</f>
        <v>6345</v>
      </c>
      <c r="D176">
        <f>IF(YEAR(Table8[[#This Row],[Date]])=2023,B176,0)+IF(ROW(D175)=1,0,D175)</f>
        <v>4195</v>
      </c>
      <c r="E176">
        <f>MAX(Table8[Cumulative 2023 Q4])</f>
        <v>4195</v>
      </c>
      <c r="F176">
        <f>IF(YEAR(Table8[[#This Row],[Date]])=2024,B176,0)+IF(ROW(F175)=1,0,F175)</f>
        <v>2150</v>
      </c>
      <c r="G176">
        <f>MAX(Table8[Cumulative 2024])</f>
        <v>5831</v>
      </c>
      <c r="H176">
        <f>IF(YEAR(Table8[[#This Row],[Date]])=2025,B176,0)+IF(ROW(H175)=1,0,H175)</f>
        <v>0</v>
      </c>
      <c r="I176">
        <f>MAX(Table8[Cumulative 2025])</f>
        <v>1377</v>
      </c>
      <c r="J176">
        <f>IF(YEAR(Table8[[#This Row],[Date]])=2026,B176,0)+IF(ROW(J175)=1,0,J175)</f>
        <v>0</v>
      </c>
      <c r="K176">
        <f>MAX(Table8[Cumulative 2026])</f>
        <v>3102</v>
      </c>
      <c r="AH176">
        <v>83</v>
      </c>
    </row>
    <row r="177" spans="1:34" hidden="1" x14ac:dyDescent="0.25">
      <c r="A177" s="1">
        <v>45386</v>
      </c>
      <c r="B177">
        <f>SUM(_xlfn.CHOOSEROWS(Table8[[The Golden Compass]:[end]],ROW()-1))</f>
        <v>0</v>
      </c>
      <c r="C177">
        <f>Table8[[#This Row],[Cumulative 2023 Q4]]+Table8[[#This Row],[Cumulative 2024]]+Table8[[#This Row],[Cumulative 2025]]+Table8[[#This Row],[Cumulative 2026]]</f>
        <v>6345</v>
      </c>
      <c r="D177">
        <f>IF(YEAR(Table8[[#This Row],[Date]])=2023,B177,0)+IF(ROW(D176)=1,0,D176)</f>
        <v>4195</v>
      </c>
      <c r="E177">
        <f>MAX(Table8[Cumulative 2023 Q4])</f>
        <v>4195</v>
      </c>
      <c r="F177">
        <f>IF(YEAR(Table8[[#This Row],[Date]])=2024,B177,0)+IF(ROW(F176)=1,0,F176)</f>
        <v>2150</v>
      </c>
      <c r="G177">
        <f>MAX(Table8[Cumulative 2024])</f>
        <v>5831</v>
      </c>
      <c r="H177">
        <f>IF(YEAR(Table8[[#This Row],[Date]])=2025,B177,0)+IF(ROW(H176)=1,0,H176)</f>
        <v>0</v>
      </c>
      <c r="I177">
        <f>MAX(Table8[Cumulative 2025])</f>
        <v>1377</v>
      </c>
      <c r="J177">
        <f>IF(YEAR(Table8[[#This Row],[Date]])=2026,B177,0)+IF(ROW(J176)=1,0,J176)</f>
        <v>0</v>
      </c>
      <c r="K177">
        <f>MAX(Table8[Cumulative 2026])</f>
        <v>3102</v>
      </c>
    </row>
    <row r="178" spans="1:34" hidden="1" x14ac:dyDescent="0.25">
      <c r="A178" s="1">
        <v>45387</v>
      </c>
      <c r="B178">
        <f>SUM(_xlfn.CHOOSEROWS(Table8[[The Golden Compass]:[end]],ROW()-1))</f>
        <v>31</v>
      </c>
      <c r="C178">
        <f>Table8[[#This Row],[Cumulative 2023 Q4]]+Table8[[#This Row],[Cumulative 2024]]+Table8[[#This Row],[Cumulative 2025]]+Table8[[#This Row],[Cumulative 2026]]</f>
        <v>6376</v>
      </c>
      <c r="D178">
        <f>IF(YEAR(Table8[[#This Row],[Date]])=2023,B178,0)+IF(ROW(D177)=1,0,D177)</f>
        <v>4195</v>
      </c>
      <c r="E178">
        <f>MAX(Table8[Cumulative 2023 Q4])</f>
        <v>4195</v>
      </c>
      <c r="F178">
        <f>IF(YEAR(Table8[[#This Row],[Date]])=2024,B178,0)+IF(ROW(F177)=1,0,F177)</f>
        <v>2181</v>
      </c>
      <c r="G178">
        <f>MAX(Table8[Cumulative 2024])</f>
        <v>5831</v>
      </c>
      <c r="H178">
        <f>IF(YEAR(Table8[[#This Row],[Date]])=2025,B178,0)+IF(ROW(H177)=1,0,H177)</f>
        <v>0</v>
      </c>
      <c r="I178">
        <f>MAX(Table8[Cumulative 2025])</f>
        <v>1377</v>
      </c>
      <c r="J178">
        <f>IF(YEAR(Table8[[#This Row],[Date]])=2026,B178,0)+IF(ROW(J177)=1,0,J177)</f>
        <v>0</v>
      </c>
      <c r="K178">
        <f>MAX(Table8[Cumulative 2026])</f>
        <v>3102</v>
      </c>
      <c r="AH178">
        <v>31</v>
      </c>
    </row>
    <row r="179" spans="1:34" hidden="1" x14ac:dyDescent="0.25">
      <c r="A179" s="1">
        <v>45388</v>
      </c>
      <c r="B179">
        <f>SUM(_xlfn.CHOOSEROWS(Table8[[The Golden Compass]:[end]],ROW()-1))</f>
        <v>25</v>
      </c>
      <c r="C179">
        <f>Table8[[#This Row],[Cumulative 2023 Q4]]+Table8[[#This Row],[Cumulative 2024]]+Table8[[#This Row],[Cumulative 2025]]+Table8[[#This Row],[Cumulative 2026]]</f>
        <v>6401</v>
      </c>
      <c r="D179">
        <f>IF(YEAR(Table8[[#This Row],[Date]])=2023,B179,0)+IF(ROW(D178)=1,0,D178)</f>
        <v>4195</v>
      </c>
      <c r="E179">
        <f>MAX(Table8[Cumulative 2023 Q4])</f>
        <v>4195</v>
      </c>
      <c r="F179">
        <f>IF(YEAR(Table8[[#This Row],[Date]])=2024,B179,0)+IF(ROW(F178)=1,0,F178)</f>
        <v>2206</v>
      </c>
      <c r="G179">
        <f>MAX(Table8[Cumulative 2024])</f>
        <v>5831</v>
      </c>
      <c r="H179">
        <f>IF(YEAR(Table8[[#This Row],[Date]])=2025,B179,0)+IF(ROW(H178)=1,0,H178)</f>
        <v>0</v>
      </c>
      <c r="I179">
        <f>MAX(Table8[Cumulative 2025])</f>
        <v>1377</v>
      </c>
      <c r="J179">
        <f>IF(YEAR(Table8[[#This Row],[Date]])=2026,B179,0)+IF(ROW(J178)=1,0,J178)</f>
        <v>0</v>
      </c>
      <c r="K179">
        <f>MAX(Table8[Cumulative 2026])</f>
        <v>3102</v>
      </c>
      <c r="AH179">
        <v>25</v>
      </c>
    </row>
    <row r="180" spans="1:34" hidden="1" x14ac:dyDescent="0.25">
      <c r="A180" s="1">
        <v>45389</v>
      </c>
      <c r="B180">
        <f>SUM(_xlfn.CHOOSEROWS(Table8[[The Golden Compass]:[end]],ROW()-1))</f>
        <v>0</v>
      </c>
      <c r="C180">
        <f>Table8[[#This Row],[Cumulative 2023 Q4]]+Table8[[#This Row],[Cumulative 2024]]+Table8[[#This Row],[Cumulative 2025]]+Table8[[#This Row],[Cumulative 2026]]</f>
        <v>6401</v>
      </c>
      <c r="D180">
        <f>IF(YEAR(Table8[[#This Row],[Date]])=2023,B180,0)+IF(ROW(D179)=1,0,D179)</f>
        <v>4195</v>
      </c>
      <c r="E180">
        <f>MAX(Table8[Cumulative 2023 Q4])</f>
        <v>4195</v>
      </c>
      <c r="F180">
        <f>IF(YEAR(Table8[[#This Row],[Date]])=2024,B180,0)+IF(ROW(F179)=1,0,F179)</f>
        <v>2206</v>
      </c>
      <c r="G180">
        <f>MAX(Table8[Cumulative 2024])</f>
        <v>5831</v>
      </c>
      <c r="H180">
        <f>IF(YEAR(Table8[[#This Row],[Date]])=2025,B180,0)+IF(ROW(H179)=1,0,H179)</f>
        <v>0</v>
      </c>
      <c r="I180">
        <f>MAX(Table8[Cumulative 2025])</f>
        <v>1377</v>
      </c>
      <c r="J180">
        <f>IF(YEAR(Table8[[#This Row],[Date]])=2026,B180,0)+IF(ROW(J179)=1,0,J179)</f>
        <v>0</v>
      </c>
      <c r="K180">
        <f>MAX(Table8[Cumulative 2026])</f>
        <v>3102</v>
      </c>
    </row>
    <row r="181" spans="1:34" hidden="1" x14ac:dyDescent="0.25">
      <c r="A181" s="1">
        <v>45390</v>
      </c>
      <c r="B181">
        <f>SUM(_xlfn.CHOOSEROWS(Table8[[The Golden Compass]:[end]],ROW()-1))</f>
        <v>0</v>
      </c>
      <c r="C181">
        <f>Table8[[#This Row],[Cumulative 2023 Q4]]+Table8[[#This Row],[Cumulative 2024]]+Table8[[#This Row],[Cumulative 2025]]+Table8[[#This Row],[Cumulative 2026]]</f>
        <v>6401</v>
      </c>
      <c r="D181">
        <f>IF(YEAR(Table8[[#This Row],[Date]])=2023,B181,0)+IF(ROW(D180)=1,0,D180)</f>
        <v>4195</v>
      </c>
      <c r="E181">
        <f>MAX(Table8[Cumulative 2023 Q4])</f>
        <v>4195</v>
      </c>
      <c r="F181">
        <f>IF(YEAR(Table8[[#This Row],[Date]])=2024,B181,0)+IF(ROW(F180)=1,0,F180)</f>
        <v>2206</v>
      </c>
      <c r="G181">
        <f>MAX(Table8[Cumulative 2024])</f>
        <v>5831</v>
      </c>
      <c r="H181">
        <f>IF(YEAR(Table8[[#This Row],[Date]])=2025,B181,0)+IF(ROW(H180)=1,0,H180)</f>
        <v>0</v>
      </c>
      <c r="I181">
        <f>MAX(Table8[Cumulative 2025])</f>
        <v>1377</v>
      </c>
      <c r="J181">
        <f>IF(YEAR(Table8[[#This Row],[Date]])=2026,B181,0)+IF(ROW(J180)=1,0,J180)</f>
        <v>0</v>
      </c>
      <c r="K181">
        <f>MAX(Table8[Cumulative 2026])</f>
        <v>3102</v>
      </c>
    </row>
    <row r="182" spans="1:34" hidden="1" x14ac:dyDescent="0.25">
      <c r="A182" s="1">
        <v>45391</v>
      </c>
      <c r="B182">
        <f>SUM(_xlfn.CHOOSEROWS(Table8[[The Golden Compass]:[end]],ROW()-1))</f>
        <v>0</v>
      </c>
      <c r="C182">
        <f>Table8[[#This Row],[Cumulative 2023 Q4]]+Table8[[#This Row],[Cumulative 2024]]+Table8[[#This Row],[Cumulative 2025]]+Table8[[#This Row],[Cumulative 2026]]</f>
        <v>6401</v>
      </c>
      <c r="D182">
        <f>IF(YEAR(Table8[[#This Row],[Date]])=2023,B182,0)+IF(ROW(D181)=1,0,D181)</f>
        <v>4195</v>
      </c>
      <c r="E182">
        <f>MAX(Table8[Cumulative 2023 Q4])</f>
        <v>4195</v>
      </c>
      <c r="F182">
        <f>IF(YEAR(Table8[[#This Row],[Date]])=2024,B182,0)+IF(ROW(F181)=1,0,F181)</f>
        <v>2206</v>
      </c>
      <c r="G182">
        <f>MAX(Table8[Cumulative 2024])</f>
        <v>5831</v>
      </c>
      <c r="H182">
        <f>IF(YEAR(Table8[[#This Row],[Date]])=2025,B182,0)+IF(ROW(H181)=1,0,H181)</f>
        <v>0</v>
      </c>
      <c r="I182">
        <f>MAX(Table8[Cumulative 2025])</f>
        <v>1377</v>
      </c>
      <c r="J182">
        <f>IF(YEAR(Table8[[#This Row],[Date]])=2026,B182,0)+IF(ROW(J181)=1,0,J181)</f>
        <v>0</v>
      </c>
      <c r="K182">
        <f>MAX(Table8[Cumulative 2026])</f>
        <v>3102</v>
      </c>
    </row>
    <row r="183" spans="1:34" hidden="1" x14ac:dyDescent="0.25">
      <c r="A183" s="1">
        <v>45392</v>
      </c>
      <c r="B183">
        <f>SUM(_xlfn.CHOOSEROWS(Table8[[The Golden Compass]:[end]],ROW()-1))</f>
        <v>32</v>
      </c>
      <c r="C183">
        <f>Table8[[#This Row],[Cumulative 2023 Q4]]+Table8[[#This Row],[Cumulative 2024]]+Table8[[#This Row],[Cumulative 2025]]+Table8[[#This Row],[Cumulative 2026]]</f>
        <v>6433</v>
      </c>
      <c r="D183">
        <f>IF(YEAR(Table8[[#This Row],[Date]])=2023,B183,0)+IF(ROW(D182)=1,0,D182)</f>
        <v>4195</v>
      </c>
      <c r="E183">
        <f>MAX(Table8[Cumulative 2023 Q4])</f>
        <v>4195</v>
      </c>
      <c r="F183">
        <f>IF(YEAR(Table8[[#This Row],[Date]])=2024,B183,0)+IF(ROW(F182)=1,0,F182)</f>
        <v>2238</v>
      </c>
      <c r="G183">
        <f>MAX(Table8[Cumulative 2024])</f>
        <v>5831</v>
      </c>
      <c r="H183">
        <f>IF(YEAR(Table8[[#This Row],[Date]])=2025,B183,0)+IF(ROW(H182)=1,0,H182)</f>
        <v>0</v>
      </c>
      <c r="I183">
        <f>MAX(Table8[Cumulative 2025])</f>
        <v>1377</v>
      </c>
      <c r="J183">
        <f>IF(YEAR(Table8[[#This Row],[Date]])=2026,B183,0)+IF(ROW(J182)=1,0,J182)</f>
        <v>0</v>
      </c>
      <c r="K183">
        <f>MAX(Table8[Cumulative 2026])</f>
        <v>3102</v>
      </c>
      <c r="AH183">
        <v>32</v>
      </c>
    </row>
    <row r="184" spans="1:34" hidden="1" x14ac:dyDescent="0.25">
      <c r="A184" s="1">
        <v>45393</v>
      </c>
      <c r="B184">
        <f>SUM(_xlfn.CHOOSEROWS(Table8[[The Golden Compass]:[end]],ROW()-1))</f>
        <v>0</v>
      </c>
      <c r="C184">
        <f>Table8[[#This Row],[Cumulative 2023 Q4]]+Table8[[#This Row],[Cumulative 2024]]+Table8[[#This Row],[Cumulative 2025]]+Table8[[#This Row],[Cumulative 2026]]</f>
        <v>6433</v>
      </c>
      <c r="D184">
        <f>IF(YEAR(Table8[[#This Row],[Date]])=2023,B184,0)+IF(ROW(D183)=1,0,D183)</f>
        <v>4195</v>
      </c>
      <c r="E184">
        <f>MAX(Table8[Cumulative 2023 Q4])</f>
        <v>4195</v>
      </c>
      <c r="F184">
        <f>IF(YEAR(Table8[[#This Row],[Date]])=2024,B184,0)+IF(ROW(F183)=1,0,F183)</f>
        <v>2238</v>
      </c>
      <c r="G184">
        <f>MAX(Table8[Cumulative 2024])</f>
        <v>5831</v>
      </c>
      <c r="H184">
        <f>IF(YEAR(Table8[[#This Row],[Date]])=2025,B184,0)+IF(ROW(H183)=1,0,H183)</f>
        <v>0</v>
      </c>
      <c r="I184">
        <f>MAX(Table8[Cumulative 2025])</f>
        <v>1377</v>
      </c>
      <c r="J184">
        <f>IF(YEAR(Table8[[#This Row],[Date]])=2026,B184,0)+IF(ROW(J183)=1,0,J183)</f>
        <v>0</v>
      </c>
      <c r="K184">
        <f>MAX(Table8[Cumulative 2026])</f>
        <v>3102</v>
      </c>
    </row>
    <row r="185" spans="1:34" hidden="1" x14ac:dyDescent="0.25">
      <c r="A185" s="1">
        <v>45394</v>
      </c>
      <c r="B185">
        <f>SUM(_xlfn.CHOOSEROWS(Table8[[The Golden Compass]:[end]],ROW()-1))</f>
        <v>0</v>
      </c>
      <c r="C185">
        <f>Table8[[#This Row],[Cumulative 2023 Q4]]+Table8[[#This Row],[Cumulative 2024]]+Table8[[#This Row],[Cumulative 2025]]+Table8[[#This Row],[Cumulative 2026]]</f>
        <v>6433</v>
      </c>
      <c r="D185">
        <f>IF(YEAR(Table8[[#This Row],[Date]])=2023,B185,0)+IF(ROW(D184)=1,0,D184)</f>
        <v>4195</v>
      </c>
      <c r="E185">
        <f>MAX(Table8[Cumulative 2023 Q4])</f>
        <v>4195</v>
      </c>
      <c r="F185">
        <f>IF(YEAR(Table8[[#This Row],[Date]])=2024,B185,0)+IF(ROW(F184)=1,0,F184)</f>
        <v>2238</v>
      </c>
      <c r="G185">
        <f>MAX(Table8[Cumulative 2024])</f>
        <v>5831</v>
      </c>
      <c r="H185">
        <f>IF(YEAR(Table8[[#This Row],[Date]])=2025,B185,0)+IF(ROW(H184)=1,0,H184)</f>
        <v>0</v>
      </c>
      <c r="I185">
        <f>MAX(Table8[Cumulative 2025])</f>
        <v>1377</v>
      </c>
      <c r="J185">
        <f>IF(YEAR(Table8[[#This Row],[Date]])=2026,B185,0)+IF(ROW(J184)=1,0,J184)</f>
        <v>0</v>
      </c>
      <c r="K185">
        <f>MAX(Table8[Cumulative 2026])</f>
        <v>3102</v>
      </c>
    </row>
    <row r="186" spans="1:34" hidden="1" x14ac:dyDescent="0.25">
      <c r="A186" s="1">
        <v>45395</v>
      </c>
      <c r="B186">
        <f>SUM(_xlfn.CHOOSEROWS(Table8[[The Golden Compass]:[end]],ROW()-1))</f>
        <v>0</v>
      </c>
      <c r="C186">
        <f>Table8[[#This Row],[Cumulative 2023 Q4]]+Table8[[#This Row],[Cumulative 2024]]+Table8[[#This Row],[Cumulative 2025]]+Table8[[#This Row],[Cumulative 2026]]</f>
        <v>6433</v>
      </c>
      <c r="D186">
        <f>IF(YEAR(Table8[[#This Row],[Date]])=2023,B186,0)+IF(ROW(D185)=1,0,D185)</f>
        <v>4195</v>
      </c>
      <c r="E186">
        <f>MAX(Table8[Cumulative 2023 Q4])</f>
        <v>4195</v>
      </c>
      <c r="F186">
        <f>IF(YEAR(Table8[[#This Row],[Date]])=2024,B186,0)+IF(ROW(F185)=1,0,F185)</f>
        <v>2238</v>
      </c>
      <c r="G186">
        <f>MAX(Table8[Cumulative 2024])</f>
        <v>5831</v>
      </c>
      <c r="H186">
        <f>IF(YEAR(Table8[[#This Row],[Date]])=2025,B186,0)+IF(ROW(H185)=1,0,H185)</f>
        <v>0</v>
      </c>
      <c r="I186">
        <f>MAX(Table8[Cumulative 2025])</f>
        <v>1377</v>
      </c>
      <c r="J186">
        <f>IF(YEAR(Table8[[#This Row],[Date]])=2026,B186,0)+IF(ROW(J185)=1,0,J185)</f>
        <v>0</v>
      </c>
      <c r="K186">
        <f>MAX(Table8[Cumulative 2026])</f>
        <v>3102</v>
      </c>
    </row>
    <row r="187" spans="1:34" hidden="1" x14ac:dyDescent="0.25">
      <c r="A187" s="1">
        <v>45396</v>
      </c>
      <c r="B187">
        <f>SUM(_xlfn.CHOOSEROWS(Table8[[The Golden Compass]:[end]],ROW()-1))</f>
        <v>0</v>
      </c>
      <c r="C187">
        <f>Table8[[#This Row],[Cumulative 2023 Q4]]+Table8[[#This Row],[Cumulative 2024]]+Table8[[#This Row],[Cumulative 2025]]+Table8[[#This Row],[Cumulative 2026]]</f>
        <v>6433</v>
      </c>
      <c r="D187">
        <f>IF(YEAR(Table8[[#This Row],[Date]])=2023,B187,0)+IF(ROW(D186)=1,0,D186)</f>
        <v>4195</v>
      </c>
      <c r="E187">
        <f>MAX(Table8[Cumulative 2023 Q4])</f>
        <v>4195</v>
      </c>
      <c r="F187">
        <f>IF(YEAR(Table8[[#This Row],[Date]])=2024,B187,0)+IF(ROW(F186)=1,0,F186)</f>
        <v>2238</v>
      </c>
      <c r="G187">
        <f>MAX(Table8[Cumulative 2024])</f>
        <v>5831</v>
      </c>
      <c r="H187">
        <f>IF(YEAR(Table8[[#This Row],[Date]])=2025,B187,0)+IF(ROW(H186)=1,0,H186)</f>
        <v>0</v>
      </c>
      <c r="I187">
        <f>MAX(Table8[Cumulative 2025])</f>
        <v>1377</v>
      </c>
      <c r="J187">
        <f>IF(YEAR(Table8[[#This Row],[Date]])=2026,B187,0)+IF(ROW(J186)=1,0,J186)</f>
        <v>0</v>
      </c>
      <c r="K187">
        <f>MAX(Table8[Cumulative 2026])</f>
        <v>3102</v>
      </c>
    </row>
    <row r="188" spans="1:34" hidden="1" x14ac:dyDescent="0.25">
      <c r="A188" s="1">
        <v>45397</v>
      </c>
      <c r="B188">
        <f>SUM(_xlfn.CHOOSEROWS(Table8[[The Golden Compass]:[end]],ROW()-1))</f>
        <v>0</v>
      </c>
      <c r="C188">
        <f>Table8[[#This Row],[Cumulative 2023 Q4]]+Table8[[#This Row],[Cumulative 2024]]+Table8[[#This Row],[Cumulative 2025]]+Table8[[#This Row],[Cumulative 2026]]</f>
        <v>6433</v>
      </c>
      <c r="D188">
        <f>IF(YEAR(Table8[[#This Row],[Date]])=2023,B188,0)+IF(ROW(D187)=1,0,D187)</f>
        <v>4195</v>
      </c>
      <c r="E188">
        <f>MAX(Table8[Cumulative 2023 Q4])</f>
        <v>4195</v>
      </c>
      <c r="F188">
        <f>IF(YEAR(Table8[[#This Row],[Date]])=2024,B188,0)+IF(ROW(F187)=1,0,F187)</f>
        <v>2238</v>
      </c>
      <c r="G188">
        <f>MAX(Table8[Cumulative 2024])</f>
        <v>5831</v>
      </c>
      <c r="H188">
        <f>IF(YEAR(Table8[[#This Row],[Date]])=2025,B188,0)+IF(ROW(H187)=1,0,H187)</f>
        <v>0</v>
      </c>
      <c r="I188">
        <f>MAX(Table8[Cumulative 2025])</f>
        <v>1377</v>
      </c>
      <c r="J188">
        <f>IF(YEAR(Table8[[#This Row],[Date]])=2026,B188,0)+IF(ROW(J187)=1,0,J187)</f>
        <v>0</v>
      </c>
      <c r="K188">
        <f>MAX(Table8[Cumulative 2026])</f>
        <v>3102</v>
      </c>
    </row>
    <row r="189" spans="1:34" hidden="1" x14ac:dyDescent="0.25">
      <c r="A189" s="1">
        <v>45398</v>
      </c>
      <c r="B189">
        <f>SUM(_xlfn.CHOOSEROWS(Table8[[The Golden Compass]:[end]],ROW()-1))</f>
        <v>0</v>
      </c>
      <c r="C189">
        <f>Table8[[#This Row],[Cumulative 2023 Q4]]+Table8[[#This Row],[Cumulative 2024]]+Table8[[#This Row],[Cumulative 2025]]+Table8[[#This Row],[Cumulative 2026]]</f>
        <v>6433</v>
      </c>
      <c r="D189">
        <f>IF(YEAR(Table8[[#This Row],[Date]])=2023,B189,0)+IF(ROW(D188)=1,0,D188)</f>
        <v>4195</v>
      </c>
      <c r="E189">
        <f>MAX(Table8[Cumulative 2023 Q4])</f>
        <v>4195</v>
      </c>
      <c r="F189">
        <f>IF(YEAR(Table8[[#This Row],[Date]])=2024,B189,0)+IF(ROW(F188)=1,0,F188)</f>
        <v>2238</v>
      </c>
      <c r="G189">
        <f>MAX(Table8[Cumulative 2024])</f>
        <v>5831</v>
      </c>
      <c r="H189">
        <f>IF(YEAR(Table8[[#This Row],[Date]])=2025,B189,0)+IF(ROW(H188)=1,0,H188)</f>
        <v>0</v>
      </c>
      <c r="I189">
        <f>MAX(Table8[Cumulative 2025])</f>
        <v>1377</v>
      </c>
      <c r="J189">
        <f>IF(YEAR(Table8[[#This Row],[Date]])=2026,B189,0)+IF(ROW(J188)=1,0,J188)</f>
        <v>0</v>
      </c>
      <c r="K189">
        <f>MAX(Table8[Cumulative 2026])</f>
        <v>3102</v>
      </c>
    </row>
    <row r="190" spans="1:34" hidden="1" x14ac:dyDescent="0.25">
      <c r="A190" s="1">
        <v>45399</v>
      </c>
      <c r="B190">
        <f>SUM(_xlfn.CHOOSEROWS(Table8[[The Golden Compass]:[end]],ROW()-1))</f>
        <v>0</v>
      </c>
      <c r="C190">
        <f>Table8[[#This Row],[Cumulative 2023 Q4]]+Table8[[#This Row],[Cumulative 2024]]+Table8[[#This Row],[Cumulative 2025]]+Table8[[#This Row],[Cumulative 2026]]</f>
        <v>6433</v>
      </c>
      <c r="D190">
        <f>IF(YEAR(Table8[[#This Row],[Date]])=2023,B190,0)+IF(ROW(D189)=1,0,D189)</f>
        <v>4195</v>
      </c>
      <c r="E190">
        <f>MAX(Table8[Cumulative 2023 Q4])</f>
        <v>4195</v>
      </c>
      <c r="F190">
        <f>IF(YEAR(Table8[[#This Row],[Date]])=2024,B190,0)+IF(ROW(F189)=1,0,F189)</f>
        <v>2238</v>
      </c>
      <c r="G190">
        <f>MAX(Table8[Cumulative 2024])</f>
        <v>5831</v>
      </c>
      <c r="H190">
        <f>IF(YEAR(Table8[[#This Row],[Date]])=2025,B190,0)+IF(ROW(H189)=1,0,H189)</f>
        <v>0</v>
      </c>
      <c r="I190">
        <f>MAX(Table8[Cumulative 2025])</f>
        <v>1377</v>
      </c>
      <c r="J190">
        <f>IF(YEAR(Table8[[#This Row],[Date]])=2026,B190,0)+IF(ROW(J189)=1,0,J189)</f>
        <v>0</v>
      </c>
      <c r="K190">
        <f>MAX(Table8[Cumulative 2026])</f>
        <v>3102</v>
      </c>
    </row>
    <row r="191" spans="1:34" hidden="1" x14ac:dyDescent="0.25">
      <c r="A191" s="1">
        <v>45400</v>
      </c>
      <c r="B191">
        <f>SUM(_xlfn.CHOOSEROWS(Table8[[The Golden Compass]:[end]],ROW()-1))</f>
        <v>36</v>
      </c>
      <c r="C191">
        <f>Table8[[#This Row],[Cumulative 2023 Q4]]+Table8[[#This Row],[Cumulative 2024]]+Table8[[#This Row],[Cumulative 2025]]+Table8[[#This Row],[Cumulative 2026]]</f>
        <v>6469</v>
      </c>
      <c r="D191">
        <f>IF(YEAR(Table8[[#This Row],[Date]])=2023,B191,0)+IF(ROW(D190)=1,0,D190)</f>
        <v>4195</v>
      </c>
      <c r="E191">
        <f>MAX(Table8[Cumulative 2023 Q4])</f>
        <v>4195</v>
      </c>
      <c r="F191">
        <f>IF(YEAR(Table8[[#This Row],[Date]])=2024,B191,0)+IF(ROW(F190)=1,0,F190)</f>
        <v>2274</v>
      </c>
      <c r="G191">
        <f>MAX(Table8[Cumulative 2024])</f>
        <v>5831</v>
      </c>
      <c r="H191">
        <f>IF(YEAR(Table8[[#This Row],[Date]])=2025,B191,0)+IF(ROW(H190)=1,0,H190)</f>
        <v>0</v>
      </c>
      <c r="I191">
        <f>MAX(Table8[Cumulative 2025])</f>
        <v>1377</v>
      </c>
      <c r="J191">
        <f>IF(YEAR(Table8[[#This Row],[Date]])=2026,B191,0)+IF(ROW(J190)=1,0,J190)</f>
        <v>0</v>
      </c>
      <c r="K191">
        <f>MAX(Table8[Cumulative 2026])</f>
        <v>3102</v>
      </c>
      <c r="AH191">
        <v>36</v>
      </c>
    </row>
    <row r="192" spans="1:34" hidden="1" x14ac:dyDescent="0.25">
      <c r="A192" s="1">
        <v>45401</v>
      </c>
      <c r="B192">
        <f>SUM(_xlfn.CHOOSEROWS(Table8[[The Golden Compass]:[end]],ROW()-1))</f>
        <v>0</v>
      </c>
      <c r="C192">
        <f>Table8[[#This Row],[Cumulative 2023 Q4]]+Table8[[#This Row],[Cumulative 2024]]+Table8[[#This Row],[Cumulative 2025]]+Table8[[#This Row],[Cumulative 2026]]</f>
        <v>6469</v>
      </c>
      <c r="D192">
        <f>IF(YEAR(Table8[[#This Row],[Date]])=2023,B192,0)+IF(ROW(D191)=1,0,D191)</f>
        <v>4195</v>
      </c>
      <c r="E192">
        <f>MAX(Table8[Cumulative 2023 Q4])</f>
        <v>4195</v>
      </c>
      <c r="F192">
        <f>IF(YEAR(Table8[[#This Row],[Date]])=2024,B192,0)+IF(ROW(F191)=1,0,F191)</f>
        <v>2274</v>
      </c>
      <c r="G192">
        <f>MAX(Table8[Cumulative 2024])</f>
        <v>5831</v>
      </c>
      <c r="H192">
        <f>IF(YEAR(Table8[[#This Row],[Date]])=2025,B192,0)+IF(ROW(H191)=1,0,H191)</f>
        <v>0</v>
      </c>
      <c r="I192">
        <f>MAX(Table8[Cumulative 2025])</f>
        <v>1377</v>
      </c>
      <c r="J192">
        <f>IF(YEAR(Table8[[#This Row],[Date]])=2026,B192,0)+IF(ROW(J191)=1,0,J191)</f>
        <v>0</v>
      </c>
      <c r="K192">
        <f>MAX(Table8[Cumulative 2026])</f>
        <v>3102</v>
      </c>
    </row>
    <row r="193" spans="1:37" hidden="1" x14ac:dyDescent="0.25">
      <c r="A193" s="1">
        <v>45402</v>
      </c>
      <c r="B193">
        <f>SUM(_xlfn.CHOOSEROWS(Table8[[The Golden Compass]:[end]],ROW()-1))</f>
        <v>0</v>
      </c>
      <c r="C193">
        <f>Table8[[#This Row],[Cumulative 2023 Q4]]+Table8[[#This Row],[Cumulative 2024]]+Table8[[#This Row],[Cumulative 2025]]+Table8[[#This Row],[Cumulative 2026]]</f>
        <v>6469</v>
      </c>
      <c r="D193">
        <f>IF(YEAR(Table8[[#This Row],[Date]])=2023,B193,0)+IF(ROW(D192)=1,0,D192)</f>
        <v>4195</v>
      </c>
      <c r="E193">
        <f>MAX(Table8[Cumulative 2023 Q4])</f>
        <v>4195</v>
      </c>
      <c r="F193">
        <f>IF(YEAR(Table8[[#This Row],[Date]])=2024,B193,0)+IF(ROW(F192)=1,0,F192)</f>
        <v>2274</v>
      </c>
      <c r="G193">
        <f>MAX(Table8[Cumulative 2024])</f>
        <v>5831</v>
      </c>
      <c r="H193">
        <f>IF(YEAR(Table8[[#This Row],[Date]])=2025,B193,0)+IF(ROW(H192)=1,0,H192)</f>
        <v>0</v>
      </c>
      <c r="I193">
        <f>MAX(Table8[Cumulative 2025])</f>
        <v>1377</v>
      </c>
      <c r="J193">
        <f>IF(YEAR(Table8[[#This Row],[Date]])=2026,B193,0)+IF(ROW(J192)=1,0,J192)</f>
        <v>0</v>
      </c>
      <c r="K193">
        <f>MAX(Table8[Cumulative 2026])</f>
        <v>3102</v>
      </c>
    </row>
    <row r="194" spans="1:37" hidden="1" x14ac:dyDescent="0.25">
      <c r="A194" s="1">
        <v>45403</v>
      </c>
      <c r="B194">
        <f>SUM(_xlfn.CHOOSEROWS(Table8[[The Golden Compass]:[end]],ROW()-1))</f>
        <v>0</v>
      </c>
      <c r="C194">
        <f>Table8[[#This Row],[Cumulative 2023 Q4]]+Table8[[#This Row],[Cumulative 2024]]+Table8[[#This Row],[Cumulative 2025]]+Table8[[#This Row],[Cumulative 2026]]</f>
        <v>6469</v>
      </c>
      <c r="D194">
        <f>IF(YEAR(Table8[[#This Row],[Date]])=2023,B194,0)+IF(ROW(D193)=1,0,D193)</f>
        <v>4195</v>
      </c>
      <c r="E194">
        <f>MAX(Table8[Cumulative 2023 Q4])</f>
        <v>4195</v>
      </c>
      <c r="F194">
        <f>IF(YEAR(Table8[[#This Row],[Date]])=2024,B194,0)+IF(ROW(F193)=1,0,F193)</f>
        <v>2274</v>
      </c>
      <c r="G194">
        <f>MAX(Table8[Cumulative 2024])</f>
        <v>5831</v>
      </c>
      <c r="H194">
        <f>IF(YEAR(Table8[[#This Row],[Date]])=2025,B194,0)+IF(ROW(H193)=1,0,H193)</f>
        <v>0</v>
      </c>
      <c r="I194">
        <f>MAX(Table8[Cumulative 2025])</f>
        <v>1377</v>
      </c>
      <c r="J194">
        <f>IF(YEAR(Table8[[#This Row],[Date]])=2026,B194,0)+IF(ROW(J193)=1,0,J193)</f>
        <v>0</v>
      </c>
      <c r="K194">
        <f>MAX(Table8[Cumulative 2026])</f>
        <v>3102</v>
      </c>
    </row>
    <row r="195" spans="1:37" hidden="1" x14ac:dyDescent="0.25">
      <c r="A195" s="1">
        <v>45404</v>
      </c>
      <c r="B195">
        <f>SUM(_xlfn.CHOOSEROWS(Table8[[The Golden Compass]:[end]],ROW()-1))</f>
        <v>112</v>
      </c>
      <c r="C195">
        <f>Table8[[#This Row],[Cumulative 2023 Q4]]+Table8[[#This Row],[Cumulative 2024]]+Table8[[#This Row],[Cumulative 2025]]+Table8[[#This Row],[Cumulative 2026]]</f>
        <v>6581</v>
      </c>
      <c r="D195">
        <f>IF(YEAR(Table8[[#This Row],[Date]])=2023,B195,0)+IF(ROW(D194)=1,0,D194)</f>
        <v>4195</v>
      </c>
      <c r="E195">
        <f>MAX(Table8[Cumulative 2023 Q4])</f>
        <v>4195</v>
      </c>
      <c r="F195">
        <f>IF(YEAR(Table8[[#This Row],[Date]])=2024,B195,0)+IF(ROW(F194)=1,0,F194)</f>
        <v>2386</v>
      </c>
      <c r="G195">
        <f>MAX(Table8[Cumulative 2024])</f>
        <v>5831</v>
      </c>
      <c r="H195">
        <f>IF(YEAR(Table8[[#This Row],[Date]])=2025,B195,0)+IF(ROW(H194)=1,0,H194)</f>
        <v>0</v>
      </c>
      <c r="I195">
        <f>MAX(Table8[Cumulative 2025])</f>
        <v>1377</v>
      </c>
      <c r="J195">
        <f>IF(YEAR(Table8[[#This Row],[Date]])=2026,B195,0)+IF(ROW(J194)=1,0,J194)</f>
        <v>0</v>
      </c>
      <c r="K195">
        <f>MAX(Table8[Cumulative 2026])</f>
        <v>3102</v>
      </c>
      <c r="AH195">
        <v>112</v>
      </c>
    </row>
    <row r="196" spans="1:37" hidden="1" x14ac:dyDescent="0.25">
      <c r="A196" s="1">
        <v>45405</v>
      </c>
      <c r="B196">
        <f>SUM(_xlfn.CHOOSEROWS(Table8[[The Golden Compass]:[end]],ROW()-1))</f>
        <v>44</v>
      </c>
      <c r="C196">
        <f>Table8[[#This Row],[Cumulative 2023 Q4]]+Table8[[#This Row],[Cumulative 2024]]+Table8[[#This Row],[Cumulative 2025]]+Table8[[#This Row],[Cumulative 2026]]</f>
        <v>6625</v>
      </c>
      <c r="D196">
        <f>IF(YEAR(Table8[[#This Row],[Date]])=2023,B196,0)+IF(ROW(D195)=1,0,D195)</f>
        <v>4195</v>
      </c>
      <c r="E196">
        <f>MAX(Table8[Cumulative 2023 Q4])</f>
        <v>4195</v>
      </c>
      <c r="F196">
        <f>IF(YEAR(Table8[[#This Row],[Date]])=2024,B196,0)+IF(ROW(F195)=1,0,F195)</f>
        <v>2430</v>
      </c>
      <c r="G196">
        <f>MAX(Table8[Cumulative 2024])</f>
        <v>5831</v>
      </c>
      <c r="H196">
        <f>IF(YEAR(Table8[[#This Row],[Date]])=2025,B196,0)+IF(ROW(H195)=1,0,H195)</f>
        <v>0</v>
      </c>
      <c r="I196">
        <f>MAX(Table8[Cumulative 2025])</f>
        <v>1377</v>
      </c>
      <c r="J196">
        <f>IF(YEAR(Table8[[#This Row],[Date]])=2026,B196,0)+IF(ROW(J195)=1,0,J195)</f>
        <v>0</v>
      </c>
      <c r="K196">
        <f>MAX(Table8[Cumulative 2026])</f>
        <v>3102</v>
      </c>
      <c r="AH196">
        <v>44</v>
      </c>
    </row>
    <row r="197" spans="1:37" hidden="1" x14ac:dyDescent="0.25">
      <c r="A197" s="1">
        <v>45406</v>
      </c>
      <c r="B197">
        <f>SUM(_xlfn.CHOOSEROWS(Table8[[The Golden Compass]:[end]],ROW()-1))</f>
        <v>37</v>
      </c>
      <c r="C197">
        <f>Table8[[#This Row],[Cumulative 2023 Q4]]+Table8[[#This Row],[Cumulative 2024]]+Table8[[#This Row],[Cumulative 2025]]+Table8[[#This Row],[Cumulative 2026]]</f>
        <v>6662</v>
      </c>
      <c r="D197">
        <f>IF(YEAR(Table8[[#This Row],[Date]])=2023,B197,0)+IF(ROW(D196)=1,0,D196)</f>
        <v>4195</v>
      </c>
      <c r="E197">
        <f>MAX(Table8[Cumulative 2023 Q4])</f>
        <v>4195</v>
      </c>
      <c r="F197">
        <f>IF(YEAR(Table8[[#This Row],[Date]])=2024,B197,0)+IF(ROW(F196)=1,0,F196)</f>
        <v>2467</v>
      </c>
      <c r="G197">
        <f>MAX(Table8[Cumulative 2024])</f>
        <v>5831</v>
      </c>
      <c r="H197">
        <f>IF(YEAR(Table8[[#This Row],[Date]])=2025,B197,0)+IF(ROW(H196)=1,0,H196)</f>
        <v>0</v>
      </c>
      <c r="I197">
        <f>MAX(Table8[Cumulative 2025])</f>
        <v>1377</v>
      </c>
      <c r="J197">
        <f>IF(YEAR(Table8[[#This Row],[Date]])=2026,B197,0)+IF(ROW(J196)=1,0,J196)</f>
        <v>0</v>
      </c>
      <c r="K197">
        <f>MAX(Table8[Cumulative 2026])</f>
        <v>3102</v>
      </c>
      <c r="AH197">
        <v>37</v>
      </c>
    </row>
    <row r="198" spans="1:37" hidden="1" x14ac:dyDescent="0.25">
      <c r="A198" s="1">
        <v>45407</v>
      </c>
      <c r="B198">
        <f>SUM(_xlfn.CHOOSEROWS(Table8[[The Golden Compass]:[end]],ROW()-1))</f>
        <v>104</v>
      </c>
      <c r="C198">
        <f>Table8[[#This Row],[Cumulative 2023 Q4]]+Table8[[#This Row],[Cumulative 2024]]+Table8[[#This Row],[Cumulative 2025]]+Table8[[#This Row],[Cumulative 2026]]</f>
        <v>6766</v>
      </c>
      <c r="D198">
        <f>IF(YEAR(Table8[[#This Row],[Date]])=2023,B198,0)+IF(ROW(D197)=1,0,D197)</f>
        <v>4195</v>
      </c>
      <c r="E198">
        <f>MAX(Table8[Cumulative 2023 Q4])</f>
        <v>4195</v>
      </c>
      <c r="F198">
        <f>IF(YEAR(Table8[[#This Row],[Date]])=2024,B198,0)+IF(ROW(F197)=1,0,F197)</f>
        <v>2571</v>
      </c>
      <c r="G198">
        <f>MAX(Table8[Cumulative 2024])</f>
        <v>5831</v>
      </c>
      <c r="H198">
        <f>IF(YEAR(Table8[[#This Row],[Date]])=2025,B198,0)+IF(ROW(H197)=1,0,H197)</f>
        <v>0</v>
      </c>
      <c r="I198">
        <f>MAX(Table8[Cumulative 2025])</f>
        <v>1377</v>
      </c>
      <c r="J198">
        <f>IF(YEAR(Table8[[#This Row],[Date]])=2026,B198,0)+IF(ROW(J197)=1,0,J197)</f>
        <v>0</v>
      </c>
      <c r="K198">
        <f>MAX(Table8[Cumulative 2026])</f>
        <v>3102</v>
      </c>
      <c r="AH198">
        <v>104</v>
      </c>
    </row>
    <row r="199" spans="1:37" hidden="1" x14ac:dyDescent="0.25">
      <c r="A199" s="1">
        <v>45408</v>
      </c>
      <c r="B199">
        <f>SUM(_xlfn.CHOOSEROWS(Table8[[The Golden Compass]:[end]],ROW()-1))</f>
        <v>79</v>
      </c>
      <c r="C199">
        <f>Table8[[#This Row],[Cumulative 2023 Q4]]+Table8[[#This Row],[Cumulative 2024]]+Table8[[#This Row],[Cumulative 2025]]+Table8[[#This Row],[Cumulative 2026]]</f>
        <v>6845</v>
      </c>
      <c r="D199">
        <f>IF(YEAR(Table8[[#This Row],[Date]])=2023,B199,0)+IF(ROW(D198)=1,0,D198)</f>
        <v>4195</v>
      </c>
      <c r="E199">
        <f>MAX(Table8[Cumulative 2023 Q4])</f>
        <v>4195</v>
      </c>
      <c r="F199">
        <f>IF(YEAR(Table8[[#This Row],[Date]])=2024,B199,0)+IF(ROW(F198)=1,0,F198)</f>
        <v>2650</v>
      </c>
      <c r="G199">
        <f>MAX(Table8[Cumulative 2024])</f>
        <v>5831</v>
      </c>
      <c r="H199">
        <f>IF(YEAR(Table8[[#This Row],[Date]])=2025,B199,0)+IF(ROW(H198)=1,0,H198)</f>
        <v>0</v>
      </c>
      <c r="I199">
        <f>MAX(Table8[Cumulative 2025])</f>
        <v>1377</v>
      </c>
      <c r="J199">
        <f>IF(YEAR(Table8[[#This Row],[Date]])=2026,B199,0)+IF(ROW(J198)=1,0,J198)</f>
        <v>0</v>
      </c>
      <c r="K199">
        <f>MAX(Table8[Cumulative 2026])</f>
        <v>3102</v>
      </c>
      <c r="AH199">
        <v>79</v>
      </c>
    </row>
    <row r="200" spans="1:37" hidden="1" x14ac:dyDescent="0.25">
      <c r="A200" s="1">
        <v>45409</v>
      </c>
      <c r="B200">
        <f>SUM(_xlfn.CHOOSEROWS(Table8[[The Golden Compass]:[end]],ROW()-1))</f>
        <v>64</v>
      </c>
      <c r="C200">
        <f>Table8[[#This Row],[Cumulative 2023 Q4]]+Table8[[#This Row],[Cumulative 2024]]+Table8[[#This Row],[Cumulative 2025]]+Table8[[#This Row],[Cumulative 2026]]</f>
        <v>6909</v>
      </c>
      <c r="D200">
        <f>IF(YEAR(Table8[[#This Row],[Date]])=2023,B200,0)+IF(ROW(D199)=1,0,D199)</f>
        <v>4195</v>
      </c>
      <c r="E200">
        <f>MAX(Table8[Cumulative 2023 Q4])</f>
        <v>4195</v>
      </c>
      <c r="F200">
        <f>IF(YEAR(Table8[[#This Row],[Date]])=2024,B200,0)+IF(ROW(F199)=1,0,F199)</f>
        <v>2714</v>
      </c>
      <c r="G200">
        <f>MAX(Table8[Cumulative 2024])</f>
        <v>5831</v>
      </c>
      <c r="H200">
        <f>IF(YEAR(Table8[[#This Row],[Date]])=2025,B200,0)+IF(ROW(H199)=1,0,H199)</f>
        <v>0</v>
      </c>
      <c r="I200">
        <f>MAX(Table8[Cumulative 2025])</f>
        <v>1377</v>
      </c>
      <c r="J200">
        <f>IF(YEAR(Table8[[#This Row],[Date]])=2026,B200,0)+IF(ROW(J199)=1,0,J199)</f>
        <v>0</v>
      </c>
      <c r="K200">
        <f>MAX(Table8[Cumulative 2026])</f>
        <v>3102</v>
      </c>
      <c r="AI200">
        <v>64</v>
      </c>
    </row>
    <row r="201" spans="1:37" hidden="1" x14ac:dyDescent="0.25">
      <c r="A201" s="1">
        <v>45410</v>
      </c>
      <c r="B201">
        <f>SUM(_xlfn.CHOOSEROWS(Table8[[The Golden Compass]:[end]],ROW()-1))</f>
        <v>64</v>
      </c>
      <c r="C201">
        <f>Table8[[#This Row],[Cumulative 2023 Q4]]+Table8[[#This Row],[Cumulative 2024]]+Table8[[#This Row],[Cumulative 2025]]+Table8[[#This Row],[Cumulative 2026]]</f>
        <v>6973</v>
      </c>
      <c r="D201">
        <f>IF(YEAR(Table8[[#This Row],[Date]])=2023,B201,0)+IF(ROW(D200)=1,0,D200)</f>
        <v>4195</v>
      </c>
      <c r="E201">
        <f>MAX(Table8[Cumulative 2023 Q4])</f>
        <v>4195</v>
      </c>
      <c r="F201">
        <f>IF(YEAR(Table8[[#This Row],[Date]])=2024,B201,0)+IF(ROW(F200)=1,0,F200)</f>
        <v>2778</v>
      </c>
      <c r="G201">
        <f>MAX(Table8[Cumulative 2024])</f>
        <v>5831</v>
      </c>
      <c r="H201">
        <f>IF(YEAR(Table8[[#This Row],[Date]])=2025,B201,0)+IF(ROW(H200)=1,0,H200)</f>
        <v>0</v>
      </c>
      <c r="I201">
        <f>MAX(Table8[Cumulative 2025])</f>
        <v>1377</v>
      </c>
      <c r="J201">
        <f>IF(YEAR(Table8[[#This Row],[Date]])=2026,B201,0)+IF(ROW(J200)=1,0,J200)</f>
        <v>0</v>
      </c>
      <c r="K201">
        <f>MAX(Table8[Cumulative 2026])</f>
        <v>3102</v>
      </c>
      <c r="AI201">
        <v>64</v>
      </c>
    </row>
    <row r="202" spans="1:37" hidden="1" x14ac:dyDescent="0.25">
      <c r="A202" s="1">
        <v>45411</v>
      </c>
      <c r="B202">
        <f>SUM(_xlfn.CHOOSEROWS(Table8[[The Golden Compass]:[end]],ROW()-1))</f>
        <v>81</v>
      </c>
      <c r="C202">
        <f>Table8[[#This Row],[Cumulative 2023 Q4]]+Table8[[#This Row],[Cumulative 2024]]+Table8[[#This Row],[Cumulative 2025]]+Table8[[#This Row],[Cumulative 2026]]</f>
        <v>7054</v>
      </c>
      <c r="D202">
        <f>IF(YEAR(Table8[[#This Row],[Date]])=2023,B202,0)+IF(ROW(D201)=1,0,D201)</f>
        <v>4195</v>
      </c>
      <c r="E202">
        <f>MAX(Table8[Cumulative 2023 Q4])</f>
        <v>4195</v>
      </c>
      <c r="F202">
        <f>IF(YEAR(Table8[[#This Row],[Date]])=2024,B202,0)+IF(ROW(F201)=1,0,F201)</f>
        <v>2859</v>
      </c>
      <c r="G202">
        <f>MAX(Table8[Cumulative 2024])</f>
        <v>5831</v>
      </c>
      <c r="H202">
        <f>IF(YEAR(Table8[[#This Row],[Date]])=2025,B202,0)+IF(ROW(H201)=1,0,H201)</f>
        <v>0</v>
      </c>
      <c r="I202">
        <f>MAX(Table8[Cumulative 2025])</f>
        <v>1377</v>
      </c>
      <c r="J202">
        <f>IF(YEAR(Table8[[#This Row],[Date]])=2026,B202,0)+IF(ROW(J201)=1,0,J201)</f>
        <v>0</v>
      </c>
      <c r="K202">
        <f>MAX(Table8[Cumulative 2026])</f>
        <v>3102</v>
      </c>
      <c r="AJ202">
        <v>81</v>
      </c>
    </row>
    <row r="203" spans="1:37" hidden="1" x14ac:dyDescent="0.25">
      <c r="A203" s="1">
        <v>45412</v>
      </c>
      <c r="B203">
        <f>SUM(_xlfn.CHOOSEROWS(Table8[[The Golden Compass]:[end]],ROW()-1))</f>
        <v>54</v>
      </c>
      <c r="C203">
        <f>Table8[[#This Row],[Cumulative 2023 Q4]]+Table8[[#This Row],[Cumulative 2024]]+Table8[[#This Row],[Cumulative 2025]]+Table8[[#This Row],[Cumulative 2026]]</f>
        <v>7108</v>
      </c>
      <c r="D203">
        <f>IF(YEAR(Table8[[#This Row],[Date]])=2023,B203,0)+IF(ROW(D202)=1,0,D202)</f>
        <v>4195</v>
      </c>
      <c r="E203">
        <f>MAX(Table8[Cumulative 2023 Q4])</f>
        <v>4195</v>
      </c>
      <c r="F203">
        <f>IF(YEAR(Table8[[#This Row],[Date]])=2024,B203,0)+IF(ROW(F202)=1,0,F202)</f>
        <v>2913</v>
      </c>
      <c r="G203">
        <f>MAX(Table8[Cumulative 2024])</f>
        <v>5831</v>
      </c>
      <c r="H203">
        <f>IF(YEAR(Table8[[#This Row],[Date]])=2025,B203,0)+IF(ROW(H202)=1,0,H202)</f>
        <v>0</v>
      </c>
      <c r="I203">
        <f>MAX(Table8[Cumulative 2025])</f>
        <v>1377</v>
      </c>
      <c r="J203">
        <f>IF(YEAR(Table8[[#This Row],[Date]])=2026,B203,0)+IF(ROW(J202)=1,0,J202)</f>
        <v>0</v>
      </c>
      <c r="K203">
        <f>MAX(Table8[Cumulative 2026])</f>
        <v>3102</v>
      </c>
      <c r="AJ203">
        <v>54</v>
      </c>
    </row>
    <row r="204" spans="1:37" hidden="1" x14ac:dyDescent="0.25">
      <c r="A204" s="1">
        <v>45413</v>
      </c>
      <c r="B204">
        <f>SUM(_xlfn.CHOOSEROWS(Table8[[The Golden Compass]:[end]],ROW()-1))</f>
        <v>39</v>
      </c>
      <c r="C204">
        <f>Table8[[#This Row],[Cumulative 2023 Q4]]+Table8[[#This Row],[Cumulative 2024]]+Table8[[#This Row],[Cumulative 2025]]+Table8[[#This Row],[Cumulative 2026]]</f>
        <v>7147</v>
      </c>
      <c r="D204">
        <f>IF(YEAR(Table8[[#This Row],[Date]])=2023,B204,0)+IF(ROW(D203)=1,0,D203)</f>
        <v>4195</v>
      </c>
      <c r="E204">
        <f>MAX(Table8[Cumulative 2023 Q4])</f>
        <v>4195</v>
      </c>
      <c r="F204">
        <f>IF(YEAR(Table8[[#This Row],[Date]])=2024,B204,0)+IF(ROW(F203)=1,0,F203)</f>
        <v>2952</v>
      </c>
      <c r="G204">
        <f>MAX(Table8[Cumulative 2024])</f>
        <v>5831</v>
      </c>
      <c r="H204">
        <f>IF(YEAR(Table8[[#This Row],[Date]])=2025,B204,0)+IF(ROW(H203)=1,0,H203)</f>
        <v>0</v>
      </c>
      <c r="I204">
        <f>MAX(Table8[Cumulative 2025])</f>
        <v>1377</v>
      </c>
      <c r="J204">
        <f>IF(YEAR(Table8[[#This Row],[Date]])=2026,B204,0)+IF(ROW(J203)=1,0,J203)</f>
        <v>0</v>
      </c>
      <c r="K204">
        <f>MAX(Table8[Cumulative 2026])</f>
        <v>3102</v>
      </c>
      <c r="AK204">
        <v>39</v>
      </c>
    </row>
    <row r="205" spans="1:37" hidden="1" x14ac:dyDescent="0.25">
      <c r="A205" s="1">
        <v>45414</v>
      </c>
      <c r="B205">
        <f>SUM(_xlfn.CHOOSEROWS(Table8[[The Golden Compass]:[end]],ROW()-1))</f>
        <v>0</v>
      </c>
      <c r="C205">
        <f>Table8[[#This Row],[Cumulative 2023 Q4]]+Table8[[#This Row],[Cumulative 2024]]+Table8[[#This Row],[Cumulative 2025]]+Table8[[#This Row],[Cumulative 2026]]</f>
        <v>7147</v>
      </c>
      <c r="D205">
        <f>IF(YEAR(Table8[[#This Row],[Date]])=2023,B205,0)+IF(ROW(D204)=1,0,D204)</f>
        <v>4195</v>
      </c>
      <c r="E205">
        <f>MAX(Table8[Cumulative 2023 Q4])</f>
        <v>4195</v>
      </c>
      <c r="F205">
        <f>IF(YEAR(Table8[[#This Row],[Date]])=2024,B205,0)+IF(ROW(F204)=1,0,F204)</f>
        <v>2952</v>
      </c>
      <c r="G205">
        <f>MAX(Table8[Cumulative 2024])</f>
        <v>5831</v>
      </c>
      <c r="H205">
        <f>IF(YEAR(Table8[[#This Row],[Date]])=2025,B205,0)+IF(ROW(H204)=1,0,H204)</f>
        <v>0</v>
      </c>
      <c r="I205">
        <f>MAX(Table8[Cumulative 2025])</f>
        <v>1377</v>
      </c>
      <c r="J205">
        <f>IF(YEAR(Table8[[#This Row],[Date]])=2026,B205,0)+IF(ROW(J204)=1,0,J204)</f>
        <v>0</v>
      </c>
      <c r="K205">
        <f>MAX(Table8[Cumulative 2026])</f>
        <v>3102</v>
      </c>
    </row>
    <row r="206" spans="1:37" hidden="1" x14ac:dyDescent="0.25">
      <c r="A206" s="1">
        <v>45415</v>
      </c>
      <c r="B206">
        <f>SUM(_xlfn.CHOOSEROWS(Table8[[The Golden Compass]:[end]],ROW()-1))</f>
        <v>0</v>
      </c>
      <c r="C206">
        <f>Table8[[#This Row],[Cumulative 2023 Q4]]+Table8[[#This Row],[Cumulative 2024]]+Table8[[#This Row],[Cumulative 2025]]+Table8[[#This Row],[Cumulative 2026]]</f>
        <v>7147</v>
      </c>
      <c r="D206">
        <f>IF(YEAR(Table8[[#This Row],[Date]])=2023,B206,0)+IF(ROW(D205)=1,0,D205)</f>
        <v>4195</v>
      </c>
      <c r="E206">
        <f>MAX(Table8[Cumulative 2023 Q4])</f>
        <v>4195</v>
      </c>
      <c r="F206">
        <f>IF(YEAR(Table8[[#This Row],[Date]])=2024,B206,0)+IF(ROW(F205)=1,0,F205)</f>
        <v>2952</v>
      </c>
      <c r="G206">
        <f>MAX(Table8[Cumulative 2024])</f>
        <v>5831</v>
      </c>
      <c r="H206">
        <f>IF(YEAR(Table8[[#This Row],[Date]])=2025,B206,0)+IF(ROW(H205)=1,0,H205)</f>
        <v>0</v>
      </c>
      <c r="I206">
        <f>MAX(Table8[Cumulative 2025])</f>
        <v>1377</v>
      </c>
      <c r="J206">
        <f>IF(YEAR(Table8[[#This Row],[Date]])=2026,B206,0)+IF(ROW(J205)=1,0,J205)</f>
        <v>0</v>
      </c>
      <c r="K206">
        <f>MAX(Table8[Cumulative 2026])</f>
        <v>3102</v>
      </c>
    </row>
    <row r="207" spans="1:37" hidden="1" x14ac:dyDescent="0.25">
      <c r="A207" s="1">
        <v>45416</v>
      </c>
      <c r="B207">
        <f>SUM(_xlfn.CHOOSEROWS(Table8[[The Golden Compass]:[end]],ROW()-1))</f>
        <v>0</v>
      </c>
      <c r="C207">
        <f>Table8[[#This Row],[Cumulative 2023 Q4]]+Table8[[#This Row],[Cumulative 2024]]+Table8[[#This Row],[Cumulative 2025]]+Table8[[#This Row],[Cumulative 2026]]</f>
        <v>7147</v>
      </c>
      <c r="D207">
        <f>IF(YEAR(Table8[[#This Row],[Date]])=2023,B207,0)+IF(ROW(D206)=1,0,D206)</f>
        <v>4195</v>
      </c>
      <c r="E207">
        <f>MAX(Table8[Cumulative 2023 Q4])</f>
        <v>4195</v>
      </c>
      <c r="F207">
        <f>IF(YEAR(Table8[[#This Row],[Date]])=2024,B207,0)+IF(ROW(F206)=1,0,F206)</f>
        <v>2952</v>
      </c>
      <c r="G207">
        <f>MAX(Table8[Cumulative 2024])</f>
        <v>5831</v>
      </c>
      <c r="H207">
        <f>IF(YEAR(Table8[[#This Row],[Date]])=2025,B207,0)+IF(ROW(H206)=1,0,H206)</f>
        <v>0</v>
      </c>
      <c r="I207">
        <f>MAX(Table8[Cumulative 2025])</f>
        <v>1377</v>
      </c>
      <c r="J207">
        <f>IF(YEAR(Table8[[#This Row],[Date]])=2026,B207,0)+IF(ROW(J206)=1,0,J206)</f>
        <v>0</v>
      </c>
      <c r="K207">
        <f>MAX(Table8[Cumulative 2026])</f>
        <v>3102</v>
      </c>
    </row>
    <row r="208" spans="1:37" hidden="1" x14ac:dyDescent="0.25">
      <c r="A208" s="1">
        <v>45417</v>
      </c>
      <c r="B208">
        <f>SUM(_xlfn.CHOOSEROWS(Table8[[The Golden Compass]:[end]],ROW()-1))</f>
        <v>0</v>
      </c>
      <c r="C208">
        <f>Table8[[#This Row],[Cumulative 2023 Q4]]+Table8[[#This Row],[Cumulative 2024]]+Table8[[#This Row],[Cumulative 2025]]+Table8[[#This Row],[Cumulative 2026]]</f>
        <v>7147</v>
      </c>
      <c r="D208">
        <f>IF(YEAR(Table8[[#This Row],[Date]])=2023,B208,0)+IF(ROW(D207)=1,0,D207)</f>
        <v>4195</v>
      </c>
      <c r="E208">
        <f>MAX(Table8[Cumulative 2023 Q4])</f>
        <v>4195</v>
      </c>
      <c r="F208">
        <f>IF(YEAR(Table8[[#This Row],[Date]])=2024,B208,0)+IF(ROW(F207)=1,0,F207)</f>
        <v>2952</v>
      </c>
      <c r="G208">
        <f>MAX(Table8[Cumulative 2024])</f>
        <v>5831</v>
      </c>
      <c r="H208">
        <f>IF(YEAR(Table8[[#This Row],[Date]])=2025,B208,0)+IF(ROW(H207)=1,0,H207)</f>
        <v>0</v>
      </c>
      <c r="I208">
        <f>MAX(Table8[Cumulative 2025])</f>
        <v>1377</v>
      </c>
      <c r="J208">
        <f>IF(YEAR(Table8[[#This Row],[Date]])=2026,B208,0)+IF(ROW(J207)=1,0,J207)</f>
        <v>0</v>
      </c>
      <c r="K208">
        <f>MAX(Table8[Cumulative 2026])</f>
        <v>3102</v>
      </c>
    </row>
    <row r="209" spans="1:64" hidden="1" x14ac:dyDescent="0.25">
      <c r="A209" s="1">
        <v>45418</v>
      </c>
      <c r="B209">
        <f>SUM(_xlfn.CHOOSEROWS(Table8[[The Golden Compass]:[end]],ROW()-1))</f>
        <v>44</v>
      </c>
      <c r="C209">
        <f>Table8[[#This Row],[Cumulative 2023 Q4]]+Table8[[#This Row],[Cumulative 2024]]+Table8[[#This Row],[Cumulative 2025]]+Table8[[#This Row],[Cumulative 2026]]</f>
        <v>7191</v>
      </c>
      <c r="D209">
        <f>IF(YEAR(Table8[[#This Row],[Date]])=2023,B209,0)+IF(ROW(D208)=1,0,D208)</f>
        <v>4195</v>
      </c>
      <c r="E209">
        <f>MAX(Table8[Cumulative 2023 Q4])</f>
        <v>4195</v>
      </c>
      <c r="F209">
        <f>IF(YEAR(Table8[[#This Row],[Date]])=2024,B209,0)+IF(ROW(F208)=1,0,F208)</f>
        <v>2996</v>
      </c>
      <c r="G209">
        <f>MAX(Table8[Cumulative 2024])</f>
        <v>5831</v>
      </c>
      <c r="H209">
        <f>IF(YEAR(Table8[[#This Row],[Date]])=2025,B209,0)+IF(ROW(H208)=1,0,H208)</f>
        <v>0</v>
      </c>
      <c r="I209">
        <f>MAX(Table8[Cumulative 2025])</f>
        <v>1377</v>
      </c>
      <c r="J209">
        <f>IF(YEAR(Table8[[#This Row],[Date]])=2026,B209,0)+IF(ROW(J208)=1,0,J208)</f>
        <v>0</v>
      </c>
      <c r="K209">
        <f>MAX(Table8[Cumulative 2026])</f>
        <v>3102</v>
      </c>
      <c r="AK209">
        <v>41</v>
      </c>
      <c r="BK209">
        <v>3</v>
      </c>
    </row>
    <row r="210" spans="1:64" hidden="1" x14ac:dyDescent="0.25">
      <c r="A210" s="1">
        <v>45419</v>
      </c>
      <c r="B210">
        <f>SUM(_xlfn.CHOOSEROWS(Table8[[The Golden Compass]:[end]],ROW()-1))</f>
        <v>24</v>
      </c>
      <c r="C210">
        <f>Table8[[#This Row],[Cumulative 2023 Q4]]+Table8[[#This Row],[Cumulative 2024]]+Table8[[#This Row],[Cumulative 2025]]+Table8[[#This Row],[Cumulative 2026]]</f>
        <v>7215</v>
      </c>
      <c r="D210">
        <f>IF(YEAR(Table8[[#This Row],[Date]])=2023,B210,0)+IF(ROW(D209)=1,0,D209)</f>
        <v>4195</v>
      </c>
      <c r="E210">
        <f>MAX(Table8[Cumulative 2023 Q4])</f>
        <v>4195</v>
      </c>
      <c r="F210">
        <f>IF(YEAR(Table8[[#This Row],[Date]])=2024,B210,0)+IF(ROW(F209)=1,0,F209)</f>
        <v>3020</v>
      </c>
      <c r="G210">
        <f>MAX(Table8[Cumulative 2024])</f>
        <v>5831</v>
      </c>
      <c r="H210">
        <f>IF(YEAR(Table8[[#This Row],[Date]])=2025,B210,0)+IF(ROW(H209)=1,0,H209)</f>
        <v>0</v>
      </c>
      <c r="I210">
        <f>MAX(Table8[Cumulative 2025])</f>
        <v>1377</v>
      </c>
      <c r="J210">
        <f>IF(YEAR(Table8[[#This Row],[Date]])=2026,B210,0)+IF(ROW(J209)=1,0,J209)</f>
        <v>0</v>
      </c>
      <c r="K210">
        <f>MAX(Table8[Cumulative 2026])</f>
        <v>3102</v>
      </c>
      <c r="AK210">
        <v>23</v>
      </c>
      <c r="BK210">
        <v>1</v>
      </c>
    </row>
    <row r="211" spans="1:64" hidden="1" x14ac:dyDescent="0.25">
      <c r="A211" s="1">
        <v>45420</v>
      </c>
      <c r="B211">
        <f>SUM(_xlfn.CHOOSEROWS(Table8[[The Golden Compass]:[end]],ROW()-1))</f>
        <v>1</v>
      </c>
      <c r="C211">
        <f>Table8[[#This Row],[Cumulative 2023 Q4]]+Table8[[#This Row],[Cumulative 2024]]+Table8[[#This Row],[Cumulative 2025]]+Table8[[#This Row],[Cumulative 2026]]</f>
        <v>7216</v>
      </c>
      <c r="D211">
        <f>IF(YEAR(Table8[[#This Row],[Date]])=2023,B211,0)+IF(ROW(D210)=1,0,D210)</f>
        <v>4195</v>
      </c>
      <c r="E211">
        <f>MAX(Table8[Cumulative 2023 Q4])</f>
        <v>4195</v>
      </c>
      <c r="F211">
        <f>IF(YEAR(Table8[[#This Row],[Date]])=2024,B211,0)+IF(ROW(F210)=1,0,F210)</f>
        <v>3021</v>
      </c>
      <c r="G211">
        <f>MAX(Table8[Cumulative 2024])</f>
        <v>5831</v>
      </c>
      <c r="H211">
        <f>IF(YEAR(Table8[[#This Row],[Date]])=2025,B211,0)+IF(ROW(H210)=1,0,H210)</f>
        <v>0</v>
      </c>
      <c r="I211">
        <f>MAX(Table8[Cumulative 2025])</f>
        <v>1377</v>
      </c>
      <c r="J211">
        <f>IF(YEAR(Table8[[#This Row],[Date]])=2026,B211,0)+IF(ROW(J210)=1,0,J210)</f>
        <v>0</v>
      </c>
      <c r="K211">
        <f>MAX(Table8[Cumulative 2026])</f>
        <v>3102</v>
      </c>
      <c r="BK211">
        <v>1</v>
      </c>
    </row>
    <row r="212" spans="1:64" hidden="1" x14ac:dyDescent="0.25">
      <c r="A212" s="1">
        <v>45421</v>
      </c>
      <c r="B212">
        <f>SUM(_xlfn.CHOOSEROWS(Table8[[The Golden Compass]:[end]],ROW()-1))</f>
        <v>22</v>
      </c>
      <c r="C212">
        <f>Table8[[#This Row],[Cumulative 2023 Q4]]+Table8[[#This Row],[Cumulative 2024]]+Table8[[#This Row],[Cumulative 2025]]+Table8[[#This Row],[Cumulative 2026]]</f>
        <v>7238</v>
      </c>
      <c r="D212">
        <f>IF(YEAR(Table8[[#This Row],[Date]])=2023,B212,0)+IF(ROW(D211)=1,0,D211)</f>
        <v>4195</v>
      </c>
      <c r="E212">
        <f>MAX(Table8[Cumulative 2023 Q4])</f>
        <v>4195</v>
      </c>
      <c r="F212">
        <f>IF(YEAR(Table8[[#This Row],[Date]])=2024,B212,0)+IF(ROW(F211)=1,0,F211)</f>
        <v>3043</v>
      </c>
      <c r="G212">
        <f>MAX(Table8[Cumulative 2024])</f>
        <v>5831</v>
      </c>
      <c r="H212">
        <f>IF(YEAR(Table8[[#This Row],[Date]])=2025,B212,0)+IF(ROW(H211)=1,0,H211)</f>
        <v>0</v>
      </c>
      <c r="I212">
        <f>MAX(Table8[Cumulative 2025])</f>
        <v>1377</v>
      </c>
      <c r="J212">
        <f>IF(YEAR(Table8[[#This Row],[Date]])=2026,B212,0)+IF(ROW(J211)=1,0,J211)</f>
        <v>0</v>
      </c>
      <c r="K212">
        <f>MAX(Table8[Cumulative 2026])</f>
        <v>3102</v>
      </c>
      <c r="AK212">
        <v>22</v>
      </c>
    </row>
    <row r="213" spans="1:64" hidden="1" x14ac:dyDescent="0.25">
      <c r="A213" s="1">
        <v>45422</v>
      </c>
      <c r="B213">
        <f>SUM(_xlfn.CHOOSEROWS(Table8[[The Golden Compass]:[end]],ROW()-1))</f>
        <v>0</v>
      </c>
      <c r="C213">
        <f>Table8[[#This Row],[Cumulative 2023 Q4]]+Table8[[#This Row],[Cumulative 2024]]+Table8[[#This Row],[Cumulative 2025]]+Table8[[#This Row],[Cumulative 2026]]</f>
        <v>7238</v>
      </c>
      <c r="D213">
        <f>IF(YEAR(Table8[[#This Row],[Date]])=2023,B213,0)+IF(ROW(D212)=1,0,D212)</f>
        <v>4195</v>
      </c>
      <c r="E213">
        <f>MAX(Table8[Cumulative 2023 Q4])</f>
        <v>4195</v>
      </c>
      <c r="F213">
        <f>IF(YEAR(Table8[[#This Row],[Date]])=2024,B213,0)+IF(ROW(F212)=1,0,F212)</f>
        <v>3043</v>
      </c>
      <c r="G213">
        <f>MAX(Table8[Cumulative 2024])</f>
        <v>5831</v>
      </c>
      <c r="H213">
        <f>IF(YEAR(Table8[[#This Row],[Date]])=2025,B213,0)+IF(ROW(H212)=1,0,H212)</f>
        <v>0</v>
      </c>
      <c r="I213">
        <f>MAX(Table8[Cumulative 2025])</f>
        <v>1377</v>
      </c>
      <c r="J213">
        <f>IF(YEAR(Table8[[#This Row],[Date]])=2026,B213,0)+IF(ROW(J212)=1,0,J212)</f>
        <v>0</v>
      </c>
      <c r="K213">
        <f>MAX(Table8[Cumulative 2026])</f>
        <v>3102</v>
      </c>
    </row>
    <row r="214" spans="1:64" hidden="1" x14ac:dyDescent="0.25">
      <c r="A214" s="1">
        <v>45423</v>
      </c>
      <c r="B214">
        <f>SUM(_xlfn.CHOOSEROWS(Table8[[The Golden Compass]:[end]],ROW()-1))</f>
        <v>10</v>
      </c>
      <c r="C214">
        <f>Table8[[#This Row],[Cumulative 2023 Q4]]+Table8[[#This Row],[Cumulative 2024]]+Table8[[#This Row],[Cumulative 2025]]+Table8[[#This Row],[Cumulative 2026]]</f>
        <v>7248</v>
      </c>
      <c r="D214">
        <f>IF(YEAR(Table8[[#This Row],[Date]])=2023,B214,0)+IF(ROW(D213)=1,0,D213)</f>
        <v>4195</v>
      </c>
      <c r="E214">
        <f>MAX(Table8[Cumulative 2023 Q4])</f>
        <v>4195</v>
      </c>
      <c r="F214">
        <f>IF(YEAR(Table8[[#This Row],[Date]])=2024,B214,0)+IF(ROW(F213)=1,0,F213)</f>
        <v>3053</v>
      </c>
      <c r="G214">
        <f>MAX(Table8[Cumulative 2024])</f>
        <v>5831</v>
      </c>
      <c r="H214">
        <f>IF(YEAR(Table8[[#This Row],[Date]])=2025,B214,0)+IF(ROW(H213)=1,0,H213)</f>
        <v>0</v>
      </c>
      <c r="I214">
        <f>MAX(Table8[Cumulative 2025])</f>
        <v>1377</v>
      </c>
      <c r="J214">
        <f>IF(YEAR(Table8[[#This Row],[Date]])=2026,B214,0)+IF(ROW(J213)=1,0,J213)</f>
        <v>0</v>
      </c>
      <c r="K214">
        <f>MAX(Table8[Cumulative 2026])</f>
        <v>3102</v>
      </c>
      <c r="BL214">
        <v>10</v>
      </c>
    </row>
    <row r="215" spans="1:64" hidden="1" x14ac:dyDescent="0.25">
      <c r="A215" s="1">
        <v>45424</v>
      </c>
      <c r="B215">
        <f>SUM(_xlfn.CHOOSEROWS(Table8[[The Golden Compass]:[end]],ROW()-1))</f>
        <v>0</v>
      </c>
      <c r="C215">
        <f>Table8[[#This Row],[Cumulative 2023 Q4]]+Table8[[#This Row],[Cumulative 2024]]+Table8[[#This Row],[Cumulative 2025]]+Table8[[#This Row],[Cumulative 2026]]</f>
        <v>7248</v>
      </c>
      <c r="D215">
        <f>IF(YEAR(Table8[[#This Row],[Date]])=2023,B215,0)+IF(ROW(D214)=1,0,D214)</f>
        <v>4195</v>
      </c>
      <c r="E215">
        <f>MAX(Table8[Cumulative 2023 Q4])</f>
        <v>4195</v>
      </c>
      <c r="F215">
        <f>IF(YEAR(Table8[[#This Row],[Date]])=2024,B215,0)+IF(ROW(F214)=1,0,F214)</f>
        <v>3053</v>
      </c>
      <c r="G215">
        <f>MAX(Table8[Cumulative 2024])</f>
        <v>5831</v>
      </c>
      <c r="H215">
        <f>IF(YEAR(Table8[[#This Row],[Date]])=2025,B215,0)+IF(ROW(H214)=1,0,H214)</f>
        <v>0</v>
      </c>
      <c r="I215">
        <f>MAX(Table8[Cumulative 2025])</f>
        <v>1377</v>
      </c>
      <c r="J215">
        <f>IF(YEAR(Table8[[#This Row],[Date]])=2026,B215,0)+IF(ROW(J214)=1,0,J214)</f>
        <v>0</v>
      </c>
      <c r="K215">
        <f>MAX(Table8[Cumulative 2026])</f>
        <v>3102</v>
      </c>
    </row>
    <row r="216" spans="1:64" hidden="1" x14ac:dyDescent="0.25">
      <c r="A216" s="1">
        <v>45425</v>
      </c>
      <c r="B216">
        <f>SUM(_xlfn.CHOOSEROWS(Table8[[The Golden Compass]:[end]],ROW()-1))</f>
        <v>51</v>
      </c>
      <c r="C216">
        <f>Table8[[#This Row],[Cumulative 2023 Q4]]+Table8[[#This Row],[Cumulative 2024]]+Table8[[#This Row],[Cumulative 2025]]+Table8[[#This Row],[Cumulative 2026]]</f>
        <v>7299</v>
      </c>
      <c r="D216">
        <f>IF(YEAR(Table8[[#This Row],[Date]])=2023,B216,0)+IF(ROW(D215)=1,0,D215)</f>
        <v>4195</v>
      </c>
      <c r="E216">
        <f>MAX(Table8[Cumulative 2023 Q4])</f>
        <v>4195</v>
      </c>
      <c r="F216">
        <f>IF(YEAR(Table8[[#This Row],[Date]])=2024,B216,0)+IF(ROW(F215)=1,0,F215)</f>
        <v>3104</v>
      </c>
      <c r="G216">
        <f>MAX(Table8[Cumulative 2024])</f>
        <v>5831</v>
      </c>
      <c r="H216">
        <f>IF(YEAR(Table8[[#This Row],[Date]])=2025,B216,0)+IF(ROW(H215)=1,0,H215)</f>
        <v>0</v>
      </c>
      <c r="I216">
        <f>MAX(Table8[Cumulative 2025])</f>
        <v>1377</v>
      </c>
      <c r="J216">
        <f>IF(YEAR(Table8[[#This Row],[Date]])=2026,B216,0)+IF(ROW(J215)=1,0,J215)</f>
        <v>0</v>
      </c>
      <c r="K216">
        <f>MAX(Table8[Cumulative 2026])</f>
        <v>3102</v>
      </c>
      <c r="AK216">
        <v>48</v>
      </c>
      <c r="BK216">
        <v>3</v>
      </c>
    </row>
    <row r="217" spans="1:64" hidden="1" x14ac:dyDescent="0.25">
      <c r="A217" s="1">
        <v>45426</v>
      </c>
      <c r="B217">
        <f>SUM(_xlfn.CHOOSEROWS(Table8[[The Golden Compass]:[end]],ROW()-1))</f>
        <v>120</v>
      </c>
      <c r="C217">
        <f>Table8[[#This Row],[Cumulative 2023 Q4]]+Table8[[#This Row],[Cumulative 2024]]+Table8[[#This Row],[Cumulative 2025]]+Table8[[#This Row],[Cumulative 2026]]</f>
        <v>7419</v>
      </c>
      <c r="D217">
        <f>IF(YEAR(Table8[[#This Row],[Date]])=2023,B217,0)+IF(ROW(D216)=1,0,D216)</f>
        <v>4195</v>
      </c>
      <c r="E217">
        <f>MAX(Table8[Cumulative 2023 Q4])</f>
        <v>4195</v>
      </c>
      <c r="F217">
        <f>IF(YEAR(Table8[[#This Row],[Date]])=2024,B217,0)+IF(ROW(F216)=1,0,F216)</f>
        <v>3224</v>
      </c>
      <c r="G217">
        <f>MAX(Table8[Cumulative 2024])</f>
        <v>5831</v>
      </c>
      <c r="H217">
        <f>IF(YEAR(Table8[[#This Row],[Date]])=2025,B217,0)+IF(ROW(H216)=1,0,H216)</f>
        <v>0</v>
      </c>
      <c r="I217">
        <f>MAX(Table8[Cumulative 2025])</f>
        <v>1377</v>
      </c>
      <c r="J217">
        <f>IF(YEAR(Table8[[#This Row],[Date]])=2026,B217,0)+IF(ROW(J216)=1,0,J216)</f>
        <v>0</v>
      </c>
      <c r="K217">
        <f>MAX(Table8[Cumulative 2026])</f>
        <v>3102</v>
      </c>
      <c r="AL217">
        <v>120</v>
      </c>
    </row>
    <row r="218" spans="1:64" hidden="1" x14ac:dyDescent="0.25">
      <c r="A218" s="1">
        <v>45427</v>
      </c>
      <c r="B218">
        <f>SUM(_xlfn.CHOOSEROWS(Table8[[The Golden Compass]:[end]],ROW()-1))</f>
        <v>85</v>
      </c>
      <c r="C218">
        <f>Table8[[#This Row],[Cumulative 2023 Q4]]+Table8[[#This Row],[Cumulative 2024]]+Table8[[#This Row],[Cumulative 2025]]+Table8[[#This Row],[Cumulative 2026]]</f>
        <v>7504</v>
      </c>
      <c r="D218">
        <f>IF(YEAR(Table8[[#This Row],[Date]])=2023,B218,0)+IF(ROW(D217)=1,0,D217)</f>
        <v>4195</v>
      </c>
      <c r="E218">
        <f>MAX(Table8[Cumulative 2023 Q4])</f>
        <v>4195</v>
      </c>
      <c r="F218">
        <f>IF(YEAR(Table8[[#This Row],[Date]])=2024,B218,0)+IF(ROW(F217)=1,0,F217)</f>
        <v>3309</v>
      </c>
      <c r="G218">
        <f>MAX(Table8[Cumulative 2024])</f>
        <v>5831</v>
      </c>
      <c r="H218">
        <f>IF(YEAR(Table8[[#This Row],[Date]])=2025,B218,0)+IF(ROW(H217)=1,0,H217)</f>
        <v>0</v>
      </c>
      <c r="I218">
        <f>MAX(Table8[Cumulative 2025])</f>
        <v>1377</v>
      </c>
      <c r="J218">
        <f>IF(YEAR(Table8[[#This Row],[Date]])=2026,B218,0)+IF(ROW(J217)=1,0,J217)</f>
        <v>0</v>
      </c>
      <c r="K218">
        <f>MAX(Table8[Cumulative 2026])</f>
        <v>3102</v>
      </c>
      <c r="AL218">
        <v>84</v>
      </c>
      <c r="BK218">
        <v>1</v>
      </c>
    </row>
    <row r="219" spans="1:64" hidden="1" x14ac:dyDescent="0.25">
      <c r="A219" s="1">
        <v>45428</v>
      </c>
      <c r="B219">
        <f>SUM(_xlfn.CHOOSEROWS(Table8[[The Golden Compass]:[end]],ROW()-1))</f>
        <v>210</v>
      </c>
      <c r="C219">
        <f>Table8[[#This Row],[Cumulative 2023 Q4]]+Table8[[#This Row],[Cumulative 2024]]+Table8[[#This Row],[Cumulative 2025]]+Table8[[#This Row],[Cumulative 2026]]</f>
        <v>7714</v>
      </c>
      <c r="D219">
        <f>IF(YEAR(Table8[[#This Row],[Date]])=2023,B219,0)+IF(ROW(D218)=1,0,D218)</f>
        <v>4195</v>
      </c>
      <c r="E219">
        <f>MAX(Table8[Cumulative 2023 Q4])</f>
        <v>4195</v>
      </c>
      <c r="F219">
        <f>IF(YEAR(Table8[[#This Row],[Date]])=2024,B219,0)+IF(ROW(F218)=1,0,F218)</f>
        <v>3519</v>
      </c>
      <c r="G219">
        <f>MAX(Table8[Cumulative 2024])</f>
        <v>5831</v>
      </c>
      <c r="H219">
        <f>IF(YEAR(Table8[[#This Row],[Date]])=2025,B219,0)+IF(ROW(H218)=1,0,H218)</f>
        <v>0</v>
      </c>
      <c r="I219">
        <f>MAX(Table8[Cumulative 2025])</f>
        <v>1377</v>
      </c>
      <c r="J219">
        <f>IF(YEAR(Table8[[#This Row],[Date]])=2026,B219,0)+IF(ROW(J218)=1,0,J218)</f>
        <v>0</v>
      </c>
      <c r="K219">
        <f>MAX(Table8[Cumulative 2026])</f>
        <v>3102</v>
      </c>
      <c r="AM219">
        <v>174</v>
      </c>
      <c r="AN219">
        <v>35</v>
      </c>
      <c r="BK219">
        <v>1</v>
      </c>
    </row>
    <row r="220" spans="1:64" hidden="1" x14ac:dyDescent="0.25">
      <c r="A220" s="1">
        <v>45429</v>
      </c>
      <c r="B220">
        <f>SUM(_xlfn.CHOOSEROWS(Table8[[The Golden Compass]:[end]],ROW()-1))</f>
        <v>46</v>
      </c>
      <c r="C220">
        <f>Table8[[#This Row],[Cumulative 2023 Q4]]+Table8[[#This Row],[Cumulative 2024]]+Table8[[#This Row],[Cumulative 2025]]+Table8[[#This Row],[Cumulative 2026]]</f>
        <v>7760</v>
      </c>
      <c r="D220">
        <f>IF(YEAR(Table8[[#This Row],[Date]])=2023,B220,0)+IF(ROW(D219)=1,0,D219)</f>
        <v>4195</v>
      </c>
      <c r="E220">
        <f>MAX(Table8[Cumulative 2023 Q4])</f>
        <v>4195</v>
      </c>
      <c r="F220">
        <f>IF(YEAR(Table8[[#This Row],[Date]])=2024,B220,0)+IF(ROW(F219)=1,0,F219)</f>
        <v>3565</v>
      </c>
      <c r="G220">
        <f>MAX(Table8[Cumulative 2024])</f>
        <v>5831</v>
      </c>
      <c r="H220">
        <f>IF(YEAR(Table8[[#This Row],[Date]])=2025,B220,0)+IF(ROW(H219)=1,0,H219)</f>
        <v>0</v>
      </c>
      <c r="I220">
        <f>MAX(Table8[Cumulative 2025])</f>
        <v>1377</v>
      </c>
      <c r="J220">
        <f>IF(YEAR(Table8[[#This Row],[Date]])=2026,B220,0)+IF(ROW(J219)=1,0,J219)</f>
        <v>0</v>
      </c>
      <c r="K220">
        <f>MAX(Table8[Cumulative 2026])</f>
        <v>3102</v>
      </c>
      <c r="AN220">
        <v>46</v>
      </c>
    </row>
    <row r="221" spans="1:64" hidden="1" x14ac:dyDescent="0.25">
      <c r="A221" s="1">
        <v>45430</v>
      </c>
      <c r="B221">
        <f>SUM(_xlfn.CHOOSEROWS(Table8[[The Golden Compass]:[end]],ROW()-1))</f>
        <v>83</v>
      </c>
      <c r="C221">
        <f>Table8[[#This Row],[Cumulative 2023 Q4]]+Table8[[#This Row],[Cumulative 2024]]+Table8[[#This Row],[Cumulative 2025]]+Table8[[#This Row],[Cumulative 2026]]</f>
        <v>7843</v>
      </c>
      <c r="D221">
        <f>IF(YEAR(Table8[[#This Row],[Date]])=2023,B221,0)+IF(ROW(D220)=1,0,D220)</f>
        <v>4195</v>
      </c>
      <c r="E221">
        <f>MAX(Table8[Cumulative 2023 Q4])</f>
        <v>4195</v>
      </c>
      <c r="F221">
        <f>IF(YEAR(Table8[[#This Row],[Date]])=2024,B221,0)+IF(ROW(F220)=1,0,F220)</f>
        <v>3648</v>
      </c>
      <c r="G221">
        <f>MAX(Table8[Cumulative 2024])</f>
        <v>5831</v>
      </c>
      <c r="H221">
        <f>IF(YEAR(Table8[[#This Row],[Date]])=2025,B221,0)+IF(ROW(H220)=1,0,H220)</f>
        <v>0</v>
      </c>
      <c r="I221">
        <f>MAX(Table8[Cumulative 2025])</f>
        <v>1377</v>
      </c>
      <c r="J221">
        <f>IF(YEAR(Table8[[#This Row],[Date]])=2026,B221,0)+IF(ROW(J220)=1,0,J220)</f>
        <v>0</v>
      </c>
      <c r="K221">
        <f>MAX(Table8[Cumulative 2026])</f>
        <v>3102</v>
      </c>
      <c r="AN221">
        <v>83</v>
      </c>
    </row>
    <row r="222" spans="1:64" hidden="1" x14ac:dyDescent="0.25">
      <c r="A222" s="1">
        <v>45431</v>
      </c>
      <c r="B222">
        <f>SUM(_xlfn.CHOOSEROWS(Table8[[The Golden Compass]:[end]],ROW()-1))</f>
        <v>84</v>
      </c>
      <c r="C222">
        <f>Table8[[#This Row],[Cumulative 2023 Q4]]+Table8[[#This Row],[Cumulative 2024]]+Table8[[#This Row],[Cumulative 2025]]+Table8[[#This Row],[Cumulative 2026]]</f>
        <v>7927</v>
      </c>
      <c r="D222">
        <f>IF(YEAR(Table8[[#This Row],[Date]])=2023,B222,0)+IF(ROW(D221)=1,0,D221)</f>
        <v>4195</v>
      </c>
      <c r="E222">
        <f>MAX(Table8[Cumulative 2023 Q4])</f>
        <v>4195</v>
      </c>
      <c r="F222">
        <f>IF(YEAR(Table8[[#This Row],[Date]])=2024,B222,0)+IF(ROW(F221)=1,0,F221)</f>
        <v>3732</v>
      </c>
      <c r="G222">
        <f>MAX(Table8[Cumulative 2024])</f>
        <v>5831</v>
      </c>
      <c r="H222">
        <f>IF(YEAR(Table8[[#This Row],[Date]])=2025,B222,0)+IF(ROW(H221)=1,0,H221)</f>
        <v>0</v>
      </c>
      <c r="I222">
        <f>MAX(Table8[Cumulative 2025])</f>
        <v>1377</v>
      </c>
      <c r="J222">
        <f>IF(YEAR(Table8[[#This Row],[Date]])=2026,B222,0)+IF(ROW(J221)=1,0,J221)</f>
        <v>0</v>
      </c>
      <c r="K222">
        <f>MAX(Table8[Cumulative 2026])</f>
        <v>3102</v>
      </c>
      <c r="AN222">
        <v>49</v>
      </c>
      <c r="AO222">
        <v>35</v>
      </c>
    </row>
    <row r="223" spans="1:64" hidden="1" x14ac:dyDescent="0.25">
      <c r="A223" s="1">
        <v>45432</v>
      </c>
      <c r="B223">
        <f>SUM(_xlfn.CHOOSEROWS(Table8[[The Golden Compass]:[end]],ROW()-1))</f>
        <v>140</v>
      </c>
      <c r="C223">
        <f>Table8[[#This Row],[Cumulative 2023 Q4]]+Table8[[#This Row],[Cumulative 2024]]+Table8[[#This Row],[Cumulative 2025]]+Table8[[#This Row],[Cumulative 2026]]</f>
        <v>8067</v>
      </c>
      <c r="D223">
        <f>IF(YEAR(Table8[[#This Row],[Date]])=2023,B223,0)+IF(ROW(D222)=1,0,D222)</f>
        <v>4195</v>
      </c>
      <c r="E223">
        <f>MAX(Table8[Cumulative 2023 Q4])</f>
        <v>4195</v>
      </c>
      <c r="F223">
        <f>IF(YEAR(Table8[[#This Row],[Date]])=2024,B223,0)+IF(ROW(F222)=1,0,F222)</f>
        <v>3872</v>
      </c>
      <c r="G223">
        <f>MAX(Table8[Cumulative 2024])</f>
        <v>5831</v>
      </c>
      <c r="H223">
        <f>IF(YEAR(Table8[[#This Row],[Date]])=2025,B223,0)+IF(ROW(H222)=1,0,H222)</f>
        <v>0</v>
      </c>
      <c r="I223">
        <f>MAX(Table8[Cumulative 2025])</f>
        <v>1377</v>
      </c>
      <c r="J223">
        <f>IF(YEAR(Table8[[#This Row],[Date]])=2026,B223,0)+IF(ROW(J222)=1,0,J222)</f>
        <v>0</v>
      </c>
      <c r="K223">
        <f>MAX(Table8[Cumulative 2026])</f>
        <v>3102</v>
      </c>
      <c r="AO223">
        <v>138</v>
      </c>
      <c r="BK223">
        <v>2</v>
      </c>
    </row>
    <row r="224" spans="1:64" hidden="1" x14ac:dyDescent="0.25">
      <c r="A224" s="1">
        <v>45433</v>
      </c>
      <c r="B224">
        <f>SUM(_xlfn.CHOOSEROWS(Table8[[The Golden Compass]:[end]],ROW()-1))</f>
        <v>98</v>
      </c>
      <c r="C224">
        <f>Table8[[#This Row],[Cumulative 2023 Q4]]+Table8[[#This Row],[Cumulative 2024]]+Table8[[#This Row],[Cumulative 2025]]+Table8[[#This Row],[Cumulative 2026]]</f>
        <v>8165</v>
      </c>
      <c r="D224">
        <f>IF(YEAR(Table8[[#This Row],[Date]])=2023,B224,0)+IF(ROW(D223)=1,0,D223)</f>
        <v>4195</v>
      </c>
      <c r="E224">
        <f>MAX(Table8[Cumulative 2023 Q4])</f>
        <v>4195</v>
      </c>
      <c r="F224">
        <f>IF(YEAR(Table8[[#This Row],[Date]])=2024,B224,0)+IF(ROW(F223)=1,0,F223)</f>
        <v>3970</v>
      </c>
      <c r="G224">
        <f>MAX(Table8[Cumulative 2024])</f>
        <v>5831</v>
      </c>
      <c r="H224">
        <f>IF(YEAR(Table8[[#This Row],[Date]])=2025,B224,0)+IF(ROW(H223)=1,0,H223)</f>
        <v>0</v>
      </c>
      <c r="I224">
        <f>MAX(Table8[Cumulative 2025])</f>
        <v>1377</v>
      </c>
      <c r="J224">
        <f>IF(YEAR(Table8[[#This Row],[Date]])=2026,B224,0)+IF(ROW(J223)=1,0,J223)</f>
        <v>0</v>
      </c>
      <c r="K224">
        <f>MAX(Table8[Cumulative 2026])</f>
        <v>3102</v>
      </c>
      <c r="AO224">
        <v>98</v>
      </c>
    </row>
    <row r="225" spans="1:63" hidden="1" x14ac:dyDescent="0.25">
      <c r="A225" s="1">
        <v>45434</v>
      </c>
      <c r="B225">
        <f>SUM(_xlfn.CHOOSEROWS(Table8[[The Golden Compass]:[end]],ROW()-1))</f>
        <v>27</v>
      </c>
      <c r="C225">
        <f>Table8[[#This Row],[Cumulative 2023 Q4]]+Table8[[#This Row],[Cumulative 2024]]+Table8[[#This Row],[Cumulative 2025]]+Table8[[#This Row],[Cumulative 2026]]</f>
        <v>8192</v>
      </c>
      <c r="D225">
        <f>IF(YEAR(Table8[[#This Row],[Date]])=2023,B225,0)+IF(ROW(D224)=1,0,D224)</f>
        <v>4195</v>
      </c>
      <c r="E225">
        <f>MAX(Table8[Cumulative 2023 Q4])</f>
        <v>4195</v>
      </c>
      <c r="F225">
        <f>IF(YEAR(Table8[[#This Row],[Date]])=2024,B225,0)+IF(ROW(F224)=1,0,F224)</f>
        <v>3997</v>
      </c>
      <c r="G225">
        <f>MAX(Table8[Cumulative 2024])</f>
        <v>5831</v>
      </c>
      <c r="H225">
        <f>IF(YEAR(Table8[[#This Row],[Date]])=2025,B225,0)+IF(ROW(H224)=1,0,H224)</f>
        <v>0</v>
      </c>
      <c r="I225">
        <f>MAX(Table8[Cumulative 2025])</f>
        <v>1377</v>
      </c>
      <c r="J225">
        <f>IF(YEAR(Table8[[#This Row],[Date]])=2026,B225,0)+IF(ROW(J224)=1,0,J224)</f>
        <v>0</v>
      </c>
      <c r="K225">
        <f>MAX(Table8[Cumulative 2026])</f>
        <v>3102</v>
      </c>
      <c r="AP225">
        <v>27</v>
      </c>
    </row>
    <row r="226" spans="1:63" hidden="1" x14ac:dyDescent="0.25">
      <c r="A226" s="1">
        <v>45435</v>
      </c>
      <c r="B226">
        <f>SUM(_xlfn.CHOOSEROWS(Table8[[The Golden Compass]:[end]],ROW()-1))</f>
        <v>0</v>
      </c>
      <c r="C226">
        <f>Table8[[#This Row],[Cumulative 2023 Q4]]+Table8[[#This Row],[Cumulative 2024]]+Table8[[#This Row],[Cumulative 2025]]+Table8[[#This Row],[Cumulative 2026]]</f>
        <v>8192</v>
      </c>
      <c r="D226">
        <f>IF(YEAR(Table8[[#This Row],[Date]])=2023,B226,0)+IF(ROW(D225)=1,0,D225)</f>
        <v>4195</v>
      </c>
      <c r="E226">
        <f>MAX(Table8[Cumulative 2023 Q4])</f>
        <v>4195</v>
      </c>
      <c r="F226">
        <f>IF(YEAR(Table8[[#This Row],[Date]])=2024,B226,0)+IF(ROW(F225)=1,0,F225)</f>
        <v>3997</v>
      </c>
      <c r="G226">
        <f>MAX(Table8[Cumulative 2024])</f>
        <v>5831</v>
      </c>
      <c r="H226">
        <f>IF(YEAR(Table8[[#This Row],[Date]])=2025,B226,0)+IF(ROW(H225)=1,0,H225)</f>
        <v>0</v>
      </c>
      <c r="I226">
        <f>MAX(Table8[Cumulative 2025])</f>
        <v>1377</v>
      </c>
      <c r="J226">
        <f>IF(YEAR(Table8[[#This Row],[Date]])=2026,B226,0)+IF(ROW(J225)=1,0,J225)</f>
        <v>0</v>
      </c>
      <c r="K226">
        <f>MAX(Table8[Cumulative 2026])</f>
        <v>3102</v>
      </c>
    </row>
    <row r="227" spans="1:63" hidden="1" x14ac:dyDescent="0.25">
      <c r="A227" s="1">
        <v>45436</v>
      </c>
      <c r="B227">
        <f>SUM(_xlfn.CHOOSEROWS(Table8[[The Golden Compass]:[end]],ROW()-1))</f>
        <v>1</v>
      </c>
      <c r="C227">
        <f>Table8[[#This Row],[Cumulative 2023 Q4]]+Table8[[#This Row],[Cumulative 2024]]+Table8[[#This Row],[Cumulative 2025]]+Table8[[#This Row],[Cumulative 2026]]</f>
        <v>8193</v>
      </c>
      <c r="D227">
        <f>IF(YEAR(Table8[[#This Row],[Date]])=2023,B227,0)+IF(ROW(D226)=1,0,D226)</f>
        <v>4195</v>
      </c>
      <c r="E227">
        <f>MAX(Table8[Cumulative 2023 Q4])</f>
        <v>4195</v>
      </c>
      <c r="F227">
        <f>IF(YEAR(Table8[[#This Row],[Date]])=2024,B227,0)+IF(ROW(F226)=1,0,F226)</f>
        <v>3998</v>
      </c>
      <c r="G227">
        <f>MAX(Table8[Cumulative 2024])</f>
        <v>5831</v>
      </c>
      <c r="H227">
        <f>IF(YEAR(Table8[[#This Row],[Date]])=2025,B227,0)+IF(ROW(H226)=1,0,H226)</f>
        <v>0</v>
      </c>
      <c r="I227">
        <f>MAX(Table8[Cumulative 2025])</f>
        <v>1377</v>
      </c>
      <c r="J227">
        <f>IF(YEAR(Table8[[#This Row],[Date]])=2026,B227,0)+IF(ROW(J226)=1,0,J226)</f>
        <v>0</v>
      </c>
      <c r="K227">
        <f>MAX(Table8[Cumulative 2026])</f>
        <v>3102</v>
      </c>
      <c r="BK227">
        <v>1</v>
      </c>
    </row>
    <row r="228" spans="1:63" hidden="1" x14ac:dyDescent="0.25">
      <c r="A228" s="1">
        <v>45437</v>
      </c>
      <c r="B228">
        <f>SUM(_xlfn.CHOOSEROWS(Table8[[The Golden Compass]:[end]],ROW()-1))</f>
        <v>0</v>
      </c>
      <c r="C228">
        <f>Table8[[#This Row],[Cumulative 2023 Q4]]+Table8[[#This Row],[Cumulative 2024]]+Table8[[#This Row],[Cumulative 2025]]+Table8[[#This Row],[Cumulative 2026]]</f>
        <v>8193</v>
      </c>
      <c r="D228">
        <f>IF(YEAR(Table8[[#This Row],[Date]])=2023,B228,0)+IF(ROW(D227)=1,0,D227)</f>
        <v>4195</v>
      </c>
      <c r="E228">
        <f>MAX(Table8[Cumulative 2023 Q4])</f>
        <v>4195</v>
      </c>
      <c r="F228">
        <f>IF(YEAR(Table8[[#This Row],[Date]])=2024,B228,0)+IF(ROW(F227)=1,0,F227)</f>
        <v>3998</v>
      </c>
      <c r="G228">
        <f>MAX(Table8[Cumulative 2024])</f>
        <v>5831</v>
      </c>
      <c r="H228">
        <f>IF(YEAR(Table8[[#This Row],[Date]])=2025,B228,0)+IF(ROW(H227)=1,0,H227)</f>
        <v>0</v>
      </c>
      <c r="I228">
        <f>MAX(Table8[Cumulative 2025])</f>
        <v>1377</v>
      </c>
      <c r="J228">
        <f>IF(YEAR(Table8[[#This Row],[Date]])=2026,B228,0)+IF(ROW(J227)=1,0,J227)</f>
        <v>0</v>
      </c>
      <c r="K228">
        <f>MAX(Table8[Cumulative 2026])</f>
        <v>3102</v>
      </c>
    </row>
    <row r="229" spans="1:63" hidden="1" x14ac:dyDescent="0.25">
      <c r="A229" s="1">
        <v>45438</v>
      </c>
      <c r="B229">
        <f>SUM(_xlfn.CHOOSEROWS(Table8[[The Golden Compass]:[end]],ROW()-1))</f>
        <v>0</v>
      </c>
      <c r="C229">
        <f>Table8[[#This Row],[Cumulative 2023 Q4]]+Table8[[#This Row],[Cumulative 2024]]+Table8[[#This Row],[Cumulative 2025]]+Table8[[#This Row],[Cumulative 2026]]</f>
        <v>8193</v>
      </c>
      <c r="D229">
        <f>IF(YEAR(Table8[[#This Row],[Date]])=2023,B229,0)+IF(ROW(D228)=1,0,D228)</f>
        <v>4195</v>
      </c>
      <c r="E229">
        <f>MAX(Table8[Cumulative 2023 Q4])</f>
        <v>4195</v>
      </c>
      <c r="F229">
        <f>IF(YEAR(Table8[[#This Row],[Date]])=2024,B229,0)+IF(ROW(F228)=1,0,F228)</f>
        <v>3998</v>
      </c>
      <c r="G229">
        <f>MAX(Table8[Cumulative 2024])</f>
        <v>5831</v>
      </c>
      <c r="H229">
        <f>IF(YEAR(Table8[[#This Row],[Date]])=2025,B229,0)+IF(ROW(H228)=1,0,H228)</f>
        <v>0</v>
      </c>
      <c r="I229">
        <f>MAX(Table8[Cumulative 2025])</f>
        <v>1377</v>
      </c>
      <c r="J229">
        <f>IF(YEAR(Table8[[#This Row],[Date]])=2026,B229,0)+IF(ROW(J228)=1,0,J228)</f>
        <v>0</v>
      </c>
      <c r="K229">
        <f>MAX(Table8[Cumulative 2026])</f>
        <v>3102</v>
      </c>
    </row>
    <row r="230" spans="1:63" hidden="1" x14ac:dyDescent="0.25">
      <c r="A230" s="1">
        <v>45439</v>
      </c>
      <c r="B230">
        <f>SUM(_xlfn.CHOOSEROWS(Table8[[The Golden Compass]:[end]],ROW()-1))</f>
        <v>0</v>
      </c>
      <c r="C230">
        <f>Table8[[#This Row],[Cumulative 2023 Q4]]+Table8[[#This Row],[Cumulative 2024]]+Table8[[#This Row],[Cumulative 2025]]+Table8[[#This Row],[Cumulative 2026]]</f>
        <v>8193</v>
      </c>
      <c r="D230">
        <f>IF(YEAR(Table8[[#This Row],[Date]])=2023,B230,0)+IF(ROW(D229)=1,0,D229)</f>
        <v>4195</v>
      </c>
      <c r="E230">
        <f>MAX(Table8[Cumulative 2023 Q4])</f>
        <v>4195</v>
      </c>
      <c r="F230">
        <f>IF(YEAR(Table8[[#This Row],[Date]])=2024,B230,0)+IF(ROW(F229)=1,0,F229)</f>
        <v>3998</v>
      </c>
      <c r="G230">
        <f>MAX(Table8[Cumulative 2024])</f>
        <v>5831</v>
      </c>
      <c r="H230">
        <f>IF(YEAR(Table8[[#This Row],[Date]])=2025,B230,0)+IF(ROW(H229)=1,0,H229)</f>
        <v>0</v>
      </c>
      <c r="I230">
        <f>MAX(Table8[Cumulative 2025])</f>
        <v>1377</v>
      </c>
      <c r="J230">
        <f>IF(YEAR(Table8[[#This Row],[Date]])=2026,B230,0)+IF(ROW(J229)=1,0,J229)</f>
        <v>0</v>
      </c>
      <c r="K230">
        <f>MAX(Table8[Cumulative 2026])</f>
        <v>3102</v>
      </c>
    </row>
    <row r="231" spans="1:63" hidden="1" x14ac:dyDescent="0.25">
      <c r="A231" s="1">
        <v>45440</v>
      </c>
      <c r="B231">
        <f>SUM(_xlfn.CHOOSEROWS(Table8[[The Golden Compass]:[end]],ROW()-1))</f>
        <v>3</v>
      </c>
      <c r="C231">
        <f>Table8[[#This Row],[Cumulative 2023 Q4]]+Table8[[#This Row],[Cumulative 2024]]+Table8[[#This Row],[Cumulative 2025]]+Table8[[#This Row],[Cumulative 2026]]</f>
        <v>8196</v>
      </c>
      <c r="D231">
        <f>IF(YEAR(Table8[[#This Row],[Date]])=2023,B231,0)+IF(ROW(D230)=1,0,D230)</f>
        <v>4195</v>
      </c>
      <c r="E231">
        <f>MAX(Table8[Cumulative 2023 Q4])</f>
        <v>4195</v>
      </c>
      <c r="F231">
        <f>IF(YEAR(Table8[[#This Row],[Date]])=2024,B231,0)+IF(ROW(F230)=1,0,F230)</f>
        <v>4001</v>
      </c>
      <c r="G231">
        <f>MAX(Table8[Cumulative 2024])</f>
        <v>5831</v>
      </c>
      <c r="H231">
        <f>IF(YEAR(Table8[[#This Row],[Date]])=2025,B231,0)+IF(ROW(H230)=1,0,H230)</f>
        <v>0</v>
      </c>
      <c r="I231">
        <f>MAX(Table8[Cumulative 2025])</f>
        <v>1377</v>
      </c>
      <c r="J231">
        <f>IF(YEAR(Table8[[#This Row],[Date]])=2026,B231,0)+IF(ROW(J230)=1,0,J230)</f>
        <v>0</v>
      </c>
      <c r="K231">
        <f>MAX(Table8[Cumulative 2026])</f>
        <v>3102</v>
      </c>
      <c r="BK231">
        <v>3</v>
      </c>
    </row>
    <row r="232" spans="1:63" hidden="1" x14ac:dyDescent="0.25">
      <c r="A232" s="1">
        <v>45441</v>
      </c>
      <c r="B232">
        <f>SUM(_xlfn.CHOOSEROWS(Table8[[The Golden Compass]:[end]],ROW()-1))</f>
        <v>75</v>
      </c>
      <c r="C232">
        <f>Table8[[#This Row],[Cumulative 2023 Q4]]+Table8[[#This Row],[Cumulative 2024]]+Table8[[#This Row],[Cumulative 2025]]+Table8[[#This Row],[Cumulative 2026]]</f>
        <v>8271</v>
      </c>
      <c r="D232">
        <f>IF(YEAR(Table8[[#This Row],[Date]])=2023,B232,0)+IF(ROW(D231)=1,0,D231)</f>
        <v>4195</v>
      </c>
      <c r="E232">
        <f>MAX(Table8[Cumulative 2023 Q4])</f>
        <v>4195</v>
      </c>
      <c r="F232">
        <f>IF(YEAR(Table8[[#This Row],[Date]])=2024,B232,0)+IF(ROW(F231)=1,0,F231)</f>
        <v>4076</v>
      </c>
      <c r="G232">
        <f>MAX(Table8[Cumulative 2024])</f>
        <v>5831</v>
      </c>
      <c r="H232">
        <f>IF(YEAR(Table8[[#This Row],[Date]])=2025,B232,0)+IF(ROW(H231)=1,0,H231)</f>
        <v>0</v>
      </c>
      <c r="I232">
        <f>MAX(Table8[Cumulative 2025])</f>
        <v>1377</v>
      </c>
      <c r="J232">
        <f>IF(YEAR(Table8[[#This Row],[Date]])=2026,B232,0)+IF(ROW(J231)=1,0,J231)</f>
        <v>0</v>
      </c>
      <c r="K232">
        <f>MAX(Table8[Cumulative 2026])</f>
        <v>3102</v>
      </c>
      <c r="AP232">
        <v>75</v>
      </c>
    </row>
    <row r="233" spans="1:63" hidden="1" x14ac:dyDescent="0.25">
      <c r="A233" s="1">
        <v>45442</v>
      </c>
      <c r="B233">
        <f>SUM(_xlfn.CHOOSEROWS(Table8[[The Golden Compass]:[end]],ROW()-1))</f>
        <v>0</v>
      </c>
      <c r="C233">
        <f>Table8[[#This Row],[Cumulative 2023 Q4]]+Table8[[#This Row],[Cumulative 2024]]+Table8[[#This Row],[Cumulative 2025]]+Table8[[#This Row],[Cumulative 2026]]</f>
        <v>8271</v>
      </c>
      <c r="D233">
        <f>IF(YEAR(Table8[[#This Row],[Date]])=2023,B233,0)+IF(ROW(D232)=1,0,D232)</f>
        <v>4195</v>
      </c>
      <c r="E233">
        <f>MAX(Table8[Cumulative 2023 Q4])</f>
        <v>4195</v>
      </c>
      <c r="F233">
        <f>IF(YEAR(Table8[[#This Row],[Date]])=2024,B233,0)+IF(ROW(F232)=1,0,F232)</f>
        <v>4076</v>
      </c>
      <c r="G233">
        <f>MAX(Table8[Cumulative 2024])</f>
        <v>5831</v>
      </c>
      <c r="H233">
        <f>IF(YEAR(Table8[[#This Row],[Date]])=2025,B233,0)+IF(ROW(H232)=1,0,H232)</f>
        <v>0</v>
      </c>
      <c r="I233">
        <f>MAX(Table8[Cumulative 2025])</f>
        <v>1377</v>
      </c>
      <c r="J233">
        <f>IF(YEAR(Table8[[#This Row],[Date]])=2026,B233,0)+IF(ROW(J232)=1,0,J232)</f>
        <v>0</v>
      </c>
      <c r="K233">
        <f>MAX(Table8[Cumulative 2026])</f>
        <v>3102</v>
      </c>
    </row>
    <row r="234" spans="1:63" hidden="1" x14ac:dyDescent="0.25">
      <c r="A234" s="1">
        <v>45443</v>
      </c>
      <c r="B234">
        <f>SUM(_xlfn.CHOOSEROWS(Table8[[The Golden Compass]:[end]],ROW()-1))</f>
        <v>111</v>
      </c>
      <c r="C234">
        <f>Table8[[#This Row],[Cumulative 2023 Q4]]+Table8[[#This Row],[Cumulative 2024]]+Table8[[#This Row],[Cumulative 2025]]+Table8[[#This Row],[Cumulative 2026]]</f>
        <v>8382</v>
      </c>
      <c r="D234">
        <f>IF(YEAR(Table8[[#This Row],[Date]])=2023,B234,0)+IF(ROW(D233)=1,0,D233)</f>
        <v>4195</v>
      </c>
      <c r="E234">
        <f>MAX(Table8[Cumulative 2023 Q4])</f>
        <v>4195</v>
      </c>
      <c r="F234">
        <f>IF(YEAR(Table8[[#This Row],[Date]])=2024,B234,0)+IF(ROW(F233)=1,0,F233)</f>
        <v>4187</v>
      </c>
      <c r="G234">
        <f>MAX(Table8[Cumulative 2024])</f>
        <v>5831</v>
      </c>
      <c r="H234">
        <f>IF(YEAR(Table8[[#This Row],[Date]])=2025,B234,0)+IF(ROW(H233)=1,0,H233)</f>
        <v>0</v>
      </c>
      <c r="I234">
        <f>MAX(Table8[Cumulative 2025])</f>
        <v>1377</v>
      </c>
      <c r="J234">
        <f>IF(YEAR(Table8[[#This Row],[Date]])=2026,B234,0)+IF(ROW(J233)=1,0,J233)</f>
        <v>0</v>
      </c>
      <c r="K234">
        <f>MAX(Table8[Cumulative 2026])</f>
        <v>3102</v>
      </c>
      <c r="AP234">
        <v>110</v>
      </c>
      <c r="BK234">
        <v>1</v>
      </c>
    </row>
    <row r="235" spans="1:63" hidden="1" x14ac:dyDescent="0.25">
      <c r="A235" s="1">
        <v>45444</v>
      </c>
      <c r="B235">
        <f>SUM(_xlfn.CHOOSEROWS(Table8[[The Golden Compass]:[end]],ROW()-1))</f>
        <v>0</v>
      </c>
      <c r="C235">
        <f>Table8[[#This Row],[Cumulative 2023 Q4]]+Table8[[#This Row],[Cumulative 2024]]+Table8[[#This Row],[Cumulative 2025]]+Table8[[#This Row],[Cumulative 2026]]</f>
        <v>8382</v>
      </c>
      <c r="D235">
        <f>IF(YEAR(Table8[[#This Row],[Date]])=2023,B235,0)+IF(ROW(D234)=1,0,D234)</f>
        <v>4195</v>
      </c>
      <c r="E235">
        <f>MAX(Table8[Cumulative 2023 Q4])</f>
        <v>4195</v>
      </c>
      <c r="F235">
        <f>IF(YEAR(Table8[[#This Row],[Date]])=2024,B235,0)+IF(ROW(F234)=1,0,F234)</f>
        <v>4187</v>
      </c>
      <c r="G235">
        <f>MAX(Table8[Cumulative 2024])</f>
        <v>5831</v>
      </c>
      <c r="H235">
        <f>IF(YEAR(Table8[[#This Row],[Date]])=2025,B235,0)+IF(ROW(H234)=1,0,H234)</f>
        <v>0</v>
      </c>
      <c r="I235">
        <f>MAX(Table8[Cumulative 2025])</f>
        <v>1377</v>
      </c>
      <c r="J235">
        <f>IF(YEAR(Table8[[#This Row],[Date]])=2026,B235,0)+IF(ROW(J234)=1,0,J234)</f>
        <v>0</v>
      </c>
      <c r="K235">
        <f>MAX(Table8[Cumulative 2026])</f>
        <v>3102</v>
      </c>
    </row>
    <row r="236" spans="1:63" hidden="1" x14ac:dyDescent="0.25">
      <c r="A236" s="1">
        <v>45445</v>
      </c>
      <c r="B236">
        <f>SUM(_xlfn.CHOOSEROWS(Table8[[The Golden Compass]:[end]],ROW()-1))</f>
        <v>0</v>
      </c>
      <c r="C236">
        <f>Table8[[#This Row],[Cumulative 2023 Q4]]+Table8[[#This Row],[Cumulative 2024]]+Table8[[#This Row],[Cumulative 2025]]+Table8[[#This Row],[Cumulative 2026]]</f>
        <v>8382</v>
      </c>
      <c r="D236">
        <f>IF(YEAR(Table8[[#This Row],[Date]])=2023,B236,0)+IF(ROW(D235)=1,0,D235)</f>
        <v>4195</v>
      </c>
      <c r="E236">
        <f>MAX(Table8[Cumulative 2023 Q4])</f>
        <v>4195</v>
      </c>
      <c r="F236">
        <f>IF(YEAR(Table8[[#This Row],[Date]])=2024,B236,0)+IF(ROW(F235)=1,0,F235)</f>
        <v>4187</v>
      </c>
      <c r="G236">
        <f>MAX(Table8[Cumulative 2024])</f>
        <v>5831</v>
      </c>
      <c r="H236">
        <f>IF(YEAR(Table8[[#This Row],[Date]])=2025,B236,0)+IF(ROW(H235)=1,0,H235)</f>
        <v>0</v>
      </c>
      <c r="I236">
        <f>MAX(Table8[Cumulative 2025])</f>
        <v>1377</v>
      </c>
      <c r="J236">
        <f>IF(YEAR(Table8[[#This Row],[Date]])=2026,B236,0)+IF(ROW(J235)=1,0,J235)</f>
        <v>0</v>
      </c>
      <c r="K236">
        <f>MAX(Table8[Cumulative 2026])</f>
        <v>3102</v>
      </c>
    </row>
    <row r="237" spans="1:63" hidden="1" x14ac:dyDescent="0.25">
      <c r="A237" s="1">
        <v>45446</v>
      </c>
      <c r="B237">
        <f>SUM(_xlfn.CHOOSEROWS(Table8[[The Golden Compass]:[end]],ROW()-1))</f>
        <v>0</v>
      </c>
      <c r="C237">
        <f>Table8[[#This Row],[Cumulative 2023 Q4]]+Table8[[#This Row],[Cumulative 2024]]+Table8[[#This Row],[Cumulative 2025]]+Table8[[#This Row],[Cumulative 2026]]</f>
        <v>8382</v>
      </c>
      <c r="D237">
        <f>IF(YEAR(Table8[[#This Row],[Date]])=2023,B237,0)+IF(ROW(D236)=1,0,D236)</f>
        <v>4195</v>
      </c>
      <c r="E237">
        <f>MAX(Table8[Cumulative 2023 Q4])</f>
        <v>4195</v>
      </c>
      <c r="F237">
        <f>IF(YEAR(Table8[[#This Row],[Date]])=2024,B237,0)+IF(ROW(F236)=1,0,F236)</f>
        <v>4187</v>
      </c>
      <c r="G237">
        <f>MAX(Table8[Cumulative 2024])</f>
        <v>5831</v>
      </c>
      <c r="H237">
        <f>IF(YEAR(Table8[[#This Row],[Date]])=2025,B237,0)+IF(ROW(H236)=1,0,H236)</f>
        <v>0</v>
      </c>
      <c r="I237">
        <f>MAX(Table8[Cumulative 2025])</f>
        <v>1377</v>
      </c>
      <c r="J237">
        <f>IF(YEAR(Table8[[#This Row],[Date]])=2026,B237,0)+IF(ROW(J236)=1,0,J236)</f>
        <v>0</v>
      </c>
      <c r="K237">
        <f>MAX(Table8[Cumulative 2026])</f>
        <v>3102</v>
      </c>
    </row>
    <row r="238" spans="1:63" hidden="1" x14ac:dyDescent="0.25">
      <c r="A238" s="1">
        <v>45447</v>
      </c>
      <c r="B238">
        <f>SUM(_xlfn.CHOOSEROWS(Table8[[The Golden Compass]:[end]],ROW()-1))</f>
        <v>0</v>
      </c>
      <c r="C238">
        <f>Table8[[#This Row],[Cumulative 2023 Q4]]+Table8[[#This Row],[Cumulative 2024]]+Table8[[#This Row],[Cumulative 2025]]+Table8[[#This Row],[Cumulative 2026]]</f>
        <v>8382</v>
      </c>
      <c r="D238">
        <f>IF(YEAR(Table8[[#This Row],[Date]])=2023,B238,0)+IF(ROW(D237)=1,0,D237)</f>
        <v>4195</v>
      </c>
      <c r="E238">
        <f>MAX(Table8[Cumulative 2023 Q4])</f>
        <v>4195</v>
      </c>
      <c r="F238">
        <f>IF(YEAR(Table8[[#This Row],[Date]])=2024,B238,0)+IF(ROW(F237)=1,0,F237)</f>
        <v>4187</v>
      </c>
      <c r="G238">
        <f>MAX(Table8[Cumulative 2024])</f>
        <v>5831</v>
      </c>
      <c r="H238">
        <f>IF(YEAR(Table8[[#This Row],[Date]])=2025,B238,0)+IF(ROW(H237)=1,0,H237)</f>
        <v>0</v>
      </c>
      <c r="I238">
        <f>MAX(Table8[Cumulative 2025])</f>
        <v>1377</v>
      </c>
      <c r="J238">
        <f>IF(YEAR(Table8[[#This Row],[Date]])=2026,B238,0)+IF(ROW(J237)=1,0,J237)</f>
        <v>0</v>
      </c>
      <c r="K238">
        <f>MAX(Table8[Cumulative 2026])</f>
        <v>3102</v>
      </c>
    </row>
    <row r="239" spans="1:63" hidden="1" x14ac:dyDescent="0.25">
      <c r="A239" s="1">
        <v>45448</v>
      </c>
      <c r="B239">
        <f>SUM(_xlfn.CHOOSEROWS(Table8[[The Golden Compass]:[end]],ROW()-1))</f>
        <v>1</v>
      </c>
      <c r="C239">
        <f>Table8[[#This Row],[Cumulative 2023 Q4]]+Table8[[#This Row],[Cumulative 2024]]+Table8[[#This Row],[Cumulative 2025]]+Table8[[#This Row],[Cumulative 2026]]</f>
        <v>8383</v>
      </c>
      <c r="D239">
        <f>IF(YEAR(Table8[[#This Row],[Date]])=2023,B239,0)+IF(ROW(D238)=1,0,D238)</f>
        <v>4195</v>
      </c>
      <c r="E239">
        <f>MAX(Table8[Cumulative 2023 Q4])</f>
        <v>4195</v>
      </c>
      <c r="F239">
        <f>IF(YEAR(Table8[[#This Row],[Date]])=2024,B239,0)+IF(ROW(F238)=1,0,F238)</f>
        <v>4188</v>
      </c>
      <c r="G239">
        <f>MAX(Table8[Cumulative 2024])</f>
        <v>5831</v>
      </c>
      <c r="H239">
        <f>IF(YEAR(Table8[[#This Row],[Date]])=2025,B239,0)+IF(ROW(H238)=1,0,H238)</f>
        <v>0</v>
      </c>
      <c r="I239">
        <f>MAX(Table8[Cumulative 2025])</f>
        <v>1377</v>
      </c>
      <c r="J239">
        <f>IF(YEAR(Table8[[#This Row],[Date]])=2026,B239,0)+IF(ROW(J238)=1,0,J238)</f>
        <v>0</v>
      </c>
      <c r="K239">
        <f>MAX(Table8[Cumulative 2026])</f>
        <v>3102</v>
      </c>
      <c r="BK239">
        <v>1</v>
      </c>
    </row>
    <row r="240" spans="1:63" hidden="1" x14ac:dyDescent="0.25">
      <c r="A240" s="1">
        <v>45449</v>
      </c>
      <c r="B240">
        <f>SUM(_xlfn.CHOOSEROWS(Table8[[The Golden Compass]:[end]],ROW()-1))</f>
        <v>0</v>
      </c>
      <c r="C240">
        <f>Table8[[#This Row],[Cumulative 2023 Q4]]+Table8[[#This Row],[Cumulative 2024]]+Table8[[#This Row],[Cumulative 2025]]+Table8[[#This Row],[Cumulative 2026]]</f>
        <v>8383</v>
      </c>
      <c r="D240">
        <f>IF(YEAR(Table8[[#This Row],[Date]])=2023,B240,0)+IF(ROW(D239)=1,0,D239)</f>
        <v>4195</v>
      </c>
      <c r="E240">
        <f>MAX(Table8[Cumulative 2023 Q4])</f>
        <v>4195</v>
      </c>
      <c r="F240">
        <f>IF(YEAR(Table8[[#This Row],[Date]])=2024,B240,0)+IF(ROW(F239)=1,0,F239)</f>
        <v>4188</v>
      </c>
      <c r="G240">
        <f>MAX(Table8[Cumulative 2024])</f>
        <v>5831</v>
      </c>
      <c r="H240">
        <f>IF(YEAR(Table8[[#This Row],[Date]])=2025,B240,0)+IF(ROW(H239)=1,0,H239)</f>
        <v>0</v>
      </c>
      <c r="I240">
        <f>MAX(Table8[Cumulative 2025])</f>
        <v>1377</v>
      </c>
      <c r="J240">
        <f>IF(YEAR(Table8[[#This Row],[Date]])=2026,B240,0)+IF(ROW(J239)=1,0,J239)</f>
        <v>0</v>
      </c>
      <c r="K240">
        <f>MAX(Table8[Cumulative 2026])</f>
        <v>3102</v>
      </c>
    </row>
    <row r="241" spans="1:63" hidden="1" x14ac:dyDescent="0.25">
      <c r="A241" s="1">
        <v>45450</v>
      </c>
      <c r="B241">
        <f>SUM(_xlfn.CHOOSEROWS(Table8[[The Golden Compass]:[end]],ROW()-1))</f>
        <v>0</v>
      </c>
      <c r="C241">
        <f>Table8[[#This Row],[Cumulative 2023 Q4]]+Table8[[#This Row],[Cumulative 2024]]+Table8[[#This Row],[Cumulative 2025]]+Table8[[#This Row],[Cumulative 2026]]</f>
        <v>8383</v>
      </c>
      <c r="D241">
        <f>IF(YEAR(Table8[[#This Row],[Date]])=2023,B241,0)+IF(ROW(D240)=1,0,D240)</f>
        <v>4195</v>
      </c>
      <c r="E241">
        <f>MAX(Table8[Cumulative 2023 Q4])</f>
        <v>4195</v>
      </c>
      <c r="F241">
        <f>IF(YEAR(Table8[[#This Row],[Date]])=2024,B241,0)+IF(ROW(F240)=1,0,F240)</f>
        <v>4188</v>
      </c>
      <c r="G241">
        <f>MAX(Table8[Cumulative 2024])</f>
        <v>5831</v>
      </c>
      <c r="H241">
        <f>IF(YEAR(Table8[[#This Row],[Date]])=2025,B241,0)+IF(ROW(H240)=1,0,H240)</f>
        <v>0</v>
      </c>
      <c r="I241">
        <f>MAX(Table8[Cumulative 2025])</f>
        <v>1377</v>
      </c>
      <c r="J241">
        <f>IF(YEAR(Table8[[#This Row],[Date]])=2026,B241,0)+IF(ROW(J240)=1,0,J240)</f>
        <v>0</v>
      </c>
      <c r="K241">
        <f>MAX(Table8[Cumulative 2026])</f>
        <v>3102</v>
      </c>
    </row>
    <row r="242" spans="1:63" hidden="1" x14ac:dyDescent="0.25">
      <c r="A242" s="1">
        <v>45451</v>
      </c>
      <c r="B242">
        <f>SUM(_xlfn.CHOOSEROWS(Table8[[The Golden Compass]:[end]],ROW()-1))</f>
        <v>0</v>
      </c>
      <c r="C242">
        <f>Table8[[#This Row],[Cumulative 2023 Q4]]+Table8[[#This Row],[Cumulative 2024]]+Table8[[#This Row],[Cumulative 2025]]+Table8[[#This Row],[Cumulative 2026]]</f>
        <v>8383</v>
      </c>
      <c r="D242">
        <f>IF(YEAR(Table8[[#This Row],[Date]])=2023,B242,0)+IF(ROW(D241)=1,0,D241)</f>
        <v>4195</v>
      </c>
      <c r="E242">
        <f>MAX(Table8[Cumulative 2023 Q4])</f>
        <v>4195</v>
      </c>
      <c r="F242">
        <f>IF(YEAR(Table8[[#This Row],[Date]])=2024,B242,0)+IF(ROW(F241)=1,0,F241)</f>
        <v>4188</v>
      </c>
      <c r="G242">
        <f>MAX(Table8[Cumulative 2024])</f>
        <v>5831</v>
      </c>
      <c r="H242">
        <f>IF(YEAR(Table8[[#This Row],[Date]])=2025,B242,0)+IF(ROW(H241)=1,0,H241)</f>
        <v>0</v>
      </c>
      <c r="I242">
        <f>MAX(Table8[Cumulative 2025])</f>
        <v>1377</v>
      </c>
      <c r="J242">
        <f>IF(YEAR(Table8[[#This Row],[Date]])=2026,B242,0)+IF(ROW(J241)=1,0,J241)</f>
        <v>0</v>
      </c>
      <c r="K242">
        <f>MAX(Table8[Cumulative 2026])</f>
        <v>3102</v>
      </c>
    </row>
    <row r="243" spans="1:63" hidden="1" x14ac:dyDescent="0.25">
      <c r="A243" s="1">
        <v>45452</v>
      </c>
      <c r="B243">
        <f>SUM(_xlfn.CHOOSEROWS(Table8[[The Golden Compass]:[end]],ROW()-1))</f>
        <v>0</v>
      </c>
      <c r="C243">
        <f>Table8[[#This Row],[Cumulative 2023 Q4]]+Table8[[#This Row],[Cumulative 2024]]+Table8[[#This Row],[Cumulative 2025]]+Table8[[#This Row],[Cumulative 2026]]</f>
        <v>8383</v>
      </c>
      <c r="D243">
        <f>IF(YEAR(Table8[[#This Row],[Date]])=2023,B243,0)+IF(ROW(D242)=1,0,D242)</f>
        <v>4195</v>
      </c>
      <c r="E243">
        <f>MAX(Table8[Cumulative 2023 Q4])</f>
        <v>4195</v>
      </c>
      <c r="F243">
        <f>IF(YEAR(Table8[[#This Row],[Date]])=2024,B243,0)+IF(ROW(F242)=1,0,F242)</f>
        <v>4188</v>
      </c>
      <c r="G243">
        <f>MAX(Table8[Cumulative 2024])</f>
        <v>5831</v>
      </c>
      <c r="H243">
        <f>IF(YEAR(Table8[[#This Row],[Date]])=2025,B243,0)+IF(ROW(H242)=1,0,H242)</f>
        <v>0</v>
      </c>
      <c r="I243">
        <f>MAX(Table8[Cumulative 2025])</f>
        <v>1377</v>
      </c>
      <c r="J243">
        <f>IF(YEAR(Table8[[#This Row],[Date]])=2026,B243,0)+IF(ROW(J242)=1,0,J242)</f>
        <v>0</v>
      </c>
      <c r="K243">
        <f>MAX(Table8[Cumulative 2026])</f>
        <v>3102</v>
      </c>
    </row>
    <row r="244" spans="1:63" hidden="1" x14ac:dyDescent="0.25">
      <c r="A244" s="1">
        <v>45453</v>
      </c>
      <c r="B244">
        <f>SUM(_xlfn.CHOOSEROWS(Table8[[The Golden Compass]:[end]],ROW()-1))</f>
        <v>0</v>
      </c>
      <c r="C244">
        <f>Table8[[#This Row],[Cumulative 2023 Q4]]+Table8[[#This Row],[Cumulative 2024]]+Table8[[#This Row],[Cumulative 2025]]+Table8[[#This Row],[Cumulative 2026]]</f>
        <v>8383</v>
      </c>
      <c r="D244">
        <f>IF(YEAR(Table8[[#This Row],[Date]])=2023,B244,0)+IF(ROW(D243)=1,0,D243)</f>
        <v>4195</v>
      </c>
      <c r="E244">
        <f>MAX(Table8[Cumulative 2023 Q4])</f>
        <v>4195</v>
      </c>
      <c r="F244">
        <f>IF(YEAR(Table8[[#This Row],[Date]])=2024,B244,0)+IF(ROW(F243)=1,0,F243)</f>
        <v>4188</v>
      </c>
      <c r="G244">
        <f>MAX(Table8[Cumulative 2024])</f>
        <v>5831</v>
      </c>
      <c r="H244">
        <f>IF(YEAR(Table8[[#This Row],[Date]])=2025,B244,0)+IF(ROW(H243)=1,0,H243)</f>
        <v>0</v>
      </c>
      <c r="I244">
        <f>MAX(Table8[Cumulative 2025])</f>
        <v>1377</v>
      </c>
      <c r="J244">
        <f>IF(YEAR(Table8[[#This Row],[Date]])=2026,B244,0)+IF(ROW(J243)=1,0,J243)</f>
        <v>0</v>
      </c>
      <c r="K244">
        <f>MAX(Table8[Cumulative 2026])</f>
        <v>3102</v>
      </c>
    </row>
    <row r="245" spans="1:63" hidden="1" x14ac:dyDescent="0.25">
      <c r="A245" s="1">
        <v>45454</v>
      </c>
      <c r="B245">
        <f>SUM(_xlfn.CHOOSEROWS(Table8[[The Golden Compass]:[end]],ROW()-1))</f>
        <v>0</v>
      </c>
      <c r="C245">
        <f>Table8[[#This Row],[Cumulative 2023 Q4]]+Table8[[#This Row],[Cumulative 2024]]+Table8[[#This Row],[Cumulative 2025]]+Table8[[#This Row],[Cumulative 2026]]</f>
        <v>8383</v>
      </c>
      <c r="D245">
        <f>IF(YEAR(Table8[[#This Row],[Date]])=2023,B245,0)+IF(ROW(D244)=1,0,D244)</f>
        <v>4195</v>
      </c>
      <c r="E245">
        <f>MAX(Table8[Cumulative 2023 Q4])</f>
        <v>4195</v>
      </c>
      <c r="F245">
        <f>IF(YEAR(Table8[[#This Row],[Date]])=2024,B245,0)+IF(ROW(F244)=1,0,F244)</f>
        <v>4188</v>
      </c>
      <c r="G245">
        <f>MAX(Table8[Cumulative 2024])</f>
        <v>5831</v>
      </c>
      <c r="H245">
        <f>IF(YEAR(Table8[[#This Row],[Date]])=2025,B245,0)+IF(ROW(H244)=1,0,H244)</f>
        <v>0</v>
      </c>
      <c r="I245">
        <f>MAX(Table8[Cumulative 2025])</f>
        <v>1377</v>
      </c>
      <c r="J245">
        <f>IF(YEAR(Table8[[#This Row],[Date]])=2026,B245,0)+IF(ROW(J244)=1,0,J244)</f>
        <v>0</v>
      </c>
      <c r="K245">
        <f>MAX(Table8[Cumulative 2026])</f>
        <v>3102</v>
      </c>
    </row>
    <row r="246" spans="1:63" hidden="1" x14ac:dyDescent="0.25">
      <c r="A246" s="1">
        <v>45455</v>
      </c>
      <c r="B246">
        <f>SUM(_xlfn.CHOOSEROWS(Table8[[The Golden Compass]:[end]],ROW()-1))</f>
        <v>0</v>
      </c>
      <c r="C246">
        <f>Table8[[#This Row],[Cumulative 2023 Q4]]+Table8[[#This Row],[Cumulative 2024]]+Table8[[#This Row],[Cumulative 2025]]+Table8[[#This Row],[Cumulative 2026]]</f>
        <v>8383</v>
      </c>
      <c r="D246">
        <f>IF(YEAR(Table8[[#This Row],[Date]])=2023,B246,0)+IF(ROW(D245)=1,0,D245)</f>
        <v>4195</v>
      </c>
      <c r="E246">
        <f>MAX(Table8[Cumulative 2023 Q4])</f>
        <v>4195</v>
      </c>
      <c r="F246">
        <f>IF(YEAR(Table8[[#This Row],[Date]])=2024,B246,0)+IF(ROW(F245)=1,0,F245)</f>
        <v>4188</v>
      </c>
      <c r="G246">
        <f>MAX(Table8[Cumulative 2024])</f>
        <v>5831</v>
      </c>
      <c r="H246">
        <f>IF(YEAR(Table8[[#This Row],[Date]])=2025,B246,0)+IF(ROW(H245)=1,0,H245)</f>
        <v>0</v>
      </c>
      <c r="I246">
        <f>MAX(Table8[Cumulative 2025])</f>
        <v>1377</v>
      </c>
      <c r="J246">
        <f>IF(YEAR(Table8[[#This Row],[Date]])=2026,B246,0)+IF(ROW(J245)=1,0,J245)</f>
        <v>0</v>
      </c>
      <c r="K246">
        <f>MAX(Table8[Cumulative 2026])</f>
        <v>3102</v>
      </c>
    </row>
    <row r="247" spans="1:63" hidden="1" x14ac:dyDescent="0.25">
      <c r="A247" s="1">
        <v>45456</v>
      </c>
      <c r="B247">
        <f>SUM(_xlfn.CHOOSEROWS(Table8[[The Golden Compass]:[end]],ROW()-1))</f>
        <v>0</v>
      </c>
      <c r="C247">
        <f>Table8[[#This Row],[Cumulative 2023 Q4]]+Table8[[#This Row],[Cumulative 2024]]+Table8[[#This Row],[Cumulative 2025]]+Table8[[#This Row],[Cumulative 2026]]</f>
        <v>8383</v>
      </c>
      <c r="D247">
        <f>IF(YEAR(Table8[[#This Row],[Date]])=2023,B247,0)+IF(ROW(D246)=1,0,D246)</f>
        <v>4195</v>
      </c>
      <c r="E247">
        <f>MAX(Table8[Cumulative 2023 Q4])</f>
        <v>4195</v>
      </c>
      <c r="F247">
        <f>IF(YEAR(Table8[[#This Row],[Date]])=2024,B247,0)+IF(ROW(F246)=1,0,F246)</f>
        <v>4188</v>
      </c>
      <c r="G247">
        <f>MAX(Table8[Cumulative 2024])</f>
        <v>5831</v>
      </c>
      <c r="H247">
        <f>IF(YEAR(Table8[[#This Row],[Date]])=2025,B247,0)+IF(ROW(H246)=1,0,H246)</f>
        <v>0</v>
      </c>
      <c r="I247">
        <f>MAX(Table8[Cumulative 2025])</f>
        <v>1377</v>
      </c>
      <c r="J247">
        <f>IF(YEAR(Table8[[#This Row],[Date]])=2026,B247,0)+IF(ROW(J246)=1,0,J246)</f>
        <v>0</v>
      </c>
      <c r="K247">
        <f>MAX(Table8[Cumulative 2026])</f>
        <v>3102</v>
      </c>
    </row>
    <row r="248" spans="1:63" hidden="1" x14ac:dyDescent="0.25">
      <c r="A248" s="1">
        <v>45457</v>
      </c>
      <c r="B248">
        <f>SUM(_xlfn.CHOOSEROWS(Table8[[The Golden Compass]:[end]],ROW()-1))</f>
        <v>0</v>
      </c>
      <c r="C248">
        <f>Table8[[#This Row],[Cumulative 2023 Q4]]+Table8[[#This Row],[Cumulative 2024]]+Table8[[#This Row],[Cumulative 2025]]+Table8[[#This Row],[Cumulative 2026]]</f>
        <v>8383</v>
      </c>
      <c r="D248">
        <f>IF(YEAR(Table8[[#This Row],[Date]])=2023,B248,0)+IF(ROW(D247)=1,0,D247)</f>
        <v>4195</v>
      </c>
      <c r="E248">
        <f>MAX(Table8[Cumulative 2023 Q4])</f>
        <v>4195</v>
      </c>
      <c r="F248">
        <f>IF(YEAR(Table8[[#This Row],[Date]])=2024,B248,0)+IF(ROW(F247)=1,0,F247)</f>
        <v>4188</v>
      </c>
      <c r="G248">
        <f>MAX(Table8[Cumulative 2024])</f>
        <v>5831</v>
      </c>
      <c r="H248">
        <f>IF(YEAR(Table8[[#This Row],[Date]])=2025,B248,0)+IF(ROW(H247)=1,0,H247)</f>
        <v>0</v>
      </c>
      <c r="I248">
        <f>MAX(Table8[Cumulative 2025])</f>
        <v>1377</v>
      </c>
      <c r="J248">
        <f>IF(YEAR(Table8[[#This Row],[Date]])=2026,B248,0)+IF(ROW(J247)=1,0,J247)</f>
        <v>0</v>
      </c>
      <c r="K248">
        <f>MAX(Table8[Cumulative 2026])</f>
        <v>3102</v>
      </c>
    </row>
    <row r="249" spans="1:63" hidden="1" x14ac:dyDescent="0.25">
      <c r="A249" s="1">
        <v>45458</v>
      </c>
      <c r="B249">
        <f>SUM(_xlfn.CHOOSEROWS(Table8[[The Golden Compass]:[end]],ROW()-1))</f>
        <v>0</v>
      </c>
      <c r="C249">
        <f>Table8[[#This Row],[Cumulative 2023 Q4]]+Table8[[#This Row],[Cumulative 2024]]+Table8[[#This Row],[Cumulative 2025]]+Table8[[#This Row],[Cumulative 2026]]</f>
        <v>8383</v>
      </c>
      <c r="D249">
        <f>IF(YEAR(Table8[[#This Row],[Date]])=2023,B249,0)+IF(ROW(D248)=1,0,D248)</f>
        <v>4195</v>
      </c>
      <c r="E249">
        <f>MAX(Table8[Cumulative 2023 Q4])</f>
        <v>4195</v>
      </c>
      <c r="F249">
        <f>IF(YEAR(Table8[[#This Row],[Date]])=2024,B249,0)+IF(ROW(F248)=1,0,F248)</f>
        <v>4188</v>
      </c>
      <c r="G249">
        <f>MAX(Table8[Cumulative 2024])</f>
        <v>5831</v>
      </c>
      <c r="H249">
        <f>IF(YEAR(Table8[[#This Row],[Date]])=2025,B249,0)+IF(ROW(H248)=1,0,H248)</f>
        <v>0</v>
      </c>
      <c r="I249">
        <f>MAX(Table8[Cumulative 2025])</f>
        <v>1377</v>
      </c>
      <c r="J249">
        <f>IF(YEAR(Table8[[#This Row],[Date]])=2026,B249,0)+IF(ROW(J248)=1,0,J248)</f>
        <v>0</v>
      </c>
      <c r="K249">
        <f>MAX(Table8[Cumulative 2026])</f>
        <v>3102</v>
      </c>
    </row>
    <row r="250" spans="1:63" hidden="1" x14ac:dyDescent="0.25">
      <c r="A250" s="1">
        <v>45459</v>
      </c>
      <c r="B250">
        <f>SUM(_xlfn.CHOOSEROWS(Table8[[The Golden Compass]:[end]],ROW()-1))</f>
        <v>0</v>
      </c>
      <c r="C250">
        <f>Table8[[#This Row],[Cumulative 2023 Q4]]+Table8[[#This Row],[Cumulative 2024]]+Table8[[#This Row],[Cumulative 2025]]+Table8[[#This Row],[Cumulative 2026]]</f>
        <v>8383</v>
      </c>
      <c r="D250">
        <f>IF(YEAR(Table8[[#This Row],[Date]])=2023,B250,0)+IF(ROW(D249)=1,0,D249)</f>
        <v>4195</v>
      </c>
      <c r="E250">
        <f>MAX(Table8[Cumulative 2023 Q4])</f>
        <v>4195</v>
      </c>
      <c r="F250">
        <f>IF(YEAR(Table8[[#This Row],[Date]])=2024,B250,0)+IF(ROW(F249)=1,0,F249)</f>
        <v>4188</v>
      </c>
      <c r="G250">
        <f>MAX(Table8[Cumulative 2024])</f>
        <v>5831</v>
      </c>
      <c r="H250">
        <f>IF(YEAR(Table8[[#This Row],[Date]])=2025,B250,0)+IF(ROW(H249)=1,0,H249)</f>
        <v>0</v>
      </c>
      <c r="I250">
        <f>MAX(Table8[Cumulative 2025])</f>
        <v>1377</v>
      </c>
      <c r="J250">
        <f>IF(YEAR(Table8[[#This Row],[Date]])=2026,B250,0)+IF(ROW(J249)=1,0,J249)</f>
        <v>0</v>
      </c>
      <c r="K250">
        <f>MAX(Table8[Cumulative 2026])</f>
        <v>3102</v>
      </c>
    </row>
    <row r="251" spans="1:63" hidden="1" x14ac:dyDescent="0.25">
      <c r="A251" s="1">
        <v>45460</v>
      </c>
      <c r="B251">
        <f>SUM(_xlfn.CHOOSEROWS(Table8[[The Golden Compass]:[end]],ROW()-1))</f>
        <v>1</v>
      </c>
      <c r="C251">
        <f>Table8[[#This Row],[Cumulative 2023 Q4]]+Table8[[#This Row],[Cumulative 2024]]+Table8[[#This Row],[Cumulative 2025]]+Table8[[#This Row],[Cumulative 2026]]</f>
        <v>8384</v>
      </c>
      <c r="D251">
        <f>IF(YEAR(Table8[[#This Row],[Date]])=2023,B251,0)+IF(ROW(D250)=1,0,D250)</f>
        <v>4195</v>
      </c>
      <c r="E251">
        <f>MAX(Table8[Cumulative 2023 Q4])</f>
        <v>4195</v>
      </c>
      <c r="F251">
        <f>IF(YEAR(Table8[[#This Row],[Date]])=2024,B251,0)+IF(ROW(F250)=1,0,F250)</f>
        <v>4189</v>
      </c>
      <c r="G251">
        <f>MAX(Table8[Cumulative 2024])</f>
        <v>5831</v>
      </c>
      <c r="H251">
        <f>IF(YEAR(Table8[[#This Row],[Date]])=2025,B251,0)+IF(ROW(H250)=1,0,H250)</f>
        <v>0</v>
      </c>
      <c r="I251">
        <f>MAX(Table8[Cumulative 2025])</f>
        <v>1377</v>
      </c>
      <c r="J251">
        <f>IF(YEAR(Table8[[#This Row],[Date]])=2026,B251,0)+IF(ROW(J250)=1,0,J250)</f>
        <v>0</v>
      </c>
      <c r="K251">
        <f>MAX(Table8[Cumulative 2026])</f>
        <v>3102</v>
      </c>
      <c r="BK251">
        <v>1</v>
      </c>
    </row>
    <row r="252" spans="1:63" hidden="1" x14ac:dyDescent="0.25">
      <c r="A252" s="1">
        <v>45461</v>
      </c>
      <c r="B252">
        <f>SUM(_xlfn.CHOOSEROWS(Table8[[The Golden Compass]:[end]],ROW()-1))</f>
        <v>1</v>
      </c>
      <c r="C252">
        <f>Table8[[#This Row],[Cumulative 2023 Q4]]+Table8[[#This Row],[Cumulative 2024]]+Table8[[#This Row],[Cumulative 2025]]+Table8[[#This Row],[Cumulative 2026]]</f>
        <v>8385</v>
      </c>
      <c r="D252">
        <f>IF(YEAR(Table8[[#This Row],[Date]])=2023,B252,0)+IF(ROW(D251)=1,0,D251)</f>
        <v>4195</v>
      </c>
      <c r="E252">
        <f>MAX(Table8[Cumulative 2023 Q4])</f>
        <v>4195</v>
      </c>
      <c r="F252">
        <f>IF(YEAR(Table8[[#This Row],[Date]])=2024,B252,0)+IF(ROW(F251)=1,0,F251)</f>
        <v>4190</v>
      </c>
      <c r="G252">
        <f>MAX(Table8[Cumulative 2024])</f>
        <v>5831</v>
      </c>
      <c r="H252">
        <f>IF(YEAR(Table8[[#This Row],[Date]])=2025,B252,0)+IF(ROW(H251)=1,0,H251)</f>
        <v>0</v>
      </c>
      <c r="I252">
        <f>MAX(Table8[Cumulative 2025])</f>
        <v>1377</v>
      </c>
      <c r="J252">
        <f>IF(YEAR(Table8[[#This Row],[Date]])=2026,B252,0)+IF(ROW(J251)=1,0,J251)</f>
        <v>0</v>
      </c>
      <c r="K252">
        <f>MAX(Table8[Cumulative 2026])</f>
        <v>3102</v>
      </c>
      <c r="BK252">
        <v>1</v>
      </c>
    </row>
    <row r="253" spans="1:63" hidden="1" x14ac:dyDescent="0.25">
      <c r="A253" s="1">
        <v>45462</v>
      </c>
      <c r="B253">
        <f>SUM(_xlfn.CHOOSEROWS(Table8[[The Golden Compass]:[end]],ROW()-1))</f>
        <v>0</v>
      </c>
      <c r="C253">
        <f>Table8[[#This Row],[Cumulative 2023 Q4]]+Table8[[#This Row],[Cumulative 2024]]+Table8[[#This Row],[Cumulative 2025]]+Table8[[#This Row],[Cumulative 2026]]</f>
        <v>8385</v>
      </c>
      <c r="D253">
        <f>IF(YEAR(Table8[[#This Row],[Date]])=2023,B253,0)+IF(ROW(D252)=1,0,D252)</f>
        <v>4195</v>
      </c>
      <c r="E253">
        <f>MAX(Table8[Cumulative 2023 Q4])</f>
        <v>4195</v>
      </c>
      <c r="F253">
        <f>IF(YEAR(Table8[[#This Row],[Date]])=2024,B253,0)+IF(ROW(F252)=1,0,F252)</f>
        <v>4190</v>
      </c>
      <c r="G253">
        <f>MAX(Table8[Cumulative 2024])</f>
        <v>5831</v>
      </c>
      <c r="H253">
        <f>IF(YEAR(Table8[[#This Row],[Date]])=2025,B253,0)+IF(ROW(H252)=1,0,H252)</f>
        <v>0</v>
      </c>
      <c r="I253">
        <f>MAX(Table8[Cumulative 2025])</f>
        <v>1377</v>
      </c>
      <c r="J253">
        <f>IF(YEAR(Table8[[#This Row],[Date]])=2026,B253,0)+IF(ROW(J252)=1,0,J252)</f>
        <v>0</v>
      </c>
      <c r="K253">
        <f>MAX(Table8[Cumulative 2026])</f>
        <v>3102</v>
      </c>
    </row>
    <row r="254" spans="1:63" hidden="1" x14ac:dyDescent="0.25">
      <c r="A254" s="1">
        <v>45463</v>
      </c>
      <c r="B254">
        <f>SUM(_xlfn.CHOOSEROWS(Table8[[The Golden Compass]:[end]],ROW()-1))</f>
        <v>0</v>
      </c>
      <c r="C254">
        <f>Table8[[#This Row],[Cumulative 2023 Q4]]+Table8[[#This Row],[Cumulative 2024]]+Table8[[#This Row],[Cumulative 2025]]+Table8[[#This Row],[Cumulative 2026]]</f>
        <v>8385</v>
      </c>
      <c r="D254">
        <f>IF(YEAR(Table8[[#This Row],[Date]])=2023,B254,0)+IF(ROW(D253)=1,0,D253)</f>
        <v>4195</v>
      </c>
      <c r="E254">
        <f>MAX(Table8[Cumulative 2023 Q4])</f>
        <v>4195</v>
      </c>
      <c r="F254">
        <f>IF(YEAR(Table8[[#This Row],[Date]])=2024,B254,0)+IF(ROW(F253)=1,0,F253)</f>
        <v>4190</v>
      </c>
      <c r="G254">
        <f>MAX(Table8[Cumulative 2024])</f>
        <v>5831</v>
      </c>
      <c r="H254">
        <f>IF(YEAR(Table8[[#This Row],[Date]])=2025,B254,0)+IF(ROW(H253)=1,0,H253)</f>
        <v>0</v>
      </c>
      <c r="I254">
        <f>MAX(Table8[Cumulative 2025])</f>
        <v>1377</v>
      </c>
      <c r="J254">
        <f>IF(YEAR(Table8[[#This Row],[Date]])=2026,B254,0)+IF(ROW(J253)=1,0,J253)</f>
        <v>0</v>
      </c>
      <c r="K254">
        <f>MAX(Table8[Cumulative 2026])</f>
        <v>3102</v>
      </c>
    </row>
    <row r="255" spans="1:63" hidden="1" x14ac:dyDescent="0.25">
      <c r="A255" s="1">
        <v>45464</v>
      </c>
      <c r="B255">
        <f>SUM(_xlfn.CHOOSEROWS(Table8[[The Golden Compass]:[end]],ROW()-1))</f>
        <v>0</v>
      </c>
      <c r="C255">
        <f>Table8[[#This Row],[Cumulative 2023 Q4]]+Table8[[#This Row],[Cumulative 2024]]+Table8[[#This Row],[Cumulative 2025]]+Table8[[#This Row],[Cumulative 2026]]</f>
        <v>8385</v>
      </c>
      <c r="D255">
        <f>IF(YEAR(Table8[[#This Row],[Date]])=2023,B255,0)+IF(ROW(D254)=1,0,D254)</f>
        <v>4195</v>
      </c>
      <c r="E255">
        <f>MAX(Table8[Cumulative 2023 Q4])</f>
        <v>4195</v>
      </c>
      <c r="F255">
        <f>IF(YEAR(Table8[[#This Row],[Date]])=2024,B255,0)+IF(ROW(F254)=1,0,F254)</f>
        <v>4190</v>
      </c>
      <c r="G255">
        <f>MAX(Table8[Cumulative 2024])</f>
        <v>5831</v>
      </c>
      <c r="H255">
        <f>IF(YEAR(Table8[[#This Row],[Date]])=2025,B255,0)+IF(ROW(H254)=1,0,H254)</f>
        <v>0</v>
      </c>
      <c r="I255">
        <f>MAX(Table8[Cumulative 2025])</f>
        <v>1377</v>
      </c>
      <c r="J255">
        <f>IF(YEAR(Table8[[#This Row],[Date]])=2026,B255,0)+IF(ROW(J254)=1,0,J254)</f>
        <v>0</v>
      </c>
      <c r="K255">
        <f>MAX(Table8[Cumulative 2026])</f>
        <v>3102</v>
      </c>
    </row>
    <row r="256" spans="1:63" hidden="1" x14ac:dyDescent="0.25">
      <c r="A256" s="1">
        <v>45465</v>
      </c>
      <c r="B256">
        <f>SUM(_xlfn.CHOOSEROWS(Table8[[The Golden Compass]:[end]],ROW()-1))</f>
        <v>0</v>
      </c>
      <c r="C256">
        <f>Table8[[#This Row],[Cumulative 2023 Q4]]+Table8[[#This Row],[Cumulative 2024]]+Table8[[#This Row],[Cumulative 2025]]+Table8[[#This Row],[Cumulative 2026]]</f>
        <v>8385</v>
      </c>
      <c r="D256">
        <f>IF(YEAR(Table8[[#This Row],[Date]])=2023,B256,0)+IF(ROW(D255)=1,0,D255)</f>
        <v>4195</v>
      </c>
      <c r="E256">
        <f>MAX(Table8[Cumulative 2023 Q4])</f>
        <v>4195</v>
      </c>
      <c r="F256">
        <f>IF(YEAR(Table8[[#This Row],[Date]])=2024,B256,0)+IF(ROW(F255)=1,0,F255)</f>
        <v>4190</v>
      </c>
      <c r="G256">
        <f>MAX(Table8[Cumulative 2024])</f>
        <v>5831</v>
      </c>
      <c r="H256">
        <f>IF(YEAR(Table8[[#This Row],[Date]])=2025,B256,0)+IF(ROW(H255)=1,0,H255)</f>
        <v>0</v>
      </c>
      <c r="I256">
        <f>MAX(Table8[Cumulative 2025])</f>
        <v>1377</v>
      </c>
      <c r="J256">
        <f>IF(YEAR(Table8[[#This Row],[Date]])=2026,B256,0)+IF(ROW(J255)=1,0,J255)</f>
        <v>0</v>
      </c>
      <c r="K256">
        <f>MAX(Table8[Cumulative 2026])</f>
        <v>3102</v>
      </c>
    </row>
    <row r="257" spans="1:63" hidden="1" x14ac:dyDescent="0.25">
      <c r="A257" s="1">
        <v>45466</v>
      </c>
      <c r="B257">
        <f>SUM(_xlfn.CHOOSEROWS(Table8[[The Golden Compass]:[end]],ROW()-1))</f>
        <v>0</v>
      </c>
      <c r="C257">
        <f>Table8[[#This Row],[Cumulative 2023 Q4]]+Table8[[#This Row],[Cumulative 2024]]+Table8[[#This Row],[Cumulative 2025]]+Table8[[#This Row],[Cumulative 2026]]</f>
        <v>8385</v>
      </c>
      <c r="D257">
        <f>IF(YEAR(Table8[[#This Row],[Date]])=2023,B257,0)+IF(ROW(D256)=1,0,D256)</f>
        <v>4195</v>
      </c>
      <c r="E257">
        <f>MAX(Table8[Cumulative 2023 Q4])</f>
        <v>4195</v>
      </c>
      <c r="F257">
        <f>IF(YEAR(Table8[[#This Row],[Date]])=2024,B257,0)+IF(ROW(F256)=1,0,F256)</f>
        <v>4190</v>
      </c>
      <c r="G257">
        <f>MAX(Table8[Cumulative 2024])</f>
        <v>5831</v>
      </c>
      <c r="H257">
        <f>IF(YEAR(Table8[[#This Row],[Date]])=2025,B257,0)+IF(ROW(H256)=1,0,H256)</f>
        <v>0</v>
      </c>
      <c r="I257">
        <f>MAX(Table8[Cumulative 2025])</f>
        <v>1377</v>
      </c>
      <c r="J257">
        <f>IF(YEAR(Table8[[#This Row],[Date]])=2026,B257,0)+IF(ROW(J256)=1,0,J256)</f>
        <v>0</v>
      </c>
      <c r="K257">
        <f>MAX(Table8[Cumulative 2026])</f>
        <v>3102</v>
      </c>
    </row>
    <row r="258" spans="1:63" hidden="1" x14ac:dyDescent="0.25">
      <c r="A258" s="1">
        <v>45467</v>
      </c>
      <c r="B258">
        <f>SUM(_xlfn.CHOOSEROWS(Table8[[The Golden Compass]:[end]],ROW()-1))</f>
        <v>1</v>
      </c>
      <c r="C258">
        <f>Table8[[#This Row],[Cumulative 2023 Q4]]+Table8[[#This Row],[Cumulative 2024]]+Table8[[#This Row],[Cumulative 2025]]+Table8[[#This Row],[Cumulative 2026]]</f>
        <v>8386</v>
      </c>
      <c r="D258">
        <f>IF(YEAR(Table8[[#This Row],[Date]])=2023,B258,0)+IF(ROW(D257)=1,0,D257)</f>
        <v>4195</v>
      </c>
      <c r="E258">
        <f>MAX(Table8[Cumulative 2023 Q4])</f>
        <v>4195</v>
      </c>
      <c r="F258">
        <f>IF(YEAR(Table8[[#This Row],[Date]])=2024,B258,0)+IF(ROW(F257)=1,0,F257)</f>
        <v>4191</v>
      </c>
      <c r="G258">
        <f>MAX(Table8[Cumulative 2024])</f>
        <v>5831</v>
      </c>
      <c r="H258">
        <f>IF(YEAR(Table8[[#This Row],[Date]])=2025,B258,0)+IF(ROW(H257)=1,0,H257)</f>
        <v>0</v>
      </c>
      <c r="I258">
        <f>MAX(Table8[Cumulative 2025])</f>
        <v>1377</v>
      </c>
      <c r="J258">
        <f>IF(YEAR(Table8[[#This Row],[Date]])=2026,B258,0)+IF(ROW(J257)=1,0,J257)</f>
        <v>0</v>
      </c>
      <c r="K258">
        <f>MAX(Table8[Cumulative 2026])</f>
        <v>3102</v>
      </c>
      <c r="BK258">
        <v>1</v>
      </c>
    </row>
    <row r="259" spans="1:63" hidden="1" x14ac:dyDescent="0.25">
      <c r="A259" s="1">
        <v>45468</v>
      </c>
      <c r="B259">
        <f>SUM(_xlfn.CHOOSEROWS(Table8[[The Golden Compass]:[end]],ROW()-1))</f>
        <v>1</v>
      </c>
      <c r="C259">
        <f>Table8[[#This Row],[Cumulative 2023 Q4]]+Table8[[#This Row],[Cumulative 2024]]+Table8[[#This Row],[Cumulative 2025]]+Table8[[#This Row],[Cumulative 2026]]</f>
        <v>8387</v>
      </c>
      <c r="D259">
        <f>IF(YEAR(Table8[[#This Row],[Date]])=2023,B259,0)+IF(ROW(D258)=1,0,D258)</f>
        <v>4195</v>
      </c>
      <c r="E259">
        <f>MAX(Table8[Cumulative 2023 Q4])</f>
        <v>4195</v>
      </c>
      <c r="F259">
        <f>IF(YEAR(Table8[[#This Row],[Date]])=2024,B259,0)+IF(ROW(F258)=1,0,F258)</f>
        <v>4192</v>
      </c>
      <c r="G259">
        <f>MAX(Table8[Cumulative 2024])</f>
        <v>5831</v>
      </c>
      <c r="H259">
        <f>IF(YEAR(Table8[[#This Row],[Date]])=2025,B259,0)+IF(ROW(H258)=1,0,H258)</f>
        <v>0</v>
      </c>
      <c r="I259">
        <f>MAX(Table8[Cumulative 2025])</f>
        <v>1377</v>
      </c>
      <c r="J259">
        <f>IF(YEAR(Table8[[#This Row],[Date]])=2026,B259,0)+IF(ROW(J258)=1,0,J258)</f>
        <v>0</v>
      </c>
      <c r="K259">
        <f>MAX(Table8[Cumulative 2026])</f>
        <v>3102</v>
      </c>
      <c r="BK259">
        <v>1</v>
      </c>
    </row>
    <row r="260" spans="1:63" hidden="1" x14ac:dyDescent="0.25">
      <c r="A260" s="1">
        <v>45469</v>
      </c>
      <c r="B260">
        <f>SUM(_xlfn.CHOOSEROWS(Table8[[The Golden Compass]:[end]],ROW()-1))</f>
        <v>0</v>
      </c>
      <c r="C260">
        <f>Table8[[#This Row],[Cumulative 2023 Q4]]+Table8[[#This Row],[Cumulative 2024]]+Table8[[#This Row],[Cumulative 2025]]+Table8[[#This Row],[Cumulative 2026]]</f>
        <v>8387</v>
      </c>
      <c r="D260">
        <f>IF(YEAR(Table8[[#This Row],[Date]])=2023,B260,0)+IF(ROW(D259)=1,0,D259)</f>
        <v>4195</v>
      </c>
      <c r="E260">
        <f>MAX(Table8[Cumulative 2023 Q4])</f>
        <v>4195</v>
      </c>
      <c r="F260">
        <f>IF(YEAR(Table8[[#This Row],[Date]])=2024,B260,0)+IF(ROW(F259)=1,0,F259)</f>
        <v>4192</v>
      </c>
      <c r="G260">
        <f>MAX(Table8[Cumulative 2024])</f>
        <v>5831</v>
      </c>
      <c r="H260">
        <f>IF(YEAR(Table8[[#This Row],[Date]])=2025,B260,0)+IF(ROW(H259)=1,0,H259)</f>
        <v>0</v>
      </c>
      <c r="I260">
        <f>MAX(Table8[Cumulative 2025])</f>
        <v>1377</v>
      </c>
      <c r="J260">
        <f>IF(YEAR(Table8[[#This Row],[Date]])=2026,B260,0)+IF(ROW(J259)=1,0,J259)</f>
        <v>0</v>
      </c>
      <c r="K260">
        <f>MAX(Table8[Cumulative 2026])</f>
        <v>3102</v>
      </c>
    </row>
    <row r="261" spans="1:63" hidden="1" x14ac:dyDescent="0.25">
      <c r="A261" s="1">
        <v>45470</v>
      </c>
      <c r="B261">
        <f>SUM(_xlfn.CHOOSEROWS(Table8[[The Golden Compass]:[end]],ROW()-1))</f>
        <v>0</v>
      </c>
      <c r="C261">
        <f>Table8[[#This Row],[Cumulative 2023 Q4]]+Table8[[#This Row],[Cumulative 2024]]+Table8[[#This Row],[Cumulative 2025]]+Table8[[#This Row],[Cumulative 2026]]</f>
        <v>8387</v>
      </c>
      <c r="D261">
        <f>IF(YEAR(Table8[[#This Row],[Date]])=2023,B261,0)+IF(ROW(D260)=1,0,D260)</f>
        <v>4195</v>
      </c>
      <c r="E261">
        <f>MAX(Table8[Cumulative 2023 Q4])</f>
        <v>4195</v>
      </c>
      <c r="F261">
        <f>IF(YEAR(Table8[[#This Row],[Date]])=2024,B261,0)+IF(ROW(F260)=1,0,F260)</f>
        <v>4192</v>
      </c>
      <c r="G261">
        <f>MAX(Table8[Cumulative 2024])</f>
        <v>5831</v>
      </c>
      <c r="H261">
        <f>IF(YEAR(Table8[[#This Row],[Date]])=2025,B261,0)+IF(ROW(H260)=1,0,H260)</f>
        <v>0</v>
      </c>
      <c r="I261">
        <f>MAX(Table8[Cumulative 2025])</f>
        <v>1377</v>
      </c>
      <c r="J261">
        <f>IF(YEAR(Table8[[#This Row],[Date]])=2026,B261,0)+IF(ROW(J260)=1,0,J260)</f>
        <v>0</v>
      </c>
      <c r="K261">
        <f>MAX(Table8[Cumulative 2026])</f>
        <v>3102</v>
      </c>
    </row>
    <row r="262" spans="1:63" hidden="1" x14ac:dyDescent="0.25">
      <c r="A262" s="1">
        <v>45471</v>
      </c>
      <c r="B262">
        <f>SUM(_xlfn.CHOOSEROWS(Table8[[The Golden Compass]:[end]],ROW()-1))</f>
        <v>0</v>
      </c>
      <c r="C262">
        <f>Table8[[#This Row],[Cumulative 2023 Q4]]+Table8[[#This Row],[Cumulative 2024]]+Table8[[#This Row],[Cumulative 2025]]+Table8[[#This Row],[Cumulative 2026]]</f>
        <v>8387</v>
      </c>
      <c r="D262">
        <f>IF(YEAR(Table8[[#This Row],[Date]])=2023,B262,0)+IF(ROW(D261)=1,0,D261)</f>
        <v>4195</v>
      </c>
      <c r="E262">
        <f>MAX(Table8[Cumulative 2023 Q4])</f>
        <v>4195</v>
      </c>
      <c r="F262">
        <f>IF(YEAR(Table8[[#This Row],[Date]])=2024,B262,0)+IF(ROW(F261)=1,0,F261)</f>
        <v>4192</v>
      </c>
      <c r="G262">
        <f>MAX(Table8[Cumulative 2024])</f>
        <v>5831</v>
      </c>
      <c r="H262">
        <f>IF(YEAR(Table8[[#This Row],[Date]])=2025,B262,0)+IF(ROW(H261)=1,0,H261)</f>
        <v>0</v>
      </c>
      <c r="I262">
        <f>MAX(Table8[Cumulative 2025])</f>
        <v>1377</v>
      </c>
      <c r="J262">
        <f>IF(YEAR(Table8[[#This Row],[Date]])=2026,B262,0)+IF(ROW(J261)=1,0,J261)</f>
        <v>0</v>
      </c>
      <c r="K262">
        <f>MAX(Table8[Cumulative 2026])</f>
        <v>3102</v>
      </c>
    </row>
    <row r="263" spans="1:63" hidden="1" x14ac:dyDescent="0.25">
      <c r="A263" s="1">
        <v>45472</v>
      </c>
      <c r="B263">
        <f>SUM(_xlfn.CHOOSEROWS(Table8[[The Golden Compass]:[end]],ROW()-1))</f>
        <v>0</v>
      </c>
      <c r="C263">
        <f>Table8[[#This Row],[Cumulative 2023 Q4]]+Table8[[#This Row],[Cumulative 2024]]+Table8[[#This Row],[Cumulative 2025]]+Table8[[#This Row],[Cumulative 2026]]</f>
        <v>8387</v>
      </c>
      <c r="D263">
        <f>IF(YEAR(Table8[[#This Row],[Date]])=2023,B263,0)+IF(ROW(D262)=1,0,D262)</f>
        <v>4195</v>
      </c>
      <c r="E263">
        <f>MAX(Table8[Cumulative 2023 Q4])</f>
        <v>4195</v>
      </c>
      <c r="F263">
        <f>IF(YEAR(Table8[[#This Row],[Date]])=2024,B263,0)+IF(ROW(F262)=1,0,F262)</f>
        <v>4192</v>
      </c>
      <c r="G263">
        <f>MAX(Table8[Cumulative 2024])</f>
        <v>5831</v>
      </c>
      <c r="H263">
        <f>IF(YEAR(Table8[[#This Row],[Date]])=2025,B263,0)+IF(ROW(H262)=1,0,H262)</f>
        <v>0</v>
      </c>
      <c r="I263">
        <f>MAX(Table8[Cumulative 2025])</f>
        <v>1377</v>
      </c>
      <c r="J263">
        <f>IF(YEAR(Table8[[#This Row],[Date]])=2026,B263,0)+IF(ROW(J262)=1,0,J262)</f>
        <v>0</v>
      </c>
      <c r="K263">
        <f>MAX(Table8[Cumulative 2026])</f>
        <v>3102</v>
      </c>
    </row>
    <row r="264" spans="1:63" hidden="1" x14ac:dyDescent="0.25">
      <c r="A264" s="1">
        <v>45473</v>
      </c>
      <c r="B264">
        <f>SUM(_xlfn.CHOOSEROWS(Table8[[The Golden Compass]:[end]],ROW()-1))</f>
        <v>0</v>
      </c>
      <c r="C264">
        <f>Table8[[#This Row],[Cumulative 2023 Q4]]+Table8[[#This Row],[Cumulative 2024]]+Table8[[#This Row],[Cumulative 2025]]+Table8[[#This Row],[Cumulative 2026]]</f>
        <v>8387</v>
      </c>
      <c r="D264">
        <f>IF(YEAR(Table8[[#This Row],[Date]])=2023,B264,0)+IF(ROW(D263)=1,0,D263)</f>
        <v>4195</v>
      </c>
      <c r="E264">
        <f>MAX(Table8[Cumulative 2023 Q4])</f>
        <v>4195</v>
      </c>
      <c r="F264">
        <f>IF(YEAR(Table8[[#This Row],[Date]])=2024,B264,0)+IF(ROW(F263)=1,0,F263)</f>
        <v>4192</v>
      </c>
      <c r="G264">
        <f>MAX(Table8[Cumulative 2024])</f>
        <v>5831</v>
      </c>
      <c r="H264">
        <f>IF(YEAR(Table8[[#This Row],[Date]])=2025,B264,0)+IF(ROW(H263)=1,0,H263)</f>
        <v>0</v>
      </c>
      <c r="I264">
        <f>MAX(Table8[Cumulative 2025])</f>
        <v>1377</v>
      </c>
      <c r="J264">
        <f>IF(YEAR(Table8[[#This Row],[Date]])=2026,B264,0)+IF(ROW(J263)=1,0,J263)</f>
        <v>0</v>
      </c>
      <c r="K264">
        <f>MAX(Table8[Cumulative 2026])</f>
        <v>3102</v>
      </c>
    </row>
    <row r="265" spans="1:63" hidden="1" x14ac:dyDescent="0.25">
      <c r="A265" s="1">
        <v>45474</v>
      </c>
      <c r="B265">
        <f>SUM(_xlfn.CHOOSEROWS(Table8[[The Golden Compass]:[end]],ROW()-1))</f>
        <v>0</v>
      </c>
      <c r="C265">
        <f>Table8[[#This Row],[Cumulative 2023 Q4]]+Table8[[#This Row],[Cumulative 2024]]+Table8[[#This Row],[Cumulative 2025]]+Table8[[#This Row],[Cumulative 2026]]</f>
        <v>8387</v>
      </c>
      <c r="D265">
        <f>IF(YEAR(Table8[[#This Row],[Date]])=2023,B265,0)+IF(ROW(D264)=1,0,D264)</f>
        <v>4195</v>
      </c>
      <c r="E265">
        <f>MAX(Table8[Cumulative 2023 Q4])</f>
        <v>4195</v>
      </c>
      <c r="F265">
        <f>IF(YEAR(Table8[[#This Row],[Date]])=2024,B265,0)+IF(ROW(F264)=1,0,F264)</f>
        <v>4192</v>
      </c>
      <c r="G265">
        <f>MAX(Table8[Cumulative 2024])</f>
        <v>5831</v>
      </c>
      <c r="H265">
        <f>IF(YEAR(Table8[[#This Row],[Date]])=2025,B265,0)+IF(ROW(H264)=1,0,H264)</f>
        <v>0</v>
      </c>
      <c r="I265">
        <f>MAX(Table8[Cumulative 2025])</f>
        <v>1377</v>
      </c>
      <c r="J265">
        <f>IF(YEAR(Table8[[#This Row],[Date]])=2026,B265,0)+IF(ROW(J264)=1,0,J264)</f>
        <v>0</v>
      </c>
      <c r="K265">
        <f>MAX(Table8[Cumulative 2026])</f>
        <v>3102</v>
      </c>
    </row>
    <row r="266" spans="1:63" hidden="1" x14ac:dyDescent="0.25">
      <c r="A266" s="1">
        <v>45475</v>
      </c>
      <c r="B266">
        <f>SUM(_xlfn.CHOOSEROWS(Table8[[The Golden Compass]:[end]],ROW()-1))</f>
        <v>0</v>
      </c>
      <c r="C266">
        <f>Table8[[#This Row],[Cumulative 2023 Q4]]+Table8[[#This Row],[Cumulative 2024]]+Table8[[#This Row],[Cumulative 2025]]+Table8[[#This Row],[Cumulative 2026]]</f>
        <v>8387</v>
      </c>
      <c r="D266">
        <f>IF(YEAR(Table8[[#This Row],[Date]])=2023,B266,0)+IF(ROW(D265)=1,0,D265)</f>
        <v>4195</v>
      </c>
      <c r="E266">
        <f>MAX(Table8[Cumulative 2023 Q4])</f>
        <v>4195</v>
      </c>
      <c r="F266">
        <f>IF(YEAR(Table8[[#This Row],[Date]])=2024,B266,0)+IF(ROW(F265)=1,0,F265)</f>
        <v>4192</v>
      </c>
      <c r="G266">
        <f>MAX(Table8[Cumulative 2024])</f>
        <v>5831</v>
      </c>
      <c r="H266">
        <f>IF(YEAR(Table8[[#This Row],[Date]])=2025,B266,0)+IF(ROW(H265)=1,0,H265)</f>
        <v>0</v>
      </c>
      <c r="I266">
        <f>MAX(Table8[Cumulative 2025])</f>
        <v>1377</v>
      </c>
      <c r="J266">
        <f>IF(YEAR(Table8[[#This Row],[Date]])=2026,B266,0)+IF(ROW(J265)=1,0,J265)</f>
        <v>0</v>
      </c>
      <c r="K266">
        <f>MAX(Table8[Cumulative 2026])</f>
        <v>3102</v>
      </c>
    </row>
    <row r="267" spans="1:63" hidden="1" x14ac:dyDescent="0.25">
      <c r="A267" s="1">
        <v>45476</v>
      </c>
      <c r="B267">
        <f>SUM(_xlfn.CHOOSEROWS(Table8[[The Golden Compass]:[end]],ROW()-1))</f>
        <v>0</v>
      </c>
      <c r="C267">
        <f>Table8[[#This Row],[Cumulative 2023 Q4]]+Table8[[#This Row],[Cumulative 2024]]+Table8[[#This Row],[Cumulative 2025]]+Table8[[#This Row],[Cumulative 2026]]</f>
        <v>8387</v>
      </c>
      <c r="D267">
        <f>IF(YEAR(Table8[[#This Row],[Date]])=2023,B267,0)+IF(ROW(D266)=1,0,D266)</f>
        <v>4195</v>
      </c>
      <c r="E267">
        <f>MAX(Table8[Cumulative 2023 Q4])</f>
        <v>4195</v>
      </c>
      <c r="F267">
        <f>IF(YEAR(Table8[[#This Row],[Date]])=2024,B267,0)+IF(ROW(F266)=1,0,F266)</f>
        <v>4192</v>
      </c>
      <c r="G267">
        <f>MAX(Table8[Cumulative 2024])</f>
        <v>5831</v>
      </c>
      <c r="H267">
        <f>IF(YEAR(Table8[[#This Row],[Date]])=2025,B267,0)+IF(ROW(H266)=1,0,H266)</f>
        <v>0</v>
      </c>
      <c r="I267">
        <f>MAX(Table8[Cumulative 2025])</f>
        <v>1377</v>
      </c>
      <c r="J267">
        <f>IF(YEAR(Table8[[#This Row],[Date]])=2026,B267,0)+IF(ROW(J266)=1,0,J266)</f>
        <v>0</v>
      </c>
      <c r="K267">
        <f>MAX(Table8[Cumulative 2026])</f>
        <v>3102</v>
      </c>
    </row>
    <row r="268" spans="1:63" hidden="1" x14ac:dyDescent="0.25">
      <c r="A268" s="1">
        <v>45477</v>
      </c>
      <c r="B268">
        <f>SUM(_xlfn.CHOOSEROWS(Table8[[The Golden Compass]:[end]],ROW()-1))</f>
        <v>0</v>
      </c>
      <c r="C268">
        <f>Table8[[#This Row],[Cumulative 2023 Q4]]+Table8[[#This Row],[Cumulative 2024]]+Table8[[#This Row],[Cumulative 2025]]+Table8[[#This Row],[Cumulative 2026]]</f>
        <v>8387</v>
      </c>
      <c r="D268">
        <f>IF(YEAR(Table8[[#This Row],[Date]])=2023,B268,0)+IF(ROW(D267)=1,0,D267)</f>
        <v>4195</v>
      </c>
      <c r="E268">
        <f>MAX(Table8[Cumulative 2023 Q4])</f>
        <v>4195</v>
      </c>
      <c r="F268">
        <f>IF(YEAR(Table8[[#This Row],[Date]])=2024,B268,0)+IF(ROW(F267)=1,0,F267)</f>
        <v>4192</v>
      </c>
      <c r="G268">
        <f>MAX(Table8[Cumulative 2024])</f>
        <v>5831</v>
      </c>
      <c r="H268">
        <f>IF(YEAR(Table8[[#This Row],[Date]])=2025,B268,0)+IF(ROW(H267)=1,0,H267)</f>
        <v>0</v>
      </c>
      <c r="I268">
        <f>MAX(Table8[Cumulative 2025])</f>
        <v>1377</v>
      </c>
      <c r="J268">
        <f>IF(YEAR(Table8[[#This Row],[Date]])=2026,B268,0)+IF(ROW(J267)=1,0,J267)</f>
        <v>0</v>
      </c>
      <c r="K268">
        <f>MAX(Table8[Cumulative 2026])</f>
        <v>3102</v>
      </c>
    </row>
    <row r="269" spans="1:63" hidden="1" x14ac:dyDescent="0.25">
      <c r="A269" s="1">
        <v>45478</v>
      </c>
      <c r="B269">
        <f>SUM(_xlfn.CHOOSEROWS(Table8[[The Golden Compass]:[end]],ROW()-1))</f>
        <v>0</v>
      </c>
      <c r="C269">
        <f>Table8[[#This Row],[Cumulative 2023 Q4]]+Table8[[#This Row],[Cumulative 2024]]+Table8[[#This Row],[Cumulative 2025]]+Table8[[#This Row],[Cumulative 2026]]</f>
        <v>8387</v>
      </c>
      <c r="D269">
        <f>IF(YEAR(Table8[[#This Row],[Date]])=2023,B269,0)+IF(ROW(D268)=1,0,D268)</f>
        <v>4195</v>
      </c>
      <c r="E269">
        <f>MAX(Table8[Cumulative 2023 Q4])</f>
        <v>4195</v>
      </c>
      <c r="F269">
        <f>IF(YEAR(Table8[[#This Row],[Date]])=2024,B269,0)+IF(ROW(F268)=1,0,F268)</f>
        <v>4192</v>
      </c>
      <c r="G269">
        <f>MAX(Table8[Cumulative 2024])</f>
        <v>5831</v>
      </c>
      <c r="H269">
        <f>IF(YEAR(Table8[[#This Row],[Date]])=2025,B269,0)+IF(ROW(H268)=1,0,H268)</f>
        <v>0</v>
      </c>
      <c r="I269">
        <f>MAX(Table8[Cumulative 2025])</f>
        <v>1377</v>
      </c>
      <c r="J269">
        <f>IF(YEAR(Table8[[#This Row],[Date]])=2026,B269,0)+IF(ROW(J268)=1,0,J268)</f>
        <v>0</v>
      </c>
      <c r="K269">
        <f>MAX(Table8[Cumulative 2026])</f>
        <v>3102</v>
      </c>
    </row>
    <row r="270" spans="1:63" hidden="1" x14ac:dyDescent="0.25">
      <c r="A270" s="1">
        <v>45479</v>
      </c>
      <c r="B270">
        <f>SUM(_xlfn.CHOOSEROWS(Table8[[The Golden Compass]:[end]],ROW()-1))</f>
        <v>0</v>
      </c>
      <c r="C270">
        <f>Table8[[#This Row],[Cumulative 2023 Q4]]+Table8[[#This Row],[Cumulative 2024]]+Table8[[#This Row],[Cumulative 2025]]+Table8[[#This Row],[Cumulative 2026]]</f>
        <v>8387</v>
      </c>
      <c r="D270">
        <f>IF(YEAR(Table8[[#This Row],[Date]])=2023,B270,0)+IF(ROW(D269)=1,0,D269)</f>
        <v>4195</v>
      </c>
      <c r="E270">
        <f>MAX(Table8[Cumulative 2023 Q4])</f>
        <v>4195</v>
      </c>
      <c r="F270">
        <f>IF(YEAR(Table8[[#This Row],[Date]])=2024,B270,0)+IF(ROW(F269)=1,0,F269)</f>
        <v>4192</v>
      </c>
      <c r="G270">
        <f>MAX(Table8[Cumulative 2024])</f>
        <v>5831</v>
      </c>
      <c r="H270">
        <f>IF(YEAR(Table8[[#This Row],[Date]])=2025,B270,0)+IF(ROW(H269)=1,0,H269)</f>
        <v>0</v>
      </c>
      <c r="I270">
        <f>MAX(Table8[Cumulative 2025])</f>
        <v>1377</v>
      </c>
      <c r="J270">
        <f>IF(YEAR(Table8[[#This Row],[Date]])=2026,B270,0)+IF(ROW(J269)=1,0,J269)</f>
        <v>0</v>
      </c>
      <c r="K270">
        <f>MAX(Table8[Cumulative 2026])</f>
        <v>3102</v>
      </c>
    </row>
    <row r="271" spans="1:63" hidden="1" x14ac:dyDescent="0.25">
      <c r="A271" s="1">
        <v>45480</v>
      </c>
      <c r="B271">
        <f>SUM(_xlfn.CHOOSEROWS(Table8[[The Golden Compass]:[end]],ROW()-1))</f>
        <v>0</v>
      </c>
      <c r="C271">
        <f>Table8[[#This Row],[Cumulative 2023 Q4]]+Table8[[#This Row],[Cumulative 2024]]+Table8[[#This Row],[Cumulative 2025]]+Table8[[#This Row],[Cumulative 2026]]</f>
        <v>8387</v>
      </c>
      <c r="D271">
        <f>IF(YEAR(Table8[[#This Row],[Date]])=2023,B271,0)+IF(ROW(D270)=1,0,D270)</f>
        <v>4195</v>
      </c>
      <c r="E271">
        <f>MAX(Table8[Cumulative 2023 Q4])</f>
        <v>4195</v>
      </c>
      <c r="F271">
        <f>IF(YEAR(Table8[[#This Row],[Date]])=2024,B271,0)+IF(ROW(F270)=1,0,F270)</f>
        <v>4192</v>
      </c>
      <c r="G271">
        <f>MAX(Table8[Cumulative 2024])</f>
        <v>5831</v>
      </c>
      <c r="H271">
        <f>IF(YEAR(Table8[[#This Row],[Date]])=2025,B271,0)+IF(ROW(H270)=1,0,H270)</f>
        <v>0</v>
      </c>
      <c r="I271">
        <f>MAX(Table8[Cumulative 2025])</f>
        <v>1377</v>
      </c>
      <c r="J271">
        <f>IF(YEAR(Table8[[#This Row],[Date]])=2026,B271,0)+IF(ROW(J270)=1,0,J270)</f>
        <v>0</v>
      </c>
      <c r="K271">
        <f>MAX(Table8[Cumulative 2026])</f>
        <v>3102</v>
      </c>
    </row>
    <row r="272" spans="1:63" hidden="1" x14ac:dyDescent="0.25">
      <c r="A272" s="1">
        <v>45481</v>
      </c>
      <c r="B272">
        <f>SUM(_xlfn.CHOOSEROWS(Table8[[The Golden Compass]:[end]],ROW()-1))</f>
        <v>0</v>
      </c>
      <c r="C272">
        <f>Table8[[#This Row],[Cumulative 2023 Q4]]+Table8[[#This Row],[Cumulative 2024]]+Table8[[#This Row],[Cumulative 2025]]+Table8[[#This Row],[Cumulative 2026]]</f>
        <v>8387</v>
      </c>
      <c r="D272">
        <f>IF(YEAR(Table8[[#This Row],[Date]])=2023,B272,0)+IF(ROW(D271)=1,0,D271)</f>
        <v>4195</v>
      </c>
      <c r="E272">
        <f>MAX(Table8[Cumulative 2023 Q4])</f>
        <v>4195</v>
      </c>
      <c r="F272">
        <f>IF(YEAR(Table8[[#This Row],[Date]])=2024,B272,0)+IF(ROW(F271)=1,0,F271)</f>
        <v>4192</v>
      </c>
      <c r="G272">
        <f>MAX(Table8[Cumulative 2024])</f>
        <v>5831</v>
      </c>
      <c r="H272">
        <f>IF(YEAR(Table8[[#This Row],[Date]])=2025,B272,0)+IF(ROW(H271)=1,0,H271)</f>
        <v>0</v>
      </c>
      <c r="I272">
        <f>MAX(Table8[Cumulative 2025])</f>
        <v>1377</v>
      </c>
      <c r="J272">
        <f>IF(YEAR(Table8[[#This Row],[Date]])=2026,B272,0)+IF(ROW(J271)=1,0,J271)</f>
        <v>0</v>
      </c>
      <c r="K272">
        <f>MAX(Table8[Cumulative 2026])</f>
        <v>3102</v>
      </c>
    </row>
    <row r="273" spans="1:63" hidden="1" x14ac:dyDescent="0.25">
      <c r="A273" s="1">
        <v>45482</v>
      </c>
      <c r="B273">
        <f>SUM(_xlfn.CHOOSEROWS(Table8[[The Golden Compass]:[end]],ROW()-1))</f>
        <v>4</v>
      </c>
      <c r="C273">
        <f>Table8[[#This Row],[Cumulative 2023 Q4]]+Table8[[#This Row],[Cumulative 2024]]+Table8[[#This Row],[Cumulative 2025]]+Table8[[#This Row],[Cumulative 2026]]</f>
        <v>8391</v>
      </c>
      <c r="D273">
        <f>IF(YEAR(Table8[[#This Row],[Date]])=2023,B273,0)+IF(ROW(D272)=1,0,D272)</f>
        <v>4195</v>
      </c>
      <c r="E273">
        <f>MAX(Table8[Cumulative 2023 Q4])</f>
        <v>4195</v>
      </c>
      <c r="F273">
        <f>IF(YEAR(Table8[[#This Row],[Date]])=2024,B273,0)+IF(ROW(F272)=1,0,F272)</f>
        <v>4196</v>
      </c>
      <c r="G273">
        <f>MAX(Table8[Cumulative 2024])</f>
        <v>5831</v>
      </c>
      <c r="H273">
        <f>IF(YEAR(Table8[[#This Row],[Date]])=2025,B273,0)+IF(ROW(H272)=1,0,H272)</f>
        <v>0</v>
      </c>
      <c r="I273">
        <f>MAX(Table8[Cumulative 2025])</f>
        <v>1377</v>
      </c>
      <c r="J273">
        <f>IF(YEAR(Table8[[#This Row],[Date]])=2026,B273,0)+IF(ROW(J272)=1,0,J272)</f>
        <v>0</v>
      </c>
      <c r="K273">
        <f>MAX(Table8[Cumulative 2026])</f>
        <v>3102</v>
      </c>
      <c r="BK273">
        <v>4</v>
      </c>
    </row>
    <row r="274" spans="1:63" hidden="1" x14ac:dyDescent="0.25">
      <c r="A274" s="1">
        <v>45483</v>
      </c>
      <c r="B274">
        <f>SUM(_xlfn.CHOOSEROWS(Table8[[The Golden Compass]:[end]],ROW()-1))</f>
        <v>0</v>
      </c>
      <c r="C274">
        <f>Table8[[#This Row],[Cumulative 2023 Q4]]+Table8[[#This Row],[Cumulative 2024]]+Table8[[#This Row],[Cumulative 2025]]+Table8[[#This Row],[Cumulative 2026]]</f>
        <v>8391</v>
      </c>
      <c r="D274">
        <f>IF(YEAR(Table8[[#This Row],[Date]])=2023,B274,0)+IF(ROW(D273)=1,0,D273)</f>
        <v>4195</v>
      </c>
      <c r="E274">
        <f>MAX(Table8[Cumulative 2023 Q4])</f>
        <v>4195</v>
      </c>
      <c r="F274">
        <f>IF(YEAR(Table8[[#This Row],[Date]])=2024,B274,0)+IF(ROW(F273)=1,0,F273)</f>
        <v>4196</v>
      </c>
      <c r="G274">
        <f>MAX(Table8[Cumulative 2024])</f>
        <v>5831</v>
      </c>
      <c r="H274">
        <f>IF(YEAR(Table8[[#This Row],[Date]])=2025,B274,0)+IF(ROW(H273)=1,0,H273)</f>
        <v>0</v>
      </c>
      <c r="I274">
        <f>MAX(Table8[Cumulative 2025])</f>
        <v>1377</v>
      </c>
      <c r="J274">
        <f>IF(YEAR(Table8[[#This Row],[Date]])=2026,B274,0)+IF(ROW(J273)=1,0,J273)</f>
        <v>0</v>
      </c>
      <c r="K274">
        <f>MAX(Table8[Cumulative 2026])</f>
        <v>3102</v>
      </c>
    </row>
    <row r="275" spans="1:63" hidden="1" x14ac:dyDescent="0.25">
      <c r="A275" s="1">
        <v>45484</v>
      </c>
      <c r="B275">
        <f>SUM(_xlfn.CHOOSEROWS(Table8[[The Golden Compass]:[end]],ROW()-1))</f>
        <v>0</v>
      </c>
      <c r="C275">
        <f>Table8[[#This Row],[Cumulative 2023 Q4]]+Table8[[#This Row],[Cumulative 2024]]+Table8[[#This Row],[Cumulative 2025]]+Table8[[#This Row],[Cumulative 2026]]</f>
        <v>8391</v>
      </c>
      <c r="D275">
        <f>IF(YEAR(Table8[[#This Row],[Date]])=2023,B275,0)+IF(ROW(D274)=1,0,D274)</f>
        <v>4195</v>
      </c>
      <c r="E275">
        <f>MAX(Table8[Cumulative 2023 Q4])</f>
        <v>4195</v>
      </c>
      <c r="F275">
        <f>IF(YEAR(Table8[[#This Row],[Date]])=2024,B275,0)+IF(ROW(F274)=1,0,F274)</f>
        <v>4196</v>
      </c>
      <c r="G275">
        <f>MAX(Table8[Cumulative 2024])</f>
        <v>5831</v>
      </c>
      <c r="H275">
        <f>IF(YEAR(Table8[[#This Row],[Date]])=2025,B275,0)+IF(ROW(H274)=1,0,H274)</f>
        <v>0</v>
      </c>
      <c r="I275">
        <f>MAX(Table8[Cumulative 2025])</f>
        <v>1377</v>
      </c>
      <c r="J275">
        <f>IF(YEAR(Table8[[#This Row],[Date]])=2026,B275,0)+IF(ROW(J274)=1,0,J274)</f>
        <v>0</v>
      </c>
      <c r="K275">
        <f>MAX(Table8[Cumulative 2026])</f>
        <v>3102</v>
      </c>
    </row>
    <row r="276" spans="1:63" hidden="1" x14ac:dyDescent="0.25">
      <c r="A276" s="1">
        <v>45485</v>
      </c>
      <c r="B276">
        <f>SUM(_xlfn.CHOOSEROWS(Table8[[The Golden Compass]:[end]],ROW()-1))</f>
        <v>0</v>
      </c>
      <c r="C276">
        <f>Table8[[#This Row],[Cumulative 2023 Q4]]+Table8[[#This Row],[Cumulative 2024]]+Table8[[#This Row],[Cumulative 2025]]+Table8[[#This Row],[Cumulative 2026]]</f>
        <v>8391</v>
      </c>
      <c r="D276">
        <f>IF(YEAR(Table8[[#This Row],[Date]])=2023,B276,0)+IF(ROW(D275)=1,0,D275)</f>
        <v>4195</v>
      </c>
      <c r="E276">
        <f>MAX(Table8[Cumulative 2023 Q4])</f>
        <v>4195</v>
      </c>
      <c r="F276">
        <f>IF(YEAR(Table8[[#This Row],[Date]])=2024,B276,0)+IF(ROW(F275)=1,0,F275)</f>
        <v>4196</v>
      </c>
      <c r="G276">
        <f>MAX(Table8[Cumulative 2024])</f>
        <v>5831</v>
      </c>
      <c r="H276">
        <f>IF(YEAR(Table8[[#This Row],[Date]])=2025,B276,0)+IF(ROW(H275)=1,0,H275)</f>
        <v>0</v>
      </c>
      <c r="I276">
        <f>MAX(Table8[Cumulative 2025])</f>
        <v>1377</v>
      </c>
      <c r="J276">
        <f>IF(YEAR(Table8[[#This Row],[Date]])=2026,B276,0)+IF(ROW(J275)=1,0,J275)</f>
        <v>0</v>
      </c>
      <c r="K276">
        <f>MAX(Table8[Cumulative 2026])</f>
        <v>3102</v>
      </c>
    </row>
    <row r="277" spans="1:63" hidden="1" x14ac:dyDescent="0.25">
      <c r="A277" s="1">
        <v>45486</v>
      </c>
      <c r="B277">
        <f>SUM(_xlfn.CHOOSEROWS(Table8[[The Golden Compass]:[end]],ROW()-1))</f>
        <v>0</v>
      </c>
      <c r="C277">
        <f>Table8[[#This Row],[Cumulative 2023 Q4]]+Table8[[#This Row],[Cumulative 2024]]+Table8[[#This Row],[Cumulative 2025]]+Table8[[#This Row],[Cumulative 2026]]</f>
        <v>8391</v>
      </c>
      <c r="D277">
        <f>IF(YEAR(Table8[[#This Row],[Date]])=2023,B277,0)+IF(ROW(D276)=1,0,D276)</f>
        <v>4195</v>
      </c>
      <c r="E277">
        <f>MAX(Table8[Cumulative 2023 Q4])</f>
        <v>4195</v>
      </c>
      <c r="F277">
        <f>IF(YEAR(Table8[[#This Row],[Date]])=2024,B277,0)+IF(ROW(F276)=1,0,F276)</f>
        <v>4196</v>
      </c>
      <c r="G277">
        <f>MAX(Table8[Cumulative 2024])</f>
        <v>5831</v>
      </c>
      <c r="H277">
        <f>IF(YEAR(Table8[[#This Row],[Date]])=2025,B277,0)+IF(ROW(H276)=1,0,H276)</f>
        <v>0</v>
      </c>
      <c r="I277">
        <f>MAX(Table8[Cumulative 2025])</f>
        <v>1377</v>
      </c>
      <c r="J277">
        <f>IF(YEAR(Table8[[#This Row],[Date]])=2026,B277,0)+IF(ROW(J276)=1,0,J276)</f>
        <v>0</v>
      </c>
      <c r="K277">
        <f>MAX(Table8[Cumulative 2026])</f>
        <v>3102</v>
      </c>
    </row>
    <row r="278" spans="1:63" hidden="1" x14ac:dyDescent="0.25">
      <c r="A278" s="1">
        <v>45487</v>
      </c>
      <c r="B278">
        <f>SUM(_xlfn.CHOOSEROWS(Table8[[The Golden Compass]:[end]],ROW()-1))</f>
        <v>0</v>
      </c>
      <c r="C278">
        <f>Table8[[#This Row],[Cumulative 2023 Q4]]+Table8[[#This Row],[Cumulative 2024]]+Table8[[#This Row],[Cumulative 2025]]+Table8[[#This Row],[Cumulative 2026]]</f>
        <v>8391</v>
      </c>
      <c r="D278">
        <f>IF(YEAR(Table8[[#This Row],[Date]])=2023,B278,0)+IF(ROW(D277)=1,0,D277)</f>
        <v>4195</v>
      </c>
      <c r="E278">
        <f>MAX(Table8[Cumulative 2023 Q4])</f>
        <v>4195</v>
      </c>
      <c r="F278">
        <f>IF(YEAR(Table8[[#This Row],[Date]])=2024,B278,0)+IF(ROW(F277)=1,0,F277)</f>
        <v>4196</v>
      </c>
      <c r="G278">
        <f>MAX(Table8[Cumulative 2024])</f>
        <v>5831</v>
      </c>
      <c r="H278">
        <f>IF(YEAR(Table8[[#This Row],[Date]])=2025,B278,0)+IF(ROW(H277)=1,0,H277)</f>
        <v>0</v>
      </c>
      <c r="I278">
        <f>MAX(Table8[Cumulative 2025])</f>
        <v>1377</v>
      </c>
      <c r="J278">
        <f>IF(YEAR(Table8[[#This Row],[Date]])=2026,B278,0)+IF(ROW(J277)=1,0,J277)</f>
        <v>0</v>
      </c>
      <c r="K278">
        <f>MAX(Table8[Cumulative 2026])</f>
        <v>3102</v>
      </c>
    </row>
    <row r="279" spans="1:63" hidden="1" x14ac:dyDescent="0.25">
      <c r="A279" s="1">
        <v>45488</v>
      </c>
      <c r="B279">
        <f>SUM(_xlfn.CHOOSEROWS(Table8[[The Golden Compass]:[end]],ROW()-1))</f>
        <v>0</v>
      </c>
      <c r="C279">
        <f>Table8[[#This Row],[Cumulative 2023 Q4]]+Table8[[#This Row],[Cumulative 2024]]+Table8[[#This Row],[Cumulative 2025]]+Table8[[#This Row],[Cumulative 2026]]</f>
        <v>8391</v>
      </c>
      <c r="D279">
        <f>IF(YEAR(Table8[[#This Row],[Date]])=2023,B279,0)+IF(ROW(D278)=1,0,D278)</f>
        <v>4195</v>
      </c>
      <c r="E279">
        <f>MAX(Table8[Cumulative 2023 Q4])</f>
        <v>4195</v>
      </c>
      <c r="F279">
        <f>IF(YEAR(Table8[[#This Row],[Date]])=2024,B279,0)+IF(ROW(F278)=1,0,F278)</f>
        <v>4196</v>
      </c>
      <c r="G279">
        <f>MAX(Table8[Cumulative 2024])</f>
        <v>5831</v>
      </c>
      <c r="H279">
        <f>IF(YEAR(Table8[[#This Row],[Date]])=2025,B279,0)+IF(ROW(H278)=1,0,H278)</f>
        <v>0</v>
      </c>
      <c r="I279">
        <f>MAX(Table8[Cumulative 2025])</f>
        <v>1377</v>
      </c>
      <c r="J279">
        <f>IF(YEAR(Table8[[#This Row],[Date]])=2026,B279,0)+IF(ROW(J278)=1,0,J278)</f>
        <v>0</v>
      </c>
      <c r="K279">
        <f>MAX(Table8[Cumulative 2026])</f>
        <v>3102</v>
      </c>
    </row>
    <row r="280" spans="1:63" hidden="1" x14ac:dyDescent="0.25">
      <c r="A280" s="1">
        <v>45489</v>
      </c>
      <c r="B280">
        <f>SUM(_xlfn.CHOOSEROWS(Table8[[The Golden Compass]:[end]],ROW()-1))</f>
        <v>0</v>
      </c>
      <c r="C280">
        <f>Table8[[#This Row],[Cumulative 2023 Q4]]+Table8[[#This Row],[Cumulative 2024]]+Table8[[#This Row],[Cumulative 2025]]+Table8[[#This Row],[Cumulative 2026]]</f>
        <v>8391</v>
      </c>
      <c r="D280">
        <f>IF(YEAR(Table8[[#This Row],[Date]])=2023,B280,0)+IF(ROW(D279)=1,0,D279)</f>
        <v>4195</v>
      </c>
      <c r="E280">
        <f>MAX(Table8[Cumulative 2023 Q4])</f>
        <v>4195</v>
      </c>
      <c r="F280">
        <f>IF(YEAR(Table8[[#This Row],[Date]])=2024,B280,0)+IF(ROW(F279)=1,0,F279)</f>
        <v>4196</v>
      </c>
      <c r="G280">
        <f>MAX(Table8[Cumulative 2024])</f>
        <v>5831</v>
      </c>
      <c r="H280">
        <f>IF(YEAR(Table8[[#This Row],[Date]])=2025,B280,0)+IF(ROW(H279)=1,0,H279)</f>
        <v>0</v>
      </c>
      <c r="I280">
        <f>MAX(Table8[Cumulative 2025])</f>
        <v>1377</v>
      </c>
      <c r="J280">
        <f>IF(YEAR(Table8[[#This Row],[Date]])=2026,B280,0)+IF(ROW(J279)=1,0,J279)</f>
        <v>0</v>
      </c>
      <c r="K280">
        <f>MAX(Table8[Cumulative 2026])</f>
        <v>3102</v>
      </c>
    </row>
    <row r="281" spans="1:63" hidden="1" x14ac:dyDescent="0.25">
      <c r="A281" s="1">
        <v>45490</v>
      </c>
      <c r="B281">
        <f>SUM(_xlfn.CHOOSEROWS(Table8[[The Golden Compass]:[end]],ROW()-1))</f>
        <v>0</v>
      </c>
      <c r="C281">
        <f>Table8[[#This Row],[Cumulative 2023 Q4]]+Table8[[#This Row],[Cumulative 2024]]+Table8[[#This Row],[Cumulative 2025]]+Table8[[#This Row],[Cumulative 2026]]</f>
        <v>8391</v>
      </c>
      <c r="D281">
        <f>IF(YEAR(Table8[[#This Row],[Date]])=2023,B281,0)+IF(ROW(D280)=1,0,D280)</f>
        <v>4195</v>
      </c>
      <c r="E281">
        <f>MAX(Table8[Cumulative 2023 Q4])</f>
        <v>4195</v>
      </c>
      <c r="F281">
        <f>IF(YEAR(Table8[[#This Row],[Date]])=2024,B281,0)+IF(ROW(F280)=1,0,F280)</f>
        <v>4196</v>
      </c>
      <c r="G281">
        <f>MAX(Table8[Cumulative 2024])</f>
        <v>5831</v>
      </c>
      <c r="H281">
        <f>IF(YEAR(Table8[[#This Row],[Date]])=2025,B281,0)+IF(ROW(H280)=1,0,H280)</f>
        <v>0</v>
      </c>
      <c r="I281">
        <f>MAX(Table8[Cumulative 2025])</f>
        <v>1377</v>
      </c>
      <c r="J281">
        <f>IF(YEAR(Table8[[#This Row],[Date]])=2026,B281,0)+IF(ROW(J280)=1,0,J280)</f>
        <v>0</v>
      </c>
      <c r="K281">
        <f>MAX(Table8[Cumulative 2026])</f>
        <v>3102</v>
      </c>
    </row>
    <row r="282" spans="1:63" hidden="1" x14ac:dyDescent="0.25">
      <c r="A282" s="1">
        <v>45491</v>
      </c>
      <c r="B282">
        <f>SUM(_xlfn.CHOOSEROWS(Table8[[The Golden Compass]:[end]],ROW()-1))</f>
        <v>0</v>
      </c>
      <c r="C282">
        <f>Table8[[#This Row],[Cumulative 2023 Q4]]+Table8[[#This Row],[Cumulative 2024]]+Table8[[#This Row],[Cumulative 2025]]+Table8[[#This Row],[Cumulative 2026]]</f>
        <v>8391</v>
      </c>
      <c r="D282">
        <f>IF(YEAR(Table8[[#This Row],[Date]])=2023,B282,0)+IF(ROW(D281)=1,0,D281)</f>
        <v>4195</v>
      </c>
      <c r="E282">
        <f>MAX(Table8[Cumulative 2023 Q4])</f>
        <v>4195</v>
      </c>
      <c r="F282">
        <f>IF(YEAR(Table8[[#This Row],[Date]])=2024,B282,0)+IF(ROW(F281)=1,0,F281)</f>
        <v>4196</v>
      </c>
      <c r="G282">
        <f>MAX(Table8[Cumulative 2024])</f>
        <v>5831</v>
      </c>
      <c r="H282">
        <f>IF(YEAR(Table8[[#This Row],[Date]])=2025,B282,0)+IF(ROW(H281)=1,0,H281)</f>
        <v>0</v>
      </c>
      <c r="I282">
        <f>MAX(Table8[Cumulative 2025])</f>
        <v>1377</v>
      </c>
      <c r="J282">
        <f>IF(YEAR(Table8[[#This Row],[Date]])=2026,B282,0)+IF(ROW(J281)=1,0,J281)</f>
        <v>0</v>
      </c>
      <c r="K282">
        <f>MAX(Table8[Cumulative 2026])</f>
        <v>3102</v>
      </c>
    </row>
    <row r="283" spans="1:63" hidden="1" x14ac:dyDescent="0.25">
      <c r="A283" s="1">
        <v>45492</v>
      </c>
      <c r="B283">
        <f>SUM(_xlfn.CHOOSEROWS(Table8[[The Golden Compass]:[end]],ROW()-1))</f>
        <v>0</v>
      </c>
      <c r="C283">
        <f>Table8[[#This Row],[Cumulative 2023 Q4]]+Table8[[#This Row],[Cumulative 2024]]+Table8[[#This Row],[Cumulative 2025]]+Table8[[#This Row],[Cumulative 2026]]</f>
        <v>8391</v>
      </c>
      <c r="D283">
        <f>IF(YEAR(Table8[[#This Row],[Date]])=2023,B283,0)+IF(ROW(D282)=1,0,D282)</f>
        <v>4195</v>
      </c>
      <c r="E283">
        <f>MAX(Table8[Cumulative 2023 Q4])</f>
        <v>4195</v>
      </c>
      <c r="F283">
        <f>IF(YEAR(Table8[[#This Row],[Date]])=2024,B283,0)+IF(ROW(F282)=1,0,F282)</f>
        <v>4196</v>
      </c>
      <c r="G283">
        <f>MAX(Table8[Cumulative 2024])</f>
        <v>5831</v>
      </c>
      <c r="H283">
        <f>IF(YEAR(Table8[[#This Row],[Date]])=2025,B283,0)+IF(ROW(H282)=1,0,H282)</f>
        <v>0</v>
      </c>
      <c r="I283">
        <f>MAX(Table8[Cumulative 2025])</f>
        <v>1377</v>
      </c>
      <c r="J283">
        <f>IF(YEAR(Table8[[#This Row],[Date]])=2026,B283,0)+IF(ROW(J282)=1,0,J282)</f>
        <v>0</v>
      </c>
      <c r="K283">
        <f>MAX(Table8[Cumulative 2026])</f>
        <v>3102</v>
      </c>
    </row>
    <row r="284" spans="1:63" hidden="1" x14ac:dyDescent="0.25">
      <c r="A284" s="1">
        <v>45493</v>
      </c>
      <c r="B284">
        <f>SUM(_xlfn.CHOOSEROWS(Table8[[The Golden Compass]:[end]],ROW()-1))</f>
        <v>0</v>
      </c>
      <c r="C284">
        <f>Table8[[#This Row],[Cumulative 2023 Q4]]+Table8[[#This Row],[Cumulative 2024]]+Table8[[#This Row],[Cumulative 2025]]+Table8[[#This Row],[Cumulative 2026]]</f>
        <v>8391</v>
      </c>
      <c r="D284">
        <f>IF(YEAR(Table8[[#This Row],[Date]])=2023,B284,0)+IF(ROW(D283)=1,0,D283)</f>
        <v>4195</v>
      </c>
      <c r="E284">
        <f>MAX(Table8[Cumulative 2023 Q4])</f>
        <v>4195</v>
      </c>
      <c r="F284">
        <f>IF(YEAR(Table8[[#This Row],[Date]])=2024,B284,0)+IF(ROW(F283)=1,0,F283)</f>
        <v>4196</v>
      </c>
      <c r="G284">
        <f>MAX(Table8[Cumulative 2024])</f>
        <v>5831</v>
      </c>
      <c r="H284">
        <f>IF(YEAR(Table8[[#This Row],[Date]])=2025,B284,0)+IF(ROW(H283)=1,0,H283)</f>
        <v>0</v>
      </c>
      <c r="I284">
        <f>MAX(Table8[Cumulative 2025])</f>
        <v>1377</v>
      </c>
      <c r="J284">
        <f>IF(YEAR(Table8[[#This Row],[Date]])=2026,B284,0)+IF(ROW(J283)=1,0,J283)</f>
        <v>0</v>
      </c>
      <c r="K284">
        <f>MAX(Table8[Cumulative 2026])</f>
        <v>3102</v>
      </c>
    </row>
    <row r="285" spans="1:63" hidden="1" x14ac:dyDescent="0.25">
      <c r="A285" s="1">
        <v>45494</v>
      </c>
      <c r="B285">
        <f>SUM(_xlfn.CHOOSEROWS(Table8[[The Golden Compass]:[end]],ROW()-1))</f>
        <v>0</v>
      </c>
      <c r="C285">
        <f>Table8[[#This Row],[Cumulative 2023 Q4]]+Table8[[#This Row],[Cumulative 2024]]+Table8[[#This Row],[Cumulative 2025]]+Table8[[#This Row],[Cumulative 2026]]</f>
        <v>8391</v>
      </c>
      <c r="D285">
        <f>IF(YEAR(Table8[[#This Row],[Date]])=2023,B285,0)+IF(ROW(D284)=1,0,D284)</f>
        <v>4195</v>
      </c>
      <c r="E285">
        <f>MAX(Table8[Cumulative 2023 Q4])</f>
        <v>4195</v>
      </c>
      <c r="F285">
        <f>IF(YEAR(Table8[[#This Row],[Date]])=2024,B285,0)+IF(ROW(F284)=1,0,F284)</f>
        <v>4196</v>
      </c>
      <c r="G285">
        <f>MAX(Table8[Cumulative 2024])</f>
        <v>5831</v>
      </c>
      <c r="H285">
        <f>IF(YEAR(Table8[[#This Row],[Date]])=2025,B285,0)+IF(ROW(H284)=1,0,H284)</f>
        <v>0</v>
      </c>
      <c r="I285">
        <f>MAX(Table8[Cumulative 2025])</f>
        <v>1377</v>
      </c>
      <c r="J285">
        <f>IF(YEAR(Table8[[#This Row],[Date]])=2026,B285,0)+IF(ROW(J284)=1,0,J284)</f>
        <v>0</v>
      </c>
      <c r="K285">
        <f>MAX(Table8[Cumulative 2026])</f>
        <v>3102</v>
      </c>
    </row>
    <row r="286" spans="1:63" hidden="1" x14ac:dyDescent="0.25">
      <c r="A286" s="1">
        <v>45495</v>
      </c>
      <c r="B286">
        <f>SUM(_xlfn.CHOOSEROWS(Table8[[The Golden Compass]:[end]],ROW()-1))</f>
        <v>0</v>
      </c>
      <c r="C286">
        <f>Table8[[#This Row],[Cumulative 2023 Q4]]+Table8[[#This Row],[Cumulative 2024]]+Table8[[#This Row],[Cumulative 2025]]+Table8[[#This Row],[Cumulative 2026]]</f>
        <v>8391</v>
      </c>
      <c r="D286">
        <f>IF(YEAR(Table8[[#This Row],[Date]])=2023,B286,0)+IF(ROW(D285)=1,0,D285)</f>
        <v>4195</v>
      </c>
      <c r="E286">
        <f>MAX(Table8[Cumulative 2023 Q4])</f>
        <v>4195</v>
      </c>
      <c r="F286">
        <f>IF(YEAR(Table8[[#This Row],[Date]])=2024,B286,0)+IF(ROW(F285)=1,0,F285)</f>
        <v>4196</v>
      </c>
      <c r="G286">
        <f>MAX(Table8[Cumulative 2024])</f>
        <v>5831</v>
      </c>
      <c r="H286">
        <f>IF(YEAR(Table8[[#This Row],[Date]])=2025,B286,0)+IF(ROW(H285)=1,0,H285)</f>
        <v>0</v>
      </c>
      <c r="I286">
        <f>MAX(Table8[Cumulative 2025])</f>
        <v>1377</v>
      </c>
      <c r="J286">
        <f>IF(YEAR(Table8[[#This Row],[Date]])=2026,B286,0)+IF(ROW(J285)=1,0,J285)</f>
        <v>0</v>
      </c>
      <c r="K286">
        <f>MAX(Table8[Cumulative 2026])</f>
        <v>3102</v>
      </c>
    </row>
    <row r="287" spans="1:63" hidden="1" x14ac:dyDescent="0.25">
      <c r="A287" s="1">
        <v>45496</v>
      </c>
      <c r="B287">
        <f>SUM(_xlfn.CHOOSEROWS(Table8[[The Golden Compass]:[end]],ROW()-1))</f>
        <v>4</v>
      </c>
      <c r="C287">
        <f>Table8[[#This Row],[Cumulative 2023 Q4]]+Table8[[#This Row],[Cumulative 2024]]+Table8[[#This Row],[Cumulative 2025]]+Table8[[#This Row],[Cumulative 2026]]</f>
        <v>8395</v>
      </c>
      <c r="D287">
        <f>IF(YEAR(Table8[[#This Row],[Date]])=2023,B287,0)+IF(ROW(D286)=1,0,D286)</f>
        <v>4195</v>
      </c>
      <c r="E287">
        <f>MAX(Table8[Cumulative 2023 Q4])</f>
        <v>4195</v>
      </c>
      <c r="F287">
        <f>IF(YEAR(Table8[[#This Row],[Date]])=2024,B287,0)+IF(ROW(F286)=1,0,F286)</f>
        <v>4200</v>
      </c>
      <c r="G287">
        <f>MAX(Table8[Cumulative 2024])</f>
        <v>5831</v>
      </c>
      <c r="H287">
        <f>IF(YEAR(Table8[[#This Row],[Date]])=2025,B287,0)+IF(ROW(H286)=1,0,H286)</f>
        <v>0</v>
      </c>
      <c r="I287">
        <f>MAX(Table8[Cumulative 2025])</f>
        <v>1377</v>
      </c>
      <c r="J287">
        <f>IF(YEAR(Table8[[#This Row],[Date]])=2026,B287,0)+IF(ROW(J286)=1,0,J286)</f>
        <v>0</v>
      </c>
      <c r="K287">
        <f>MAX(Table8[Cumulative 2026])</f>
        <v>3102</v>
      </c>
      <c r="BK287">
        <v>4</v>
      </c>
    </row>
    <row r="288" spans="1:63" hidden="1" x14ac:dyDescent="0.25">
      <c r="A288" s="1">
        <v>45497</v>
      </c>
      <c r="B288">
        <f>SUM(_xlfn.CHOOSEROWS(Table8[[The Golden Compass]:[end]],ROW()-1))</f>
        <v>0</v>
      </c>
      <c r="C288">
        <f>Table8[[#This Row],[Cumulative 2023 Q4]]+Table8[[#This Row],[Cumulative 2024]]+Table8[[#This Row],[Cumulative 2025]]+Table8[[#This Row],[Cumulative 2026]]</f>
        <v>8395</v>
      </c>
      <c r="D288">
        <f>IF(YEAR(Table8[[#This Row],[Date]])=2023,B288,0)+IF(ROW(D287)=1,0,D287)</f>
        <v>4195</v>
      </c>
      <c r="E288">
        <f>MAX(Table8[Cumulative 2023 Q4])</f>
        <v>4195</v>
      </c>
      <c r="F288">
        <f>IF(YEAR(Table8[[#This Row],[Date]])=2024,B288,0)+IF(ROW(F287)=1,0,F287)</f>
        <v>4200</v>
      </c>
      <c r="G288">
        <f>MAX(Table8[Cumulative 2024])</f>
        <v>5831</v>
      </c>
      <c r="H288">
        <f>IF(YEAR(Table8[[#This Row],[Date]])=2025,B288,0)+IF(ROW(H287)=1,0,H287)</f>
        <v>0</v>
      </c>
      <c r="I288">
        <f>MAX(Table8[Cumulative 2025])</f>
        <v>1377</v>
      </c>
      <c r="J288">
        <f>IF(YEAR(Table8[[#This Row],[Date]])=2026,B288,0)+IF(ROW(J287)=1,0,J287)</f>
        <v>0</v>
      </c>
      <c r="K288">
        <f>MAX(Table8[Cumulative 2026])</f>
        <v>3102</v>
      </c>
    </row>
    <row r="289" spans="1:63" hidden="1" x14ac:dyDescent="0.25">
      <c r="A289" s="1">
        <v>45498</v>
      </c>
      <c r="B289">
        <f>SUM(_xlfn.CHOOSEROWS(Table8[[The Golden Compass]:[end]],ROW()-1))</f>
        <v>0</v>
      </c>
      <c r="C289">
        <f>Table8[[#This Row],[Cumulative 2023 Q4]]+Table8[[#This Row],[Cumulative 2024]]+Table8[[#This Row],[Cumulative 2025]]+Table8[[#This Row],[Cumulative 2026]]</f>
        <v>8395</v>
      </c>
      <c r="D289">
        <f>IF(YEAR(Table8[[#This Row],[Date]])=2023,B289,0)+IF(ROW(D288)=1,0,D288)</f>
        <v>4195</v>
      </c>
      <c r="E289">
        <f>MAX(Table8[Cumulative 2023 Q4])</f>
        <v>4195</v>
      </c>
      <c r="F289">
        <f>IF(YEAR(Table8[[#This Row],[Date]])=2024,B289,0)+IF(ROW(F288)=1,0,F288)</f>
        <v>4200</v>
      </c>
      <c r="G289">
        <f>MAX(Table8[Cumulative 2024])</f>
        <v>5831</v>
      </c>
      <c r="H289">
        <f>IF(YEAR(Table8[[#This Row],[Date]])=2025,B289,0)+IF(ROW(H288)=1,0,H288)</f>
        <v>0</v>
      </c>
      <c r="I289">
        <f>MAX(Table8[Cumulative 2025])</f>
        <v>1377</v>
      </c>
      <c r="J289">
        <f>IF(YEAR(Table8[[#This Row],[Date]])=2026,B289,0)+IF(ROW(J288)=1,0,J288)</f>
        <v>0</v>
      </c>
      <c r="K289">
        <f>MAX(Table8[Cumulative 2026])</f>
        <v>3102</v>
      </c>
    </row>
    <row r="290" spans="1:63" hidden="1" x14ac:dyDescent="0.25">
      <c r="A290" s="1">
        <v>45499</v>
      </c>
      <c r="B290">
        <f>SUM(_xlfn.CHOOSEROWS(Table8[[The Golden Compass]:[end]],ROW()-1))</f>
        <v>0</v>
      </c>
      <c r="C290">
        <f>Table8[[#This Row],[Cumulative 2023 Q4]]+Table8[[#This Row],[Cumulative 2024]]+Table8[[#This Row],[Cumulative 2025]]+Table8[[#This Row],[Cumulative 2026]]</f>
        <v>8395</v>
      </c>
      <c r="D290">
        <f>IF(YEAR(Table8[[#This Row],[Date]])=2023,B290,0)+IF(ROW(D289)=1,0,D289)</f>
        <v>4195</v>
      </c>
      <c r="E290">
        <f>MAX(Table8[Cumulative 2023 Q4])</f>
        <v>4195</v>
      </c>
      <c r="F290">
        <f>IF(YEAR(Table8[[#This Row],[Date]])=2024,B290,0)+IF(ROW(F289)=1,0,F289)</f>
        <v>4200</v>
      </c>
      <c r="G290">
        <f>MAX(Table8[Cumulative 2024])</f>
        <v>5831</v>
      </c>
      <c r="H290">
        <f>IF(YEAR(Table8[[#This Row],[Date]])=2025,B290,0)+IF(ROW(H289)=1,0,H289)</f>
        <v>0</v>
      </c>
      <c r="I290">
        <f>MAX(Table8[Cumulative 2025])</f>
        <v>1377</v>
      </c>
      <c r="J290">
        <f>IF(YEAR(Table8[[#This Row],[Date]])=2026,B290,0)+IF(ROW(J289)=1,0,J289)</f>
        <v>0</v>
      </c>
      <c r="K290">
        <f>MAX(Table8[Cumulative 2026])</f>
        <v>3102</v>
      </c>
    </row>
    <row r="291" spans="1:63" hidden="1" x14ac:dyDescent="0.25">
      <c r="A291" s="1">
        <v>45500</v>
      </c>
      <c r="B291">
        <f>SUM(_xlfn.CHOOSEROWS(Table8[[The Golden Compass]:[end]],ROW()-1))</f>
        <v>0</v>
      </c>
      <c r="C291">
        <f>Table8[[#This Row],[Cumulative 2023 Q4]]+Table8[[#This Row],[Cumulative 2024]]+Table8[[#This Row],[Cumulative 2025]]+Table8[[#This Row],[Cumulative 2026]]</f>
        <v>8395</v>
      </c>
      <c r="D291">
        <f>IF(YEAR(Table8[[#This Row],[Date]])=2023,B291,0)+IF(ROW(D290)=1,0,D290)</f>
        <v>4195</v>
      </c>
      <c r="E291">
        <f>MAX(Table8[Cumulative 2023 Q4])</f>
        <v>4195</v>
      </c>
      <c r="F291">
        <f>IF(YEAR(Table8[[#This Row],[Date]])=2024,B291,0)+IF(ROW(F290)=1,0,F290)</f>
        <v>4200</v>
      </c>
      <c r="G291">
        <f>MAX(Table8[Cumulative 2024])</f>
        <v>5831</v>
      </c>
      <c r="H291">
        <f>IF(YEAR(Table8[[#This Row],[Date]])=2025,B291,0)+IF(ROW(H290)=1,0,H290)</f>
        <v>0</v>
      </c>
      <c r="I291">
        <f>MAX(Table8[Cumulative 2025])</f>
        <v>1377</v>
      </c>
      <c r="J291">
        <f>IF(YEAR(Table8[[#This Row],[Date]])=2026,B291,0)+IF(ROW(J290)=1,0,J290)</f>
        <v>0</v>
      </c>
      <c r="K291">
        <f>MAX(Table8[Cumulative 2026])</f>
        <v>3102</v>
      </c>
    </row>
    <row r="292" spans="1:63" hidden="1" x14ac:dyDescent="0.25">
      <c r="A292" s="1">
        <v>45501</v>
      </c>
      <c r="B292">
        <f>SUM(_xlfn.CHOOSEROWS(Table8[[The Golden Compass]:[end]],ROW()-1))</f>
        <v>0</v>
      </c>
      <c r="C292">
        <f>Table8[[#This Row],[Cumulative 2023 Q4]]+Table8[[#This Row],[Cumulative 2024]]+Table8[[#This Row],[Cumulative 2025]]+Table8[[#This Row],[Cumulative 2026]]</f>
        <v>8395</v>
      </c>
      <c r="D292">
        <f>IF(YEAR(Table8[[#This Row],[Date]])=2023,B292,0)+IF(ROW(D291)=1,0,D291)</f>
        <v>4195</v>
      </c>
      <c r="E292">
        <f>MAX(Table8[Cumulative 2023 Q4])</f>
        <v>4195</v>
      </c>
      <c r="F292">
        <f>IF(YEAR(Table8[[#This Row],[Date]])=2024,B292,0)+IF(ROW(F291)=1,0,F291)</f>
        <v>4200</v>
      </c>
      <c r="G292">
        <f>MAX(Table8[Cumulative 2024])</f>
        <v>5831</v>
      </c>
      <c r="H292">
        <f>IF(YEAR(Table8[[#This Row],[Date]])=2025,B292,0)+IF(ROW(H291)=1,0,H291)</f>
        <v>0</v>
      </c>
      <c r="I292">
        <f>MAX(Table8[Cumulative 2025])</f>
        <v>1377</v>
      </c>
      <c r="J292">
        <f>IF(YEAR(Table8[[#This Row],[Date]])=2026,B292,0)+IF(ROW(J291)=1,0,J291)</f>
        <v>0</v>
      </c>
      <c r="K292">
        <f>MAX(Table8[Cumulative 2026])</f>
        <v>3102</v>
      </c>
    </row>
    <row r="293" spans="1:63" hidden="1" x14ac:dyDescent="0.25">
      <c r="A293" s="1">
        <v>45502</v>
      </c>
      <c r="B293">
        <f>SUM(_xlfn.CHOOSEROWS(Table8[[The Golden Compass]:[end]],ROW()-1))</f>
        <v>5</v>
      </c>
      <c r="C293">
        <f>Table8[[#This Row],[Cumulative 2023 Q4]]+Table8[[#This Row],[Cumulative 2024]]+Table8[[#This Row],[Cumulative 2025]]+Table8[[#This Row],[Cumulative 2026]]</f>
        <v>8400</v>
      </c>
      <c r="D293">
        <f>IF(YEAR(Table8[[#This Row],[Date]])=2023,B293,0)+IF(ROW(D292)=1,0,D292)</f>
        <v>4195</v>
      </c>
      <c r="E293">
        <f>MAX(Table8[Cumulative 2023 Q4])</f>
        <v>4195</v>
      </c>
      <c r="F293">
        <f>IF(YEAR(Table8[[#This Row],[Date]])=2024,B293,0)+IF(ROW(F292)=1,0,F292)</f>
        <v>4205</v>
      </c>
      <c r="G293">
        <f>MAX(Table8[Cumulative 2024])</f>
        <v>5831</v>
      </c>
      <c r="H293">
        <f>IF(YEAR(Table8[[#This Row],[Date]])=2025,B293,0)+IF(ROW(H292)=1,0,H292)</f>
        <v>0</v>
      </c>
      <c r="I293">
        <f>MAX(Table8[Cumulative 2025])</f>
        <v>1377</v>
      </c>
      <c r="J293">
        <f>IF(YEAR(Table8[[#This Row],[Date]])=2026,B293,0)+IF(ROW(J292)=1,0,J292)</f>
        <v>0</v>
      </c>
      <c r="K293">
        <f>MAX(Table8[Cumulative 2026])</f>
        <v>3102</v>
      </c>
      <c r="BK293">
        <v>5</v>
      </c>
    </row>
    <row r="294" spans="1:63" hidden="1" x14ac:dyDescent="0.25">
      <c r="A294" s="1">
        <v>45503</v>
      </c>
      <c r="B294">
        <f>SUM(_xlfn.CHOOSEROWS(Table8[[The Golden Compass]:[end]],ROW()-1))</f>
        <v>1</v>
      </c>
      <c r="C294">
        <f>Table8[[#This Row],[Cumulative 2023 Q4]]+Table8[[#This Row],[Cumulative 2024]]+Table8[[#This Row],[Cumulative 2025]]+Table8[[#This Row],[Cumulative 2026]]</f>
        <v>8401</v>
      </c>
      <c r="D294">
        <f>IF(YEAR(Table8[[#This Row],[Date]])=2023,B294,0)+IF(ROW(D293)=1,0,D293)</f>
        <v>4195</v>
      </c>
      <c r="E294">
        <f>MAX(Table8[Cumulative 2023 Q4])</f>
        <v>4195</v>
      </c>
      <c r="F294">
        <f>IF(YEAR(Table8[[#This Row],[Date]])=2024,B294,0)+IF(ROW(F293)=1,0,F293)</f>
        <v>4206</v>
      </c>
      <c r="G294">
        <f>MAX(Table8[Cumulative 2024])</f>
        <v>5831</v>
      </c>
      <c r="H294">
        <f>IF(YEAR(Table8[[#This Row],[Date]])=2025,B294,0)+IF(ROW(H293)=1,0,H293)</f>
        <v>0</v>
      </c>
      <c r="I294">
        <f>MAX(Table8[Cumulative 2025])</f>
        <v>1377</v>
      </c>
      <c r="J294">
        <f>IF(YEAR(Table8[[#This Row],[Date]])=2026,B294,0)+IF(ROW(J293)=1,0,J293)</f>
        <v>0</v>
      </c>
      <c r="K294">
        <f>MAX(Table8[Cumulative 2026])</f>
        <v>3102</v>
      </c>
      <c r="BK294">
        <v>1</v>
      </c>
    </row>
    <row r="295" spans="1:63" hidden="1" x14ac:dyDescent="0.25">
      <c r="A295" s="1">
        <v>45504</v>
      </c>
      <c r="B295">
        <f>SUM(_xlfn.CHOOSEROWS(Table8[[The Golden Compass]:[end]],ROW()-1))</f>
        <v>0</v>
      </c>
      <c r="C295">
        <f>Table8[[#This Row],[Cumulative 2023 Q4]]+Table8[[#This Row],[Cumulative 2024]]+Table8[[#This Row],[Cumulative 2025]]+Table8[[#This Row],[Cumulative 2026]]</f>
        <v>8401</v>
      </c>
      <c r="D295">
        <f>IF(YEAR(Table8[[#This Row],[Date]])=2023,B295,0)+IF(ROW(D294)=1,0,D294)</f>
        <v>4195</v>
      </c>
      <c r="E295">
        <f>MAX(Table8[Cumulative 2023 Q4])</f>
        <v>4195</v>
      </c>
      <c r="F295">
        <f>IF(YEAR(Table8[[#This Row],[Date]])=2024,B295,0)+IF(ROW(F294)=1,0,F294)</f>
        <v>4206</v>
      </c>
      <c r="G295">
        <f>MAX(Table8[Cumulative 2024])</f>
        <v>5831</v>
      </c>
      <c r="H295">
        <f>IF(YEAR(Table8[[#This Row],[Date]])=2025,B295,0)+IF(ROW(H294)=1,0,H294)</f>
        <v>0</v>
      </c>
      <c r="I295">
        <f>MAX(Table8[Cumulative 2025])</f>
        <v>1377</v>
      </c>
      <c r="J295">
        <f>IF(YEAR(Table8[[#This Row],[Date]])=2026,B295,0)+IF(ROW(J294)=1,0,J294)</f>
        <v>0</v>
      </c>
      <c r="K295">
        <f>MAX(Table8[Cumulative 2026])</f>
        <v>3102</v>
      </c>
    </row>
    <row r="296" spans="1:63" hidden="1" x14ac:dyDescent="0.25">
      <c r="A296" s="1">
        <v>45505</v>
      </c>
      <c r="B296">
        <f>SUM(_xlfn.CHOOSEROWS(Table8[[The Golden Compass]:[end]],ROW()-1))</f>
        <v>0</v>
      </c>
      <c r="C296">
        <f>Table8[[#This Row],[Cumulative 2023 Q4]]+Table8[[#This Row],[Cumulative 2024]]+Table8[[#This Row],[Cumulative 2025]]+Table8[[#This Row],[Cumulative 2026]]</f>
        <v>8401</v>
      </c>
      <c r="D296">
        <f>IF(YEAR(Table8[[#This Row],[Date]])=2023,B296,0)+IF(ROW(D295)=1,0,D295)</f>
        <v>4195</v>
      </c>
      <c r="E296">
        <f>MAX(Table8[Cumulative 2023 Q4])</f>
        <v>4195</v>
      </c>
      <c r="F296">
        <f>IF(YEAR(Table8[[#This Row],[Date]])=2024,B296,0)+IF(ROW(F295)=1,0,F295)</f>
        <v>4206</v>
      </c>
      <c r="G296">
        <f>MAX(Table8[Cumulative 2024])</f>
        <v>5831</v>
      </c>
      <c r="H296">
        <f>IF(YEAR(Table8[[#This Row],[Date]])=2025,B296,0)+IF(ROW(H295)=1,0,H295)</f>
        <v>0</v>
      </c>
      <c r="I296">
        <f>MAX(Table8[Cumulative 2025])</f>
        <v>1377</v>
      </c>
      <c r="J296">
        <f>IF(YEAR(Table8[[#This Row],[Date]])=2026,B296,0)+IF(ROW(J295)=1,0,J295)</f>
        <v>0</v>
      </c>
      <c r="K296">
        <f>MAX(Table8[Cumulative 2026])</f>
        <v>3102</v>
      </c>
    </row>
    <row r="297" spans="1:63" hidden="1" x14ac:dyDescent="0.25">
      <c r="A297" s="1">
        <v>45506</v>
      </c>
      <c r="B297">
        <f>SUM(_xlfn.CHOOSEROWS(Table8[[The Golden Compass]:[end]],ROW()-1))</f>
        <v>0</v>
      </c>
      <c r="C297">
        <f>Table8[[#This Row],[Cumulative 2023 Q4]]+Table8[[#This Row],[Cumulative 2024]]+Table8[[#This Row],[Cumulative 2025]]+Table8[[#This Row],[Cumulative 2026]]</f>
        <v>8401</v>
      </c>
      <c r="D297">
        <f>IF(YEAR(Table8[[#This Row],[Date]])=2023,B297,0)+IF(ROW(D296)=1,0,D296)</f>
        <v>4195</v>
      </c>
      <c r="E297">
        <f>MAX(Table8[Cumulative 2023 Q4])</f>
        <v>4195</v>
      </c>
      <c r="F297">
        <f>IF(YEAR(Table8[[#This Row],[Date]])=2024,B297,0)+IF(ROW(F296)=1,0,F296)</f>
        <v>4206</v>
      </c>
      <c r="G297">
        <f>MAX(Table8[Cumulative 2024])</f>
        <v>5831</v>
      </c>
      <c r="H297">
        <f>IF(YEAR(Table8[[#This Row],[Date]])=2025,B297,0)+IF(ROW(H296)=1,0,H296)</f>
        <v>0</v>
      </c>
      <c r="I297">
        <f>MAX(Table8[Cumulative 2025])</f>
        <v>1377</v>
      </c>
      <c r="J297">
        <f>IF(YEAR(Table8[[#This Row],[Date]])=2026,B297,0)+IF(ROW(J296)=1,0,J296)</f>
        <v>0</v>
      </c>
      <c r="K297">
        <f>MAX(Table8[Cumulative 2026])</f>
        <v>3102</v>
      </c>
    </row>
    <row r="298" spans="1:63" hidden="1" x14ac:dyDescent="0.25">
      <c r="A298" s="1">
        <v>45507</v>
      </c>
      <c r="B298">
        <f>SUM(_xlfn.CHOOSEROWS(Table8[[The Golden Compass]:[end]],ROW()-1))</f>
        <v>0</v>
      </c>
      <c r="C298">
        <f>Table8[[#This Row],[Cumulative 2023 Q4]]+Table8[[#This Row],[Cumulative 2024]]+Table8[[#This Row],[Cumulative 2025]]+Table8[[#This Row],[Cumulative 2026]]</f>
        <v>8401</v>
      </c>
      <c r="D298">
        <f>IF(YEAR(Table8[[#This Row],[Date]])=2023,B298,0)+IF(ROW(D297)=1,0,D297)</f>
        <v>4195</v>
      </c>
      <c r="E298">
        <f>MAX(Table8[Cumulative 2023 Q4])</f>
        <v>4195</v>
      </c>
      <c r="F298">
        <f>IF(YEAR(Table8[[#This Row],[Date]])=2024,B298,0)+IF(ROW(F297)=1,0,F297)</f>
        <v>4206</v>
      </c>
      <c r="G298">
        <f>MAX(Table8[Cumulative 2024])</f>
        <v>5831</v>
      </c>
      <c r="H298">
        <f>IF(YEAR(Table8[[#This Row],[Date]])=2025,B298,0)+IF(ROW(H297)=1,0,H297)</f>
        <v>0</v>
      </c>
      <c r="I298">
        <f>MAX(Table8[Cumulative 2025])</f>
        <v>1377</v>
      </c>
      <c r="J298">
        <f>IF(YEAR(Table8[[#This Row],[Date]])=2026,B298,0)+IF(ROW(J297)=1,0,J297)</f>
        <v>0</v>
      </c>
      <c r="K298">
        <f>MAX(Table8[Cumulative 2026])</f>
        <v>3102</v>
      </c>
    </row>
    <row r="299" spans="1:63" hidden="1" x14ac:dyDescent="0.25">
      <c r="A299" s="1">
        <v>45508</v>
      </c>
      <c r="B299">
        <f>SUM(_xlfn.CHOOSEROWS(Table8[[The Golden Compass]:[end]],ROW()-1))</f>
        <v>0</v>
      </c>
      <c r="C299">
        <f>Table8[[#This Row],[Cumulative 2023 Q4]]+Table8[[#This Row],[Cumulative 2024]]+Table8[[#This Row],[Cumulative 2025]]+Table8[[#This Row],[Cumulative 2026]]</f>
        <v>8401</v>
      </c>
      <c r="D299">
        <f>IF(YEAR(Table8[[#This Row],[Date]])=2023,B299,0)+IF(ROW(D298)=1,0,D298)</f>
        <v>4195</v>
      </c>
      <c r="E299">
        <f>MAX(Table8[Cumulative 2023 Q4])</f>
        <v>4195</v>
      </c>
      <c r="F299">
        <f>IF(YEAR(Table8[[#This Row],[Date]])=2024,B299,0)+IF(ROW(F298)=1,0,F298)</f>
        <v>4206</v>
      </c>
      <c r="G299">
        <f>MAX(Table8[Cumulative 2024])</f>
        <v>5831</v>
      </c>
      <c r="H299">
        <f>IF(YEAR(Table8[[#This Row],[Date]])=2025,B299,0)+IF(ROW(H298)=1,0,H298)</f>
        <v>0</v>
      </c>
      <c r="I299">
        <f>MAX(Table8[Cumulative 2025])</f>
        <v>1377</v>
      </c>
      <c r="J299">
        <f>IF(YEAR(Table8[[#This Row],[Date]])=2026,B299,0)+IF(ROW(J298)=1,0,J298)</f>
        <v>0</v>
      </c>
      <c r="K299">
        <f>MAX(Table8[Cumulative 2026])</f>
        <v>3102</v>
      </c>
    </row>
    <row r="300" spans="1:63" hidden="1" x14ac:dyDescent="0.25">
      <c r="A300" s="1">
        <v>45509</v>
      </c>
      <c r="B300">
        <f>SUM(_xlfn.CHOOSEROWS(Table8[[The Golden Compass]:[end]],ROW()-1))</f>
        <v>37</v>
      </c>
      <c r="C300">
        <f>Table8[[#This Row],[Cumulative 2023 Q4]]+Table8[[#This Row],[Cumulative 2024]]+Table8[[#This Row],[Cumulative 2025]]+Table8[[#This Row],[Cumulative 2026]]</f>
        <v>8438</v>
      </c>
      <c r="D300">
        <f>IF(YEAR(Table8[[#This Row],[Date]])=2023,B300,0)+IF(ROW(D299)=1,0,D299)</f>
        <v>4195</v>
      </c>
      <c r="E300">
        <f>MAX(Table8[Cumulative 2023 Q4])</f>
        <v>4195</v>
      </c>
      <c r="F300">
        <f>IF(YEAR(Table8[[#This Row],[Date]])=2024,B300,0)+IF(ROW(F299)=1,0,F299)</f>
        <v>4243</v>
      </c>
      <c r="G300">
        <f>MAX(Table8[Cumulative 2024])</f>
        <v>5831</v>
      </c>
      <c r="H300">
        <f>IF(YEAR(Table8[[#This Row],[Date]])=2025,B300,0)+IF(ROW(H299)=1,0,H299)</f>
        <v>0</v>
      </c>
      <c r="I300">
        <f>MAX(Table8[Cumulative 2025])</f>
        <v>1377</v>
      </c>
      <c r="J300">
        <f>IF(YEAR(Table8[[#This Row],[Date]])=2026,B300,0)+IF(ROW(J299)=1,0,J299)</f>
        <v>0</v>
      </c>
      <c r="K300">
        <f>MAX(Table8[Cumulative 2026])</f>
        <v>3102</v>
      </c>
      <c r="AR300">
        <v>23</v>
      </c>
      <c r="AW300">
        <v>14</v>
      </c>
    </row>
    <row r="301" spans="1:63" hidden="1" x14ac:dyDescent="0.25">
      <c r="A301" s="1">
        <v>45510</v>
      </c>
      <c r="B301">
        <f>SUM(_xlfn.CHOOSEROWS(Table8[[The Golden Compass]:[end]],ROW()-1))</f>
        <v>0</v>
      </c>
      <c r="C301">
        <f>Table8[[#This Row],[Cumulative 2023 Q4]]+Table8[[#This Row],[Cumulative 2024]]+Table8[[#This Row],[Cumulative 2025]]+Table8[[#This Row],[Cumulative 2026]]</f>
        <v>8438</v>
      </c>
      <c r="D301">
        <f>IF(YEAR(Table8[[#This Row],[Date]])=2023,B301,0)+IF(ROW(D300)=1,0,D300)</f>
        <v>4195</v>
      </c>
      <c r="E301">
        <f>MAX(Table8[Cumulative 2023 Q4])</f>
        <v>4195</v>
      </c>
      <c r="F301">
        <f>IF(YEAR(Table8[[#This Row],[Date]])=2024,B301,0)+IF(ROW(F300)=1,0,F300)</f>
        <v>4243</v>
      </c>
      <c r="G301">
        <f>MAX(Table8[Cumulative 2024])</f>
        <v>5831</v>
      </c>
      <c r="H301">
        <f>IF(YEAR(Table8[[#This Row],[Date]])=2025,B301,0)+IF(ROW(H300)=1,0,H300)</f>
        <v>0</v>
      </c>
      <c r="I301">
        <f>MAX(Table8[Cumulative 2025])</f>
        <v>1377</v>
      </c>
      <c r="J301">
        <f>IF(YEAR(Table8[[#This Row],[Date]])=2026,B301,0)+IF(ROW(J300)=1,0,J300)</f>
        <v>0</v>
      </c>
      <c r="K301">
        <f>MAX(Table8[Cumulative 2026])</f>
        <v>3102</v>
      </c>
    </row>
    <row r="302" spans="1:63" hidden="1" x14ac:dyDescent="0.25">
      <c r="A302" s="1">
        <v>45511</v>
      </c>
      <c r="B302">
        <f>SUM(_xlfn.CHOOSEROWS(Table8[[The Golden Compass]:[end]],ROW()-1))</f>
        <v>32</v>
      </c>
      <c r="C302">
        <f>Table8[[#This Row],[Cumulative 2023 Q4]]+Table8[[#This Row],[Cumulative 2024]]+Table8[[#This Row],[Cumulative 2025]]+Table8[[#This Row],[Cumulative 2026]]</f>
        <v>8470</v>
      </c>
      <c r="D302">
        <f>IF(YEAR(Table8[[#This Row],[Date]])=2023,B302,0)+IF(ROW(D301)=1,0,D301)</f>
        <v>4195</v>
      </c>
      <c r="E302">
        <f>MAX(Table8[Cumulative 2023 Q4])</f>
        <v>4195</v>
      </c>
      <c r="F302">
        <f>IF(YEAR(Table8[[#This Row],[Date]])=2024,B302,0)+IF(ROW(F301)=1,0,F301)</f>
        <v>4275</v>
      </c>
      <c r="G302">
        <f>MAX(Table8[Cumulative 2024])</f>
        <v>5831</v>
      </c>
      <c r="H302">
        <f>IF(YEAR(Table8[[#This Row],[Date]])=2025,B302,0)+IF(ROW(H301)=1,0,H301)</f>
        <v>0</v>
      </c>
      <c r="I302">
        <f>MAX(Table8[Cumulative 2025])</f>
        <v>1377</v>
      </c>
      <c r="J302">
        <f>IF(YEAR(Table8[[#This Row],[Date]])=2026,B302,0)+IF(ROW(J301)=1,0,J301)</f>
        <v>0</v>
      </c>
      <c r="K302">
        <f>MAX(Table8[Cumulative 2026])</f>
        <v>3102</v>
      </c>
      <c r="AR302">
        <v>32</v>
      </c>
    </row>
    <row r="303" spans="1:63" hidden="1" x14ac:dyDescent="0.25">
      <c r="A303" s="1">
        <v>45512</v>
      </c>
      <c r="B303">
        <f>SUM(_xlfn.CHOOSEROWS(Table8[[The Golden Compass]:[end]],ROW()-1))</f>
        <v>0</v>
      </c>
      <c r="C303">
        <f>Table8[[#This Row],[Cumulative 2023 Q4]]+Table8[[#This Row],[Cumulative 2024]]+Table8[[#This Row],[Cumulative 2025]]+Table8[[#This Row],[Cumulative 2026]]</f>
        <v>8470</v>
      </c>
      <c r="D303">
        <f>IF(YEAR(Table8[[#This Row],[Date]])=2023,B303,0)+IF(ROW(D302)=1,0,D302)</f>
        <v>4195</v>
      </c>
      <c r="E303">
        <f>MAX(Table8[Cumulative 2023 Q4])</f>
        <v>4195</v>
      </c>
      <c r="F303">
        <f>IF(YEAR(Table8[[#This Row],[Date]])=2024,B303,0)+IF(ROW(F302)=1,0,F302)</f>
        <v>4275</v>
      </c>
      <c r="G303">
        <f>MAX(Table8[Cumulative 2024])</f>
        <v>5831</v>
      </c>
      <c r="H303">
        <f>IF(YEAR(Table8[[#This Row],[Date]])=2025,B303,0)+IF(ROW(H302)=1,0,H302)</f>
        <v>0</v>
      </c>
      <c r="I303">
        <f>MAX(Table8[Cumulative 2025])</f>
        <v>1377</v>
      </c>
      <c r="J303">
        <f>IF(YEAR(Table8[[#This Row],[Date]])=2026,B303,0)+IF(ROW(J302)=1,0,J302)</f>
        <v>0</v>
      </c>
      <c r="K303">
        <f>MAX(Table8[Cumulative 2026])</f>
        <v>3102</v>
      </c>
    </row>
    <row r="304" spans="1:63" hidden="1" x14ac:dyDescent="0.25">
      <c r="A304" s="1">
        <v>45513</v>
      </c>
      <c r="B304">
        <f>SUM(_xlfn.CHOOSEROWS(Table8[[The Golden Compass]:[end]],ROW()-1))</f>
        <v>0</v>
      </c>
      <c r="C304">
        <f>Table8[[#This Row],[Cumulative 2023 Q4]]+Table8[[#This Row],[Cumulative 2024]]+Table8[[#This Row],[Cumulative 2025]]+Table8[[#This Row],[Cumulative 2026]]</f>
        <v>8470</v>
      </c>
      <c r="D304">
        <f>IF(YEAR(Table8[[#This Row],[Date]])=2023,B304,0)+IF(ROW(D303)=1,0,D303)</f>
        <v>4195</v>
      </c>
      <c r="E304">
        <f>MAX(Table8[Cumulative 2023 Q4])</f>
        <v>4195</v>
      </c>
      <c r="F304">
        <f>IF(YEAR(Table8[[#This Row],[Date]])=2024,B304,0)+IF(ROW(F303)=1,0,F303)</f>
        <v>4275</v>
      </c>
      <c r="G304">
        <f>MAX(Table8[Cumulative 2024])</f>
        <v>5831</v>
      </c>
      <c r="H304">
        <f>IF(YEAR(Table8[[#This Row],[Date]])=2025,B304,0)+IF(ROW(H303)=1,0,H303)</f>
        <v>0</v>
      </c>
      <c r="I304">
        <f>MAX(Table8[Cumulative 2025])</f>
        <v>1377</v>
      </c>
      <c r="J304">
        <f>IF(YEAR(Table8[[#This Row],[Date]])=2026,B304,0)+IF(ROW(J303)=1,0,J303)</f>
        <v>0</v>
      </c>
      <c r="K304">
        <f>MAX(Table8[Cumulative 2026])</f>
        <v>3102</v>
      </c>
    </row>
    <row r="305" spans="1:62" hidden="1" x14ac:dyDescent="0.25">
      <c r="A305" s="1">
        <v>45514</v>
      </c>
      <c r="B305">
        <f>SUM(_xlfn.CHOOSEROWS(Table8[[The Golden Compass]:[end]],ROW()-1))</f>
        <v>0</v>
      </c>
      <c r="C305">
        <f>Table8[[#This Row],[Cumulative 2023 Q4]]+Table8[[#This Row],[Cumulative 2024]]+Table8[[#This Row],[Cumulative 2025]]+Table8[[#This Row],[Cumulative 2026]]</f>
        <v>8470</v>
      </c>
      <c r="D305">
        <f>IF(YEAR(Table8[[#This Row],[Date]])=2023,B305,0)+IF(ROW(D304)=1,0,D304)</f>
        <v>4195</v>
      </c>
      <c r="E305">
        <f>MAX(Table8[Cumulative 2023 Q4])</f>
        <v>4195</v>
      </c>
      <c r="F305">
        <f>IF(YEAR(Table8[[#This Row],[Date]])=2024,B305,0)+IF(ROW(F304)=1,0,F304)</f>
        <v>4275</v>
      </c>
      <c r="G305">
        <f>MAX(Table8[Cumulative 2024])</f>
        <v>5831</v>
      </c>
      <c r="H305">
        <f>IF(YEAR(Table8[[#This Row],[Date]])=2025,B305,0)+IF(ROW(H304)=1,0,H304)</f>
        <v>0</v>
      </c>
      <c r="I305">
        <f>MAX(Table8[Cumulative 2025])</f>
        <v>1377</v>
      </c>
      <c r="J305">
        <f>IF(YEAR(Table8[[#This Row],[Date]])=2026,B305,0)+IF(ROW(J304)=1,0,J304)</f>
        <v>0</v>
      </c>
      <c r="K305">
        <f>MAX(Table8[Cumulative 2026])</f>
        <v>3102</v>
      </c>
    </row>
    <row r="306" spans="1:62" hidden="1" x14ac:dyDescent="0.25">
      <c r="A306" s="1">
        <v>45515</v>
      </c>
      <c r="B306">
        <f>SUM(_xlfn.CHOOSEROWS(Table8[[The Golden Compass]:[end]],ROW()-1))</f>
        <v>0</v>
      </c>
      <c r="C306">
        <f>Table8[[#This Row],[Cumulative 2023 Q4]]+Table8[[#This Row],[Cumulative 2024]]+Table8[[#This Row],[Cumulative 2025]]+Table8[[#This Row],[Cumulative 2026]]</f>
        <v>8470</v>
      </c>
      <c r="D306">
        <f>IF(YEAR(Table8[[#This Row],[Date]])=2023,B306,0)+IF(ROW(D305)=1,0,D305)</f>
        <v>4195</v>
      </c>
      <c r="E306">
        <f>MAX(Table8[Cumulative 2023 Q4])</f>
        <v>4195</v>
      </c>
      <c r="F306">
        <f>IF(YEAR(Table8[[#This Row],[Date]])=2024,B306,0)+IF(ROW(F305)=1,0,F305)</f>
        <v>4275</v>
      </c>
      <c r="G306">
        <f>MAX(Table8[Cumulative 2024])</f>
        <v>5831</v>
      </c>
      <c r="H306">
        <f>IF(YEAR(Table8[[#This Row],[Date]])=2025,B306,0)+IF(ROW(H305)=1,0,H305)</f>
        <v>0</v>
      </c>
      <c r="I306">
        <f>MAX(Table8[Cumulative 2025])</f>
        <v>1377</v>
      </c>
      <c r="J306">
        <f>IF(YEAR(Table8[[#This Row],[Date]])=2026,B306,0)+IF(ROW(J305)=1,0,J305)</f>
        <v>0</v>
      </c>
      <c r="K306">
        <f>MAX(Table8[Cumulative 2026])</f>
        <v>3102</v>
      </c>
    </row>
    <row r="307" spans="1:62" x14ac:dyDescent="0.25">
      <c r="A307" s="1">
        <v>45516</v>
      </c>
      <c r="B307">
        <f>SUM(_xlfn.CHOOSEROWS(Table8[[The Golden Compass]:[end]],ROW()-1))</f>
        <v>46</v>
      </c>
      <c r="C307">
        <f>Table8[[#This Row],[Cumulative 2023 Q4]]+Table8[[#This Row],[Cumulative 2024]]+Table8[[#This Row],[Cumulative 2025]]+Table8[[#This Row],[Cumulative 2026]]</f>
        <v>8516</v>
      </c>
      <c r="D307">
        <f>IF(YEAR(Table8[[#This Row],[Date]])=2023,B307,0)+IF(ROW(D306)=1,0,D306)</f>
        <v>4195</v>
      </c>
      <c r="E307">
        <f>MAX(Table8[Cumulative 2023 Q4])</f>
        <v>4195</v>
      </c>
      <c r="F307">
        <f>IF(YEAR(Table8[[#This Row],[Date]])=2024,B307,0)+IF(ROW(F306)=1,0,F306)</f>
        <v>4321</v>
      </c>
      <c r="G307">
        <f>MAX(Table8[Cumulative 2024])</f>
        <v>5831</v>
      </c>
      <c r="H307">
        <f>IF(YEAR(Table8[[#This Row],[Date]])=2025,B307,0)+IF(ROW(H306)=1,0,H306)</f>
        <v>0</v>
      </c>
      <c r="I307">
        <f>MAX(Table8[Cumulative 2025])</f>
        <v>1377</v>
      </c>
      <c r="J307">
        <f>IF(YEAR(Table8[[#This Row],[Date]])=2026,B307,0)+IF(ROW(J306)=1,0,J306)</f>
        <v>0</v>
      </c>
      <c r="K307">
        <f>MAX(Table8[Cumulative 2026])</f>
        <v>3102</v>
      </c>
      <c r="BJ307">
        <v>46</v>
      </c>
    </row>
    <row r="308" spans="1:62" hidden="1" x14ac:dyDescent="0.25">
      <c r="A308" s="1">
        <v>45517</v>
      </c>
      <c r="B308">
        <f>SUM(_xlfn.CHOOSEROWS(Table8[[The Golden Compass]:[end]],ROW()-1))</f>
        <v>0</v>
      </c>
      <c r="C308">
        <f>Table8[[#This Row],[Cumulative 2023 Q4]]+Table8[[#This Row],[Cumulative 2024]]+Table8[[#This Row],[Cumulative 2025]]+Table8[[#This Row],[Cumulative 2026]]</f>
        <v>8516</v>
      </c>
      <c r="D308">
        <f>IF(YEAR(Table8[[#This Row],[Date]])=2023,B308,0)+IF(ROW(D307)=1,0,D307)</f>
        <v>4195</v>
      </c>
      <c r="E308">
        <f>MAX(Table8[Cumulative 2023 Q4])</f>
        <v>4195</v>
      </c>
      <c r="F308">
        <f>IF(YEAR(Table8[[#This Row],[Date]])=2024,B308,0)+IF(ROW(F307)=1,0,F307)</f>
        <v>4321</v>
      </c>
      <c r="G308">
        <f>MAX(Table8[Cumulative 2024])</f>
        <v>5831</v>
      </c>
      <c r="H308">
        <f>IF(YEAR(Table8[[#This Row],[Date]])=2025,B308,0)+IF(ROW(H307)=1,0,H307)</f>
        <v>0</v>
      </c>
      <c r="I308">
        <f>MAX(Table8[Cumulative 2025])</f>
        <v>1377</v>
      </c>
      <c r="J308">
        <f>IF(YEAR(Table8[[#This Row],[Date]])=2026,B308,0)+IF(ROW(J307)=1,0,J307)</f>
        <v>0</v>
      </c>
      <c r="K308">
        <f>MAX(Table8[Cumulative 2026])</f>
        <v>3102</v>
      </c>
    </row>
    <row r="309" spans="1:62" hidden="1" x14ac:dyDescent="0.25">
      <c r="A309" s="1">
        <v>45518</v>
      </c>
      <c r="B309">
        <f>SUM(_xlfn.CHOOSEROWS(Table8[[The Golden Compass]:[end]],ROW()-1))</f>
        <v>0</v>
      </c>
      <c r="C309">
        <f>Table8[[#This Row],[Cumulative 2023 Q4]]+Table8[[#This Row],[Cumulative 2024]]+Table8[[#This Row],[Cumulative 2025]]+Table8[[#This Row],[Cumulative 2026]]</f>
        <v>8516</v>
      </c>
      <c r="D309">
        <f>IF(YEAR(Table8[[#This Row],[Date]])=2023,B309,0)+IF(ROW(D308)=1,0,D308)</f>
        <v>4195</v>
      </c>
      <c r="E309">
        <f>MAX(Table8[Cumulative 2023 Q4])</f>
        <v>4195</v>
      </c>
      <c r="F309">
        <f>IF(YEAR(Table8[[#This Row],[Date]])=2024,B309,0)+IF(ROW(F308)=1,0,F308)</f>
        <v>4321</v>
      </c>
      <c r="G309">
        <f>MAX(Table8[Cumulative 2024])</f>
        <v>5831</v>
      </c>
      <c r="H309">
        <f>IF(YEAR(Table8[[#This Row],[Date]])=2025,B309,0)+IF(ROW(H308)=1,0,H308)</f>
        <v>0</v>
      </c>
      <c r="I309">
        <f>MAX(Table8[Cumulative 2025])</f>
        <v>1377</v>
      </c>
      <c r="J309">
        <f>IF(YEAR(Table8[[#This Row],[Date]])=2026,B309,0)+IF(ROW(J308)=1,0,J308)</f>
        <v>0</v>
      </c>
      <c r="K309">
        <f>MAX(Table8[Cumulative 2026])</f>
        <v>3102</v>
      </c>
    </row>
    <row r="310" spans="1:62" hidden="1" x14ac:dyDescent="0.25">
      <c r="A310" s="1">
        <v>45519</v>
      </c>
      <c r="B310">
        <f>SUM(_xlfn.CHOOSEROWS(Table8[[The Golden Compass]:[end]],ROW()-1))</f>
        <v>0</v>
      </c>
      <c r="C310">
        <f>Table8[[#This Row],[Cumulative 2023 Q4]]+Table8[[#This Row],[Cumulative 2024]]+Table8[[#This Row],[Cumulative 2025]]+Table8[[#This Row],[Cumulative 2026]]</f>
        <v>8516</v>
      </c>
      <c r="D310">
        <f>IF(YEAR(Table8[[#This Row],[Date]])=2023,B310,0)+IF(ROW(D309)=1,0,D309)</f>
        <v>4195</v>
      </c>
      <c r="E310">
        <f>MAX(Table8[Cumulative 2023 Q4])</f>
        <v>4195</v>
      </c>
      <c r="F310">
        <f>IF(YEAR(Table8[[#This Row],[Date]])=2024,B310,0)+IF(ROW(F309)=1,0,F309)</f>
        <v>4321</v>
      </c>
      <c r="G310">
        <f>MAX(Table8[Cumulative 2024])</f>
        <v>5831</v>
      </c>
      <c r="H310">
        <f>IF(YEAR(Table8[[#This Row],[Date]])=2025,B310,0)+IF(ROW(H309)=1,0,H309)</f>
        <v>0</v>
      </c>
      <c r="I310">
        <f>MAX(Table8[Cumulative 2025])</f>
        <v>1377</v>
      </c>
      <c r="J310">
        <f>IF(YEAR(Table8[[#This Row],[Date]])=2026,B310,0)+IF(ROW(J309)=1,0,J309)</f>
        <v>0</v>
      </c>
      <c r="K310">
        <f>MAX(Table8[Cumulative 2026])</f>
        <v>3102</v>
      </c>
    </row>
    <row r="311" spans="1:62" hidden="1" x14ac:dyDescent="0.25">
      <c r="A311" s="1">
        <v>45520</v>
      </c>
      <c r="B311">
        <f>SUM(_xlfn.CHOOSEROWS(Table8[[The Golden Compass]:[end]],ROW()-1))</f>
        <v>0</v>
      </c>
      <c r="C311">
        <f>Table8[[#This Row],[Cumulative 2023 Q4]]+Table8[[#This Row],[Cumulative 2024]]+Table8[[#This Row],[Cumulative 2025]]+Table8[[#This Row],[Cumulative 2026]]</f>
        <v>8516</v>
      </c>
      <c r="D311">
        <f>IF(YEAR(Table8[[#This Row],[Date]])=2023,B311,0)+IF(ROW(D310)=1,0,D310)</f>
        <v>4195</v>
      </c>
      <c r="E311">
        <f>MAX(Table8[Cumulative 2023 Q4])</f>
        <v>4195</v>
      </c>
      <c r="F311">
        <f>IF(YEAR(Table8[[#This Row],[Date]])=2024,B311,0)+IF(ROW(F310)=1,0,F310)</f>
        <v>4321</v>
      </c>
      <c r="G311">
        <f>MAX(Table8[Cumulative 2024])</f>
        <v>5831</v>
      </c>
      <c r="H311">
        <f>IF(YEAR(Table8[[#This Row],[Date]])=2025,B311,0)+IF(ROW(H310)=1,0,H310)</f>
        <v>0</v>
      </c>
      <c r="I311">
        <f>MAX(Table8[Cumulative 2025])</f>
        <v>1377</v>
      </c>
      <c r="J311">
        <f>IF(YEAR(Table8[[#This Row],[Date]])=2026,B311,0)+IF(ROW(J310)=1,0,J310)</f>
        <v>0</v>
      </c>
      <c r="K311">
        <f>MAX(Table8[Cumulative 2026])</f>
        <v>3102</v>
      </c>
    </row>
    <row r="312" spans="1:62" hidden="1" x14ac:dyDescent="0.25">
      <c r="A312" s="1">
        <v>45521</v>
      </c>
      <c r="B312">
        <f>SUM(_xlfn.CHOOSEROWS(Table8[[The Golden Compass]:[end]],ROW()-1))</f>
        <v>0</v>
      </c>
      <c r="C312">
        <f>Table8[[#This Row],[Cumulative 2023 Q4]]+Table8[[#This Row],[Cumulative 2024]]+Table8[[#This Row],[Cumulative 2025]]+Table8[[#This Row],[Cumulative 2026]]</f>
        <v>8516</v>
      </c>
      <c r="D312">
        <f>IF(YEAR(Table8[[#This Row],[Date]])=2023,B312,0)+IF(ROW(D311)=1,0,D311)</f>
        <v>4195</v>
      </c>
      <c r="E312">
        <f>MAX(Table8[Cumulative 2023 Q4])</f>
        <v>4195</v>
      </c>
      <c r="F312">
        <f>IF(YEAR(Table8[[#This Row],[Date]])=2024,B312,0)+IF(ROW(F311)=1,0,F311)</f>
        <v>4321</v>
      </c>
      <c r="G312">
        <f>MAX(Table8[Cumulative 2024])</f>
        <v>5831</v>
      </c>
      <c r="H312">
        <f>IF(YEAR(Table8[[#This Row],[Date]])=2025,B312,0)+IF(ROW(H311)=1,0,H311)</f>
        <v>0</v>
      </c>
      <c r="I312">
        <f>MAX(Table8[Cumulative 2025])</f>
        <v>1377</v>
      </c>
      <c r="J312">
        <f>IF(YEAR(Table8[[#This Row],[Date]])=2026,B312,0)+IF(ROW(J311)=1,0,J311)</f>
        <v>0</v>
      </c>
      <c r="K312">
        <f>MAX(Table8[Cumulative 2026])</f>
        <v>3102</v>
      </c>
    </row>
    <row r="313" spans="1:62" hidden="1" x14ac:dyDescent="0.25">
      <c r="A313" s="1">
        <v>45522</v>
      </c>
      <c r="B313">
        <f>SUM(_xlfn.CHOOSEROWS(Table8[[The Golden Compass]:[end]],ROW()-1))</f>
        <v>0</v>
      </c>
      <c r="C313">
        <f>Table8[[#This Row],[Cumulative 2023 Q4]]+Table8[[#This Row],[Cumulative 2024]]+Table8[[#This Row],[Cumulative 2025]]+Table8[[#This Row],[Cumulative 2026]]</f>
        <v>8516</v>
      </c>
      <c r="D313">
        <f>IF(YEAR(Table8[[#This Row],[Date]])=2023,B313,0)+IF(ROW(D312)=1,0,D312)</f>
        <v>4195</v>
      </c>
      <c r="E313">
        <f>MAX(Table8[Cumulative 2023 Q4])</f>
        <v>4195</v>
      </c>
      <c r="F313">
        <f>IF(YEAR(Table8[[#This Row],[Date]])=2024,B313,0)+IF(ROW(F312)=1,0,F312)</f>
        <v>4321</v>
      </c>
      <c r="G313">
        <f>MAX(Table8[Cumulative 2024])</f>
        <v>5831</v>
      </c>
      <c r="H313">
        <f>IF(YEAR(Table8[[#This Row],[Date]])=2025,B313,0)+IF(ROW(H312)=1,0,H312)</f>
        <v>0</v>
      </c>
      <c r="I313">
        <f>MAX(Table8[Cumulative 2025])</f>
        <v>1377</v>
      </c>
      <c r="J313">
        <f>IF(YEAR(Table8[[#This Row],[Date]])=2026,B313,0)+IF(ROW(J312)=1,0,J312)</f>
        <v>0</v>
      </c>
      <c r="K313">
        <f>MAX(Table8[Cumulative 2026])</f>
        <v>3102</v>
      </c>
    </row>
    <row r="314" spans="1:62" hidden="1" x14ac:dyDescent="0.25">
      <c r="A314" s="1">
        <v>45523</v>
      </c>
      <c r="B314">
        <f>SUM(_xlfn.CHOOSEROWS(Table8[[The Golden Compass]:[end]],ROW()-1))</f>
        <v>0</v>
      </c>
      <c r="C314">
        <f>Table8[[#This Row],[Cumulative 2023 Q4]]+Table8[[#This Row],[Cumulative 2024]]+Table8[[#This Row],[Cumulative 2025]]+Table8[[#This Row],[Cumulative 2026]]</f>
        <v>8516</v>
      </c>
      <c r="D314">
        <f>IF(YEAR(Table8[[#This Row],[Date]])=2023,B314,0)+IF(ROW(D313)=1,0,D313)</f>
        <v>4195</v>
      </c>
      <c r="E314">
        <f>MAX(Table8[Cumulative 2023 Q4])</f>
        <v>4195</v>
      </c>
      <c r="F314">
        <f>IF(YEAR(Table8[[#This Row],[Date]])=2024,B314,0)+IF(ROW(F313)=1,0,F313)</f>
        <v>4321</v>
      </c>
      <c r="G314">
        <f>MAX(Table8[Cumulative 2024])</f>
        <v>5831</v>
      </c>
      <c r="H314">
        <f>IF(YEAR(Table8[[#This Row],[Date]])=2025,B314,0)+IF(ROW(H313)=1,0,H313)</f>
        <v>0</v>
      </c>
      <c r="I314">
        <f>MAX(Table8[Cumulative 2025])</f>
        <v>1377</v>
      </c>
      <c r="J314">
        <f>IF(YEAR(Table8[[#This Row],[Date]])=2026,B314,0)+IF(ROW(J313)=1,0,J313)</f>
        <v>0</v>
      </c>
      <c r="K314">
        <f>MAX(Table8[Cumulative 2026])</f>
        <v>3102</v>
      </c>
    </row>
    <row r="315" spans="1:62" hidden="1" x14ac:dyDescent="0.25">
      <c r="A315" s="1">
        <v>45524</v>
      </c>
      <c r="B315">
        <f>SUM(_xlfn.CHOOSEROWS(Table8[[The Golden Compass]:[end]],ROW()-1))</f>
        <v>0</v>
      </c>
      <c r="C315">
        <f>Table8[[#This Row],[Cumulative 2023 Q4]]+Table8[[#This Row],[Cumulative 2024]]+Table8[[#This Row],[Cumulative 2025]]+Table8[[#This Row],[Cumulative 2026]]</f>
        <v>8516</v>
      </c>
      <c r="D315">
        <f>IF(YEAR(Table8[[#This Row],[Date]])=2023,B315,0)+IF(ROW(D314)=1,0,D314)</f>
        <v>4195</v>
      </c>
      <c r="E315">
        <f>MAX(Table8[Cumulative 2023 Q4])</f>
        <v>4195</v>
      </c>
      <c r="F315">
        <f>IF(YEAR(Table8[[#This Row],[Date]])=2024,B315,0)+IF(ROW(F314)=1,0,F314)</f>
        <v>4321</v>
      </c>
      <c r="G315">
        <f>MAX(Table8[Cumulative 2024])</f>
        <v>5831</v>
      </c>
      <c r="H315">
        <f>IF(YEAR(Table8[[#This Row],[Date]])=2025,B315,0)+IF(ROW(H314)=1,0,H314)</f>
        <v>0</v>
      </c>
      <c r="I315">
        <f>MAX(Table8[Cumulative 2025])</f>
        <v>1377</v>
      </c>
      <c r="J315">
        <f>IF(YEAR(Table8[[#This Row],[Date]])=2026,B315,0)+IF(ROW(J314)=1,0,J314)</f>
        <v>0</v>
      </c>
      <c r="K315">
        <f>MAX(Table8[Cumulative 2026])</f>
        <v>3102</v>
      </c>
    </row>
    <row r="316" spans="1:62" hidden="1" x14ac:dyDescent="0.25">
      <c r="A316" s="1">
        <v>45525</v>
      </c>
      <c r="B316">
        <f>SUM(_xlfn.CHOOSEROWS(Table8[[The Golden Compass]:[end]],ROW()-1))</f>
        <v>0</v>
      </c>
      <c r="C316">
        <f>Table8[[#This Row],[Cumulative 2023 Q4]]+Table8[[#This Row],[Cumulative 2024]]+Table8[[#This Row],[Cumulative 2025]]+Table8[[#This Row],[Cumulative 2026]]</f>
        <v>8516</v>
      </c>
      <c r="D316">
        <f>IF(YEAR(Table8[[#This Row],[Date]])=2023,B316,0)+IF(ROW(D315)=1,0,D315)</f>
        <v>4195</v>
      </c>
      <c r="E316">
        <f>MAX(Table8[Cumulative 2023 Q4])</f>
        <v>4195</v>
      </c>
      <c r="F316">
        <f>IF(YEAR(Table8[[#This Row],[Date]])=2024,B316,0)+IF(ROW(F315)=1,0,F315)</f>
        <v>4321</v>
      </c>
      <c r="G316">
        <f>MAX(Table8[Cumulative 2024])</f>
        <v>5831</v>
      </c>
      <c r="H316">
        <f>IF(YEAR(Table8[[#This Row],[Date]])=2025,B316,0)+IF(ROW(H315)=1,0,H315)</f>
        <v>0</v>
      </c>
      <c r="I316">
        <f>MAX(Table8[Cumulative 2025])</f>
        <v>1377</v>
      </c>
      <c r="J316">
        <f>IF(YEAR(Table8[[#This Row],[Date]])=2026,B316,0)+IF(ROW(J315)=1,0,J315)</f>
        <v>0</v>
      </c>
      <c r="K316">
        <f>MAX(Table8[Cumulative 2026])</f>
        <v>3102</v>
      </c>
    </row>
    <row r="317" spans="1:62" hidden="1" x14ac:dyDescent="0.25">
      <c r="A317" s="1">
        <v>45526</v>
      </c>
      <c r="B317">
        <f>SUM(_xlfn.CHOOSEROWS(Table8[[The Golden Compass]:[end]],ROW()-1))</f>
        <v>0</v>
      </c>
      <c r="C317">
        <f>Table8[[#This Row],[Cumulative 2023 Q4]]+Table8[[#This Row],[Cumulative 2024]]+Table8[[#This Row],[Cumulative 2025]]+Table8[[#This Row],[Cumulative 2026]]</f>
        <v>8516</v>
      </c>
      <c r="D317">
        <f>IF(YEAR(Table8[[#This Row],[Date]])=2023,B317,0)+IF(ROW(D316)=1,0,D316)</f>
        <v>4195</v>
      </c>
      <c r="E317">
        <f>MAX(Table8[Cumulative 2023 Q4])</f>
        <v>4195</v>
      </c>
      <c r="F317">
        <f>IF(YEAR(Table8[[#This Row],[Date]])=2024,B317,0)+IF(ROW(F316)=1,0,F316)</f>
        <v>4321</v>
      </c>
      <c r="G317">
        <f>MAX(Table8[Cumulative 2024])</f>
        <v>5831</v>
      </c>
      <c r="H317">
        <f>IF(YEAR(Table8[[#This Row],[Date]])=2025,B317,0)+IF(ROW(H316)=1,0,H316)</f>
        <v>0</v>
      </c>
      <c r="I317">
        <f>MAX(Table8[Cumulative 2025])</f>
        <v>1377</v>
      </c>
      <c r="J317">
        <f>IF(YEAR(Table8[[#This Row],[Date]])=2026,B317,0)+IF(ROW(J316)=1,0,J316)</f>
        <v>0</v>
      </c>
      <c r="K317">
        <f>MAX(Table8[Cumulative 2026])</f>
        <v>3102</v>
      </c>
    </row>
    <row r="318" spans="1:62" hidden="1" x14ac:dyDescent="0.25">
      <c r="A318" s="1">
        <v>45527</v>
      </c>
      <c r="B318">
        <f>SUM(_xlfn.CHOOSEROWS(Table8[[The Golden Compass]:[end]],ROW()-1))</f>
        <v>0</v>
      </c>
      <c r="C318">
        <f>Table8[[#This Row],[Cumulative 2023 Q4]]+Table8[[#This Row],[Cumulative 2024]]+Table8[[#This Row],[Cumulative 2025]]+Table8[[#This Row],[Cumulative 2026]]</f>
        <v>8516</v>
      </c>
      <c r="D318">
        <f>IF(YEAR(Table8[[#This Row],[Date]])=2023,B318,0)+IF(ROW(D317)=1,0,D317)</f>
        <v>4195</v>
      </c>
      <c r="E318">
        <f>MAX(Table8[Cumulative 2023 Q4])</f>
        <v>4195</v>
      </c>
      <c r="F318">
        <f>IF(YEAR(Table8[[#This Row],[Date]])=2024,B318,0)+IF(ROW(F317)=1,0,F317)</f>
        <v>4321</v>
      </c>
      <c r="G318">
        <f>MAX(Table8[Cumulative 2024])</f>
        <v>5831</v>
      </c>
      <c r="H318">
        <f>IF(YEAR(Table8[[#This Row],[Date]])=2025,B318,0)+IF(ROW(H317)=1,0,H317)</f>
        <v>0</v>
      </c>
      <c r="I318">
        <f>MAX(Table8[Cumulative 2025])</f>
        <v>1377</v>
      </c>
      <c r="J318">
        <f>IF(YEAR(Table8[[#This Row],[Date]])=2026,B318,0)+IF(ROW(J317)=1,0,J317)</f>
        <v>0</v>
      </c>
      <c r="K318">
        <f>MAX(Table8[Cumulative 2026])</f>
        <v>3102</v>
      </c>
    </row>
    <row r="319" spans="1:62" hidden="1" x14ac:dyDescent="0.25">
      <c r="A319" s="1">
        <v>45528</v>
      </c>
      <c r="B319">
        <f>SUM(_xlfn.CHOOSEROWS(Table8[[The Golden Compass]:[end]],ROW()-1))</f>
        <v>0</v>
      </c>
      <c r="C319">
        <f>Table8[[#This Row],[Cumulative 2023 Q4]]+Table8[[#This Row],[Cumulative 2024]]+Table8[[#This Row],[Cumulative 2025]]+Table8[[#This Row],[Cumulative 2026]]</f>
        <v>8516</v>
      </c>
      <c r="D319">
        <f>IF(YEAR(Table8[[#This Row],[Date]])=2023,B319,0)+IF(ROW(D318)=1,0,D318)</f>
        <v>4195</v>
      </c>
      <c r="E319">
        <f>MAX(Table8[Cumulative 2023 Q4])</f>
        <v>4195</v>
      </c>
      <c r="F319">
        <f>IF(YEAR(Table8[[#This Row],[Date]])=2024,B319,0)+IF(ROW(F318)=1,0,F318)</f>
        <v>4321</v>
      </c>
      <c r="G319">
        <f>MAX(Table8[Cumulative 2024])</f>
        <v>5831</v>
      </c>
      <c r="H319">
        <f>IF(YEAR(Table8[[#This Row],[Date]])=2025,B319,0)+IF(ROW(H318)=1,0,H318)</f>
        <v>0</v>
      </c>
      <c r="I319">
        <f>MAX(Table8[Cumulative 2025])</f>
        <v>1377</v>
      </c>
      <c r="J319">
        <f>IF(YEAR(Table8[[#This Row],[Date]])=2026,B319,0)+IF(ROW(J318)=1,0,J318)</f>
        <v>0</v>
      </c>
      <c r="K319">
        <f>MAX(Table8[Cumulative 2026])</f>
        <v>3102</v>
      </c>
    </row>
    <row r="320" spans="1:62" hidden="1" x14ac:dyDescent="0.25">
      <c r="A320" s="1">
        <v>45529</v>
      </c>
      <c r="B320">
        <f>SUM(_xlfn.CHOOSEROWS(Table8[[The Golden Compass]:[end]],ROW()-1))</f>
        <v>0</v>
      </c>
      <c r="C320">
        <f>Table8[[#This Row],[Cumulative 2023 Q4]]+Table8[[#This Row],[Cumulative 2024]]+Table8[[#This Row],[Cumulative 2025]]+Table8[[#This Row],[Cumulative 2026]]</f>
        <v>8516</v>
      </c>
      <c r="D320">
        <f>IF(YEAR(Table8[[#This Row],[Date]])=2023,B320,0)+IF(ROW(D319)=1,0,D319)</f>
        <v>4195</v>
      </c>
      <c r="E320">
        <f>MAX(Table8[Cumulative 2023 Q4])</f>
        <v>4195</v>
      </c>
      <c r="F320">
        <f>IF(YEAR(Table8[[#This Row],[Date]])=2024,B320,0)+IF(ROW(F319)=1,0,F319)</f>
        <v>4321</v>
      </c>
      <c r="G320">
        <f>MAX(Table8[Cumulative 2024])</f>
        <v>5831</v>
      </c>
      <c r="H320">
        <f>IF(YEAR(Table8[[#This Row],[Date]])=2025,B320,0)+IF(ROW(H319)=1,0,H319)</f>
        <v>0</v>
      </c>
      <c r="I320">
        <f>MAX(Table8[Cumulative 2025])</f>
        <v>1377</v>
      </c>
      <c r="J320">
        <f>IF(YEAR(Table8[[#This Row],[Date]])=2026,B320,0)+IF(ROW(J319)=1,0,J319)</f>
        <v>0</v>
      </c>
      <c r="K320">
        <f>MAX(Table8[Cumulative 2026])</f>
        <v>3102</v>
      </c>
    </row>
    <row r="321" spans="1:63" hidden="1" x14ac:dyDescent="0.25">
      <c r="A321" s="1">
        <v>45530</v>
      </c>
      <c r="B321">
        <f>SUM(_xlfn.CHOOSEROWS(Table8[[The Golden Compass]:[end]],ROW()-1))</f>
        <v>35</v>
      </c>
      <c r="C321">
        <f>Table8[[#This Row],[Cumulative 2023 Q4]]+Table8[[#This Row],[Cumulative 2024]]+Table8[[#This Row],[Cumulative 2025]]+Table8[[#This Row],[Cumulative 2026]]</f>
        <v>8551</v>
      </c>
      <c r="D321">
        <f>IF(YEAR(Table8[[#This Row],[Date]])=2023,B321,0)+IF(ROW(D320)=1,0,D320)</f>
        <v>4195</v>
      </c>
      <c r="E321">
        <f>MAX(Table8[Cumulative 2023 Q4])</f>
        <v>4195</v>
      </c>
      <c r="F321">
        <f>IF(YEAR(Table8[[#This Row],[Date]])=2024,B321,0)+IF(ROW(F320)=1,0,F320)</f>
        <v>4356</v>
      </c>
      <c r="G321">
        <f>MAX(Table8[Cumulative 2024])</f>
        <v>5831</v>
      </c>
      <c r="H321">
        <f>IF(YEAR(Table8[[#This Row],[Date]])=2025,B321,0)+IF(ROW(H320)=1,0,H320)</f>
        <v>0</v>
      </c>
      <c r="I321">
        <f>MAX(Table8[Cumulative 2025])</f>
        <v>1377</v>
      </c>
      <c r="J321">
        <f>IF(YEAR(Table8[[#This Row],[Date]])=2026,B321,0)+IF(ROW(J320)=1,0,J320)</f>
        <v>0</v>
      </c>
      <c r="K321">
        <f>MAX(Table8[Cumulative 2026])</f>
        <v>3102</v>
      </c>
      <c r="AQ321">
        <v>35</v>
      </c>
    </row>
    <row r="322" spans="1:63" hidden="1" x14ac:dyDescent="0.25">
      <c r="A322" s="1">
        <v>45531</v>
      </c>
      <c r="B322">
        <f>SUM(_xlfn.CHOOSEROWS(Table8[[The Golden Compass]:[end]],ROW()-1))</f>
        <v>20</v>
      </c>
      <c r="C322">
        <f>Table8[[#This Row],[Cumulative 2023 Q4]]+Table8[[#This Row],[Cumulative 2024]]+Table8[[#This Row],[Cumulative 2025]]+Table8[[#This Row],[Cumulative 2026]]</f>
        <v>8571</v>
      </c>
      <c r="D322">
        <f>IF(YEAR(Table8[[#This Row],[Date]])=2023,B322,0)+IF(ROW(D321)=1,0,D321)</f>
        <v>4195</v>
      </c>
      <c r="E322">
        <f>MAX(Table8[Cumulative 2023 Q4])</f>
        <v>4195</v>
      </c>
      <c r="F322">
        <f>IF(YEAR(Table8[[#This Row],[Date]])=2024,B322,0)+IF(ROW(F321)=1,0,F321)</f>
        <v>4376</v>
      </c>
      <c r="G322">
        <f>MAX(Table8[Cumulative 2024])</f>
        <v>5831</v>
      </c>
      <c r="H322">
        <f>IF(YEAR(Table8[[#This Row],[Date]])=2025,B322,0)+IF(ROW(H321)=1,0,H321)</f>
        <v>0</v>
      </c>
      <c r="I322">
        <f>MAX(Table8[Cumulative 2025])</f>
        <v>1377</v>
      </c>
      <c r="J322">
        <f>IF(YEAR(Table8[[#This Row],[Date]])=2026,B322,0)+IF(ROW(J321)=1,0,J321)</f>
        <v>0</v>
      </c>
      <c r="K322">
        <f>MAX(Table8[Cumulative 2026])</f>
        <v>3102</v>
      </c>
      <c r="AQ322">
        <v>20</v>
      </c>
    </row>
    <row r="323" spans="1:63" hidden="1" x14ac:dyDescent="0.25">
      <c r="A323" s="1">
        <v>45532</v>
      </c>
      <c r="B323">
        <f>SUM(_xlfn.CHOOSEROWS(Table8[[The Golden Compass]:[end]],ROW()-1))</f>
        <v>59</v>
      </c>
      <c r="C323">
        <f>Table8[[#This Row],[Cumulative 2023 Q4]]+Table8[[#This Row],[Cumulative 2024]]+Table8[[#This Row],[Cumulative 2025]]+Table8[[#This Row],[Cumulative 2026]]</f>
        <v>8630</v>
      </c>
      <c r="D323">
        <f>IF(YEAR(Table8[[#This Row],[Date]])=2023,B323,0)+IF(ROW(D322)=1,0,D322)</f>
        <v>4195</v>
      </c>
      <c r="E323">
        <f>MAX(Table8[Cumulative 2023 Q4])</f>
        <v>4195</v>
      </c>
      <c r="F323">
        <f>IF(YEAR(Table8[[#This Row],[Date]])=2024,B323,0)+IF(ROW(F322)=1,0,F322)</f>
        <v>4435</v>
      </c>
      <c r="G323">
        <f>MAX(Table8[Cumulative 2024])</f>
        <v>5831</v>
      </c>
      <c r="H323">
        <f>IF(YEAR(Table8[[#This Row],[Date]])=2025,B323,0)+IF(ROW(H322)=1,0,H322)</f>
        <v>0</v>
      </c>
      <c r="I323">
        <f>MAX(Table8[Cumulative 2025])</f>
        <v>1377</v>
      </c>
      <c r="J323">
        <f>IF(YEAR(Table8[[#This Row],[Date]])=2026,B323,0)+IF(ROW(J322)=1,0,J322)</f>
        <v>0</v>
      </c>
      <c r="K323">
        <f>MAX(Table8[Cumulative 2026])</f>
        <v>3102</v>
      </c>
      <c r="AQ323">
        <v>59</v>
      </c>
    </row>
    <row r="324" spans="1:63" hidden="1" x14ac:dyDescent="0.25">
      <c r="A324" s="1">
        <v>45533</v>
      </c>
      <c r="B324">
        <f>SUM(_xlfn.CHOOSEROWS(Table8[[The Golden Compass]:[end]],ROW()-1))</f>
        <v>0</v>
      </c>
      <c r="C324">
        <f>Table8[[#This Row],[Cumulative 2023 Q4]]+Table8[[#This Row],[Cumulative 2024]]+Table8[[#This Row],[Cumulative 2025]]+Table8[[#This Row],[Cumulative 2026]]</f>
        <v>8630</v>
      </c>
      <c r="D324">
        <f>IF(YEAR(Table8[[#This Row],[Date]])=2023,B324,0)+IF(ROW(D323)=1,0,D323)</f>
        <v>4195</v>
      </c>
      <c r="E324">
        <f>MAX(Table8[Cumulative 2023 Q4])</f>
        <v>4195</v>
      </c>
      <c r="F324">
        <f>IF(YEAR(Table8[[#This Row],[Date]])=2024,B324,0)+IF(ROW(F323)=1,0,F323)</f>
        <v>4435</v>
      </c>
      <c r="G324">
        <f>MAX(Table8[Cumulative 2024])</f>
        <v>5831</v>
      </c>
      <c r="H324">
        <f>IF(YEAR(Table8[[#This Row],[Date]])=2025,B324,0)+IF(ROW(H323)=1,0,H323)</f>
        <v>0</v>
      </c>
      <c r="I324">
        <f>MAX(Table8[Cumulative 2025])</f>
        <v>1377</v>
      </c>
      <c r="J324">
        <f>IF(YEAR(Table8[[#This Row],[Date]])=2026,B324,0)+IF(ROW(J323)=1,0,J323)</f>
        <v>0</v>
      </c>
      <c r="K324">
        <f>MAX(Table8[Cumulative 2026])</f>
        <v>3102</v>
      </c>
    </row>
    <row r="325" spans="1:63" hidden="1" x14ac:dyDescent="0.25">
      <c r="A325" s="1">
        <v>45534</v>
      </c>
      <c r="B325">
        <f>SUM(_xlfn.CHOOSEROWS(Table8[[The Golden Compass]:[end]],ROW()-1))</f>
        <v>0</v>
      </c>
      <c r="C325">
        <f>Table8[[#This Row],[Cumulative 2023 Q4]]+Table8[[#This Row],[Cumulative 2024]]+Table8[[#This Row],[Cumulative 2025]]+Table8[[#This Row],[Cumulative 2026]]</f>
        <v>8630</v>
      </c>
      <c r="D325">
        <f>IF(YEAR(Table8[[#This Row],[Date]])=2023,B325,0)+IF(ROW(D324)=1,0,D324)</f>
        <v>4195</v>
      </c>
      <c r="E325">
        <f>MAX(Table8[Cumulative 2023 Q4])</f>
        <v>4195</v>
      </c>
      <c r="F325">
        <f>IF(YEAR(Table8[[#This Row],[Date]])=2024,B325,0)+IF(ROW(F324)=1,0,F324)</f>
        <v>4435</v>
      </c>
      <c r="G325">
        <f>MAX(Table8[Cumulative 2024])</f>
        <v>5831</v>
      </c>
      <c r="H325">
        <f>IF(YEAR(Table8[[#This Row],[Date]])=2025,B325,0)+IF(ROW(H324)=1,0,H324)</f>
        <v>0</v>
      </c>
      <c r="I325">
        <f>MAX(Table8[Cumulative 2025])</f>
        <v>1377</v>
      </c>
      <c r="J325">
        <f>IF(YEAR(Table8[[#This Row],[Date]])=2026,B325,0)+IF(ROW(J324)=1,0,J324)</f>
        <v>0</v>
      </c>
      <c r="K325">
        <f>MAX(Table8[Cumulative 2026])</f>
        <v>3102</v>
      </c>
    </row>
    <row r="326" spans="1:63" hidden="1" x14ac:dyDescent="0.25">
      <c r="A326" s="1">
        <v>45535</v>
      </c>
      <c r="B326">
        <f>SUM(_xlfn.CHOOSEROWS(Table8[[The Golden Compass]:[end]],ROW()-1))</f>
        <v>0</v>
      </c>
      <c r="C326">
        <f>Table8[[#This Row],[Cumulative 2023 Q4]]+Table8[[#This Row],[Cumulative 2024]]+Table8[[#This Row],[Cumulative 2025]]+Table8[[#This Row],[Cumulative 2026]]</f>
        <v>8630</v>
      </c>
      <c r="D326">
        <f>IF(YEAR(Table8[[#This Row],[Date]])=2023,B326,0)+IF(ROW(D325)=1,0,D325)</f>
        <v>4195</v>
      </c>
      <c r="E326">
        <f>MAX(Table8[Cumulative 2023 Q4])</f>
        <v>4195</v>
      </c>
      <c r="F326">
        <f>IF(YEAR(Table8[[#This Row],[Date]])=2024,B326,0)+IF(ROW(F325)=1,0,F325)</f>
        <v>4435</v>
      </c>
      <c r="G326">
        <f>MAX(Table8[Cumulative 2024])</f>
        <v>5831</v>
      </c>
      <c r="H326">
        <f>IF(YEAR(Table8[[#This Row],[Date]])=2025,B326,0)+IF(ROW(H325)=1,0,H325)</f>
        <v>0</v>
      </c>
      <c r="I326">
        <f>MAX(Table8[Cumulative 2025])</f>
        <v>1377</v>
      </c>
      <c r="J326">
        <f>IF(YEAR(Table8[[#This Row],[Date]])=2026,B326,0)+IF(ROW(J325)=1,0,J325)</f>
        <v>0</v>
      </c>
      <c r="K326">
        <f>MAX(Table8[Cumulative 2026])</f>
        <v>3102</v>
      </c>
    </row>
    <row r="327" spans="1:63" hidden="1" x14ac:dyDescent="0.25">
      <c r="A327" s="1">
        <v>45536</v>
      </c>
      <c r="B327">
        <f>SUM(_xlfn.CHOOSEROWS(Table8[[The Golden Compass]:[end]],ROW()-1))</f>
        <v>127</v>
      </c>
      <c r="C327">
        <f>Table8[[#This Row],[Cumulative 2023 Q4]]+Table8[[#This Row],[Cumulative 2024]]+Table8[[#This Row],[Cumulative 2025]]+Table8[[#This Row],[Cumulative 2026]]</f>
        <v>8757</v>
      </c>
      <c r="D327">
        <f>IF(YEAR(Table8[[#This Row],[Date]])=2023,B327,0)+IF(ROW(D326)=1,0,D326)</f>
        <v>4195</v>
      </c>
      <c r="E327">
        <f>MAX(Table8[Cumulative 2023 Q4])</f>
        <v>4195</v>
      </c>
      <c r="F327">
        <f>IF(YEAR(Table8[[#This Row],[Date]])=2024,B327,0)+IF(ROW(F326)=1,0,F326)</f>
        <v>4562</v>
      </c>
      <c r="G327">
        <f>MAX(Table8[Cumulative 2024])</f>
        <v>5831</v>
      </c>
      <c r="H327">
        <f>IF(YEAR(Table8[[#This Row],[Date]])=2025,B327,0)+IF(ROW(H326)=1,0,H326)</f>
        <v>0</v>
      </c>
      <c r="I327">
        <f>MAX(Table8[Cumulative 2025])</f>
        <v>1377</v>
      </c>
      <c r="J327">
        <f>IF(YEAR(Table8[[#This Row],[Date]])=2026,B327,0)+IF(ROW(J326)=1,0,J326)</f>
        <v>0</v>
      </c>
      <c r="K327">
        <f>MAX(Table8[Cumulative 2026])</f>
        <v>3102</v>
      </c>
      <c r="AQ327">
        <v>127</v>
      </c>
    </row>
    <row r="328" spans="1:63" hidden="1" x14ac:dyDescent="0.25">
      <c r="A328" s="1">
        <v>45537</v>
      </c>
      <c r="B328">
        <f>SUM(_xlfn.CHOOSEROWS(Table8[[The Golden Compass]:[end]],ROW()-1))</f>
        <v>22</v>
      </c>
      <c r="C328">
        <f>Table8[[#This Row],[Cumulative 2023 Q4]]+Table8[[#This Row],[Cumulative 2024]]+Table8[[#This Row],[Cumulative 2025]]+Table8[[#This Row],[Cumulative 2026]]</f>
        <v>8779</v>
      </c>
      <c r="D328">
        <f>IF(YEAR(Table8[[#This Row],[Date]])=2023,B328,0)+IF(ROW(D327)=1,0,D327)</f>
        <v>4195</v>
      </c>
      <c r="E328">
        <f>MAX(Table8[Cumulative 2023 Q4])</f>
        <v>4195</v>
      </c>
      <c r="F328">
        <f>IF(YEAR(Table8[[#This Row],[Date]])=2024,B328,0)+IF(ROW(F327)=1,0,F327)</f>
        <v>4584</v>
      </c>
      <c r="G328">
        <f>MAX(Table8[Cumulative 2024])</f>
        <v>5831</v>
      </c>
      <c r="H328">
        <f>IF(YEAR(Table8[[#This Row],[Date]])=2025,B328,0)+IF(ROW(H327)=1,0,H327)</f>
        <v>0</v>
      </c>
      <c r="I328">
        <f>MAX(Table8[Cumulative 2025])</f>
        <v>1377</v>
      </c>
      <c r="J328">
        <f>IF(YEAR(Table8[[#This Row],[Date]])=2026,B328,0)+IF(ROW(J327)=1,0,J327)</f>
        <v>0</v>
      </c>
      <c r="K328">
        <f>MAX(Table8[Cumulative 2026])</f>
        <v>3102</v>
      </c>
      <c r="AQ328">
        <v>22</v>
      </c>
    </row>
    <row r="329" spans="1:63" hidden="1" x14ac:dyDescent="0.25">
      <c r="A329" s="1">
        <v>45538</v>
      </c>
      <c r="B329">
        <f>SUM(_xlfn.CHOOSEROWS(Table8[[The Golden Compass]:[end]],ROW()-1))</f>
        <v>70</v>
      </c>
      <c r="C329">
        <f>Table8[[#This Row],[Cumulative 2023 Q4]]+Table8[[#This Row],[Cumulative 2024]]+Table8[[#This Row],[Cumulative 2025]]+Table8[[#This Row],[Cumulative 2026]]</f>
        <v>8849</v>
      </c>
      <c r="D329">
        <f>IF(YEAR(Table8[[#This Row],[Date]])=2023,B329,0)+IF(ROW(D328)=1,0,D328)</f>
        <v>4195</v>
      </c>
      <c r="E329">
        <f>MAX(Table8[Cumulative 2023 Q4])</f>
        <v>4195</v>
      </c>
      <c r="F329">
        <f>IF(YEAR(Table8[[#This Row],[Date]])=2024,B329,0)+IF(ROW(F328)=1,0,F328)</f>
        <v>4654</v>
      </c>
      <c r="G329">
        <f>MAX(Table8[Cumulative 2024])</f>
        <v>5831</v>
      </c>
      <c r="H329">
        <f>IF(YEAR(Table8[[#This Row],[Date]])=2025,B329,0)+IF(ROW(H328)=1,0,H328)</f>
        <v>0</v>
      </c>
      <c r="I329">
        <f>MAX(Table8[Cumulative 2025])</f>
        <v>1377</v>
      </c>
      <c r="J329">
        <f>IF(YEAR(Table8[[#This Row],[Date]])=2026,B329,0)+IF(ROW(J328)=1,0,J328)</f>
        <v>0</v>
      </c>
      <c r="K329">
        <f>MAX(Table8[Cumulative 2026])</f>
        <v>3102</v>
      </c>
      <c r="AQ329">
        <v>59</v>
      </c>
      <c r="BK329">
        <v>11</v>
      </c>
    </row>
    <row r="330" spans="1:63" x14ac:dyDescent="0.25">
      <c r="A330" s="1">
        <v>45539</v>
      </c>
      <c r="B330">
        <f>SUM(_xlfn.CHOOSEROWS(Table8[[The Golden Compass]:[end]],ROW()-1))</f>
        <v>62</v>
      </c>
      <c r="C330">
        <f>Table8[[#This Row],[Cumulative 2023 Q4]]+Table8[[#This Row],[Cumulative 2024]]+Table8[[#This Row],[Cumulative 2025]]+Table8[[#This Row],[Cumulative 2026]]</f>
        <v>8911</v>
      </c>
      <c r="D330">
        <f>IF(YEAR(Table8[[#This Row],[Date]])=2023,B330,0)+IF(ROW(D329)=1,0,D329)</f>
        <v>4195</v>
      </c>
      <c r="E330">
        <f>MAX(Table8[Cumulative 2023 Q4])</f>
        <v>4195</v>
      </c>
      <c r="F330">
        <f>IF(YEAR(Table8[[#This Row],[Date]])=2024,B330,0)+IF(ROW(F329)=1,0,F329)</f>
        <v>4716</v>
      </c>
      <c r="G330">
        <f>MAX(Table8[Cumulative 2024])</f>
        <v>5831</v>
      </c>
      <c r="H330">
        <f>IF(YEAR(Table8[[#This Row],[Date]])=2025,B330,0)+IF(ROW(H329)=1,0,H329)</f>
        <v>0</v>
      </c>
      <c r="I330">
        <f>MAX(Table8[Cumulative 2025])</f>
        <v>1377</v>
      </c>
      <c r="J330">
        <f>IF(YEAR(Table8[[#This Row],[Date]])=2026,B330,0)+IF(ROW(J329)=1,0,J329)</f>
        <v>0</v>
      </c>
      <c r="K330">
        <f>MAX(Table8[Cumulative 2026])</f>
        <v>3102</v>
      </c>
      <c r="BJ330">
        <v>46</v>
      </c>
      <c r="BK330">
        <v>16</v>
      </c>
    </row>
    <row r="331" spans="1:63" x14ac:dyDescent="0.25">
      <c r="A331" s="1">
        <v>45540</v>
      </c>
      <c r="B331">
        <f>SUM(_xlfn.CHOOSEROWS(Table8[[The Golden Compass]:[end]],ROW()-1))</f>
        <v>7</v>
      </c>
      <c r="C331">
        <f>Table8[[#This Row],[Cumulative 2023 Q4]]+Table8[[#This Row],[Cumulative 2024]]+Table8[[#This Row],[Cumulative 2025]]+Table8[[#This Row],[Cumulative 2026]]</f>
        <v>8918</v>
      </c>
      <c r="D331">
        <f>IF(YEAR(Table8[[#This Row],[Date]])=2023,B331,0)+IF(ROW(D330)=1,0,D330)</f>
        <v>4195</v>
      </c>
      <c r="E331">
        <f>MAX(Table8[Cumulative 2023 Q4])</f>
        <v>4195</v>
      </c>
      <c r="F331">
        <f>IF(YEAR(Table8[[#This Row],[Date]])=2024,B331,0)+IF(ROW(F330)=1,0,F330)</f>
        <v>4723</v>
      </c>
      <c r="G331">
        <f>MAX(Table8[Cumulative 2024])</f>
        <v>5831</v>
      </c>
      <c r="H331">
        <f>IF(YEAR(Table8[[#This Row],[Date]])=2025,B331,0)+IF(ROW(H330)=1,0,H330)</f>
        <v>0</v>
      </c>
      <c r="I331">
        <f>MAX(Table8[Cumulative 2025])</f>
        <v>1377</v>
      </c>
      <c r="J331">
        <f>IF(YEAR(Table8[[#This Row],[Date]])=2026,B331,0)+IF(ROW(J330)=1,0,J330)</f>
        <v>0</v>
      </c>
      <c r="K331">
        <f>MAX(Table8[Cumulative 2026])</f>
        <v>3102</v>
      </c>
      <c r="BJ331">
        <v>6</v>
      </c>
      <c r="BK331">
        <v>1</v>
      </c>
    </row>
    <row r="332" spans="1:63" x14ac:dyDescent="0.25">
      <c r="A332" s="1">
        <v>45541</v>
      </c>
      <c r="B332">
        <f>SUM(_xlfn.CHOOSEROWS(Table8[[The Golden Compass]:[end]],ROW()-1))</f>
        <v>7</v>
      </c>
      <c r="C332">
        <f>Table8[[#This Row],[Cumulative 2023 Q4]]+Table8[[#This Row],[Cumulative 2024]]+Table8[[#This Row],[Cumulative 2025]]+Table8[[#This Row],[Cumulative 2026]]</f>
        <v>8925</v>
      </c>
      <c r="D332">
        <f>IF(YEAR(Table8[[#This Row],[Date]])=2023,B332,0)+IF(ROW(D331)=1,0,D331)</f>
        <v>4195</v>
      </c>
      <c r="E332">
        <f>MAX(Table8[Cumulative 2023 Q4])</f>
        <v>4195</v>
      </c>
      <c r="F332">
        <f>IF(YEAR(Table8[[#This Row],[Date]])=2024,B332,0)+IF(ROW(F331)=1,0,F331)</f>
        <v>4730</v>
      </c>
      <c r="G332">
        <f>MAX(Table8[Cumulative 2024])</f>
        <v>5831</v>
      </c>
      <c r="H332">
        <f>IF(YEAR(Table8[[#This Row],[Date]])=2025,B332,0)+IF(ROW(H331)=1,0,H331)</f>
        <v>0</v>
      </c>
      <c r="I332">
        <f>MAX(Table8[Cumulative 2025])</f>
        <v>1377</v>
      </c>
      <c r="J332">
        <f>IF(YEAR(Table8[[#This Row],[Date]])=2026,B332,0)+IF(ROW(J331)=1,0,J331)</f>
        <v>0</v>
      </c>
      <c r="K332">
        <f>MAX(Table8[Cumulative 2026])</f>
        <v>3102</v>
      </c>
      <c r="BJ332">
        <v>6</v>
      </c>
      <c r="BK332">
        <v>1</v>
      </c>
    </row>
    <row r="333" spans="1:63" hidden="1" x14ac:dyDescent="0.25">
      <c r="A333" s="1">
        <v>45542</v>
      </c>
      <c r="B333">
        <f>SUM(_xlfn.CHOOSEROWS(Table8[[The Golden Compass]:[end]],ROW()-1))</f>
        <v>1</v>
      </c>
      <c r="C333">
        <f>Table8[[#This Row],[Cumulative 2023 Q4]]+Table8[[#This Row],[Cumulative 2024]]+Table8[[#This Row],[Cumulative 2025]]+Table8[[#This Row],[Cumulative 2026]]</f>
        <v>8926</v>
      </c>
      <c r="D333">
        <f>IF(YEAR(Table8[[#This Row],[Date]])=2023,B333,0)+IF(ROW(D332)=1,0,D332)</f>
        <v>4195</v>
      </c>
      <c r="E333">
        <f>MAX(Table8[Cumulative 2023 Q4])</f>
        <v>4195</v>
      </c>
      <c r="F333">
        <f>IF(YEAR(Table8[[#This Row],[Date]])=2024,B333,0)+IF(ROW(F332)=1,0,F332)</f>
        <v>4731</v>
      </c>
      <c r="G333">
        <f>MAX(Table8[Cumulative 2024])</f>
        <v>5831</v>
      </c>
      <c r="H333">
        <f>IF(YEAR(Table8[[#This Row],[Date]])=2025,B333,0)+IF(ROW(H332)=1,0,H332)</f>
        <v>0</v>
      </c>
      <c r="I333">
        <f>MAX(Table8[Cumulative 2025])</f>
        <v>1377</v>
      </c>
      <c r="J333">
        <f>IF(YEAR(Table8[[#This Row],[Date]])=2026,B333,0)+IF(ROW(J332)=1,0,J332)</f>
        <v>0</v>
      </c>
      <c r="K333">
        <f>MAX(Table8[Cumulative 2026])</f>
        <v>3102</v>
      </c>
      <c r="BK333">
        <v>1</v>
      </c>
    </row>
    <row r="334" spans="1:63" hidden="1" x14ac:dyDescent="0.25">
      <c r="A334" s="1">
        <v>45543</v>
      </c>
      <c r="B334">
        <f>SUM(_xlfn.CHOOSEROWS(Table8[[The Golden Compass]:[end]],ROW()-1))</f>
        <v>0</v>
      </c>
      <c r="C334">
        <f>Table8[[#This Row],[Cumulative 2023 Q4]]+Table8[[#This Row],[Cumulative 2024]]+Table8[[#This Row],[Cumulative 2025]]+Table8[[#This Row],[Cumulative 2026]]</f>
        <v>8926</v>
      </c>
      <c r="D334">
        <f>IF(YEAR(Table8[[#This Row],[Date]])=2023,B334,0)+IF(ROW(D333)=1,0,D333)</f>
        <v>4195</v>
      </c>
      <c r="E334">
        <f>MAX(Table8[Cumulative 2023 Q4])</f>
        <v>4195</v>
      </c>
      <c r="F334">
        <f>IF(YEAR(Table8[[#This Row],[Date]])=2024,B334,0)+IF(ROW(F333)=1,0,F333)</f>
        <v>4731</v>
      </c>
      <c r="G334">
        <f>MAX(Table8[Cumulative 2024])</f>
        <v>5831</v>
      </c>
      <c r="H334">
        <f>IF(YEAR(Table8[[#This Row],[Date]])=2025,B334,0)+IF(ROW(H333)=1,0,H333)</f>
        <v>0</v>
      </c>
      <c r="I334">
        <f>MAX(Table8[Cumulative 2025])</f>
        <v>1377</v>
      </c>
      <c r="J334">
        <f>IF(YEAR(Table8[[#This Row],[Date]])=2026,B334,0)+IF(ROW(J333)=1,0,J333)</f>
        <v>0</v>
      </c>
      <c r="K334">
        <f>MAX(Table8[Cumulative 2026])</f>
        <v>3102</v>
      </c>
    </row>
    <row r="335" spans="1:63" hidden="1" x14ac:dyDescent="0.25">
      <c r="A335" s="1">
        <v>45544</v>
      </c>
      <c r="B335">
        <f>SUM(_xlfn.CHOOSEROWS(Table8[[The Golden Compass]:[end]],ROW()-1))</f>
        <v>0</v>
      </c>
      <c r="C335">
        <f>Table8[[#This Row],[Cumulative 2023 Q4]]+Table8[[#This Row],[Cumulative 2024]]+Table8[[#This Row],[Cumulative 2025]]+Table8[[#This Row],[Cumulative 2026]]</f>
        <v>8926</v>
      </c>
      <c r="D335">
        <f>IF(YEAR(Table8[[#This Row],[Date]])=2023,B335,0)+IF(ROW(D334)=1,0,D334)</f>
        <v>4195</v>
      </c>
      <c r="E335">
        <f>MAX(Table8[Cumulative 2023 Q4])</f>
        <v>4195</v>
      </c>
      <c r="F335">
        <f>IF(YEAR(Table8[[#This Row],[Date]])=2024,B335,0)+IF(ROW(F334)=1,0,F334)</f>
        <v>4731</v>
      </c>
      <c r="G335">
        <f>MAX(Table8[Cumulative 2024])</f>
        <v>5831</v>
      </c>
      <c r="H335">
        <f>IF(YEAR(Table8[[#This Row],[Date]])=2025,B335,0)+IF(ROW(H334)=1,0,H334)</f>
        <v>0</v>
      </c>
      <c r="I335">
        <f>MAX(Table8[Cumulative 2025])</f>
        <v>1377</v>
      </c>
      <c r="J335">
        <f>IF(YEAR(Table8[[#This Row],[Date]])=2026,B335,0)+IF(ROW(J334)=1,0,J334)</f>
        <v>0</v>
      </c>
      <c r="K335">
        <f>MAX(Table8[Cumulative 2026])</f>
        <v>3102</v>
      </c>
    </row>
    <row r="336" spans="1:63" hidden="1" x14ac:dyDescent="0.25">
      <c r="A336" s="1">
        <v>45545</v>
      </c>
      <c r="B336">
        <f>SUM(_xlfn.CHOOSEROWS(Table8[[The Golden Compass]:[end]],ROW()-1))</f>
        <v>0</v>
      </c>
      <c r="C336">
        <f>Table8[[#This Row],[Cumulative 2023 Q4]]+Table8[[#This Row],[Cumulative 2024]]+Table8[[#This Row],[Cumulative 2025]]+Table8[[#This Row],[Cumulative 2026]]</f>
        <v>8926</v>
      </c>
      <c r="D336">
        <f>IF(YEAR(Table8[[#This Row],[Date]])=2023,B336,0)+IF(ROW(D335)=1,0,D335)</f>
        <v>4195</v>
      </c>
      <c r="E336">
        <f>MAX(Table8[Cumulative 2023 Q4])</f>
        <v>4195</v>
      </c>
      <c r="F336">
        <f>IF(YEAR(Table8[[#This Row],[Date]])=2024,B336,0)+IF(ROW(F335)=1,0,F335)</f>
        <v>4731</v>
      </c>
      <c r="G336">
        <f>MAX(Table8[Cumulative 2024])</f>
        <v>5831</v>
      </c>
      <c r="H336">
        <f>IF(YEAR(Table8[[#This Row],[Date]])=2025,B336,0)+IF(ROW(H335)=1,0,H335)</f>
        <v>0</v>
      </c>
      <c r="I336">
        <f>MAX(Table8[Cumulative 2025])</f>
        <v>1377</v>
      </c>
      <c r="J336">
        <f>IF(YEAR(Table8[[#This Row],[Date]])=2026,B336,0)+IF(ROW(J335)=1,0,J335)</f>
        <v>0</v>
      </c>
      <c r="K336">
        <f>MAX(Table8[Cumulative 2026])</f>
        <v>3102</v>
      </c>
    </row>
    <row r="337" spans="1:63" hidden="1" x14ac:dyDescent="0.25">
      <c r="A337" s="1">
        <v>45546</v>
      </c>
      <c r="B337">
        <f>SUM(_xlfn.CHOOSEROWS(Table8[[The Golden Compass]:[end]],ROW()-1))</f>
        <v>0</v>
      </c>
      <c r="C337">
        <f>Table8[[#This Row],[Cumulative 2023 Q4]]+Table8[[#This Row],[Cumulative 2024]]+Table8[[#This Row],[Cumulative 2025]]+Table8[[#This Row],[Cumulative 2026]]</f>
        <v>8926</v>
      </c>
      <c r="D337">
        <f>IF(YEAR(Table8[[#This Row],[Date]])=2023,B337,0)+IF(ROW(D336)=1,0,D336)</f>
        <v>4195</v>
      </c>
      <c r="E337">
        <f>MAX(Table8[Cumulative 2023 Q4])</f>
        <v>4195</v>
      </c>
      <c r="F337">
        <f>IF(YEAR(Table8[[#This Row],[Date]])=2024,B337,0)+IF(ROW(F336)=1,0,F336)</f>
        <v>4731</v>
      </c>
      <c r="G337">
        <f>MAX(Table8[Cumulative 2024])</f>
        <v>5831</v>
      </c>
      <c r="H337">
        <f>IF(YEAR(Table8[[#This Row],[Date]])=2025,B337,0)+IF(ROW(H336)=1,0,H336)</f>
        <v>0</v>
      </c>
      <c r="I337">
        <f>MAX(Table8[Cumulative 2025])</f>
        <v>1377</v>
      </c>
      <c r="J337">
        <f>IF(YEAR(Table8[[#This Row],[Date]])=2026,B337,0)+IF(ROW(J336)=1,0,J336)</f>
        <v>0</v>
      </c>
      <c r="K337">
        <f>MAX(Table8[Cumulative 2026])</f>
        <v>3102</v>
      </c>
    </row>
    <row r="338" spans="1:63" hidden="1" x14ac:dyDescent="0.25">
      <c r="A338" s="1">
        <v>45547</v>
      </c>
      <c r="B338">
        <f>SUM(_xlfn.CHOOSEROWS(Table8[[The Golden Compass]:[end]],ROW()-1))</f>
        <v>0</v>
      </c>
      <c r="C338">
        <f>Table8[[#This Row],[Cumulative 2023 Q4]]+Table8[[#This Row],[Cumulative 2024]]+Table8[[#This Row],[Cumulative 2025]]+Table8[[#This Row],[Cumulative 2026]]</f>
        <v>8926</v>
      </c>
      <c r="D338">
        <f>IF(YEAR(Table8[[#This Row],[Date]])=2023,B338,0)+IF(ROW(D337)=1,0,D337)</f>
        <v>4195</v>
      </c>
      <c r="E338">
        <f>MAX(Table8[Cumulative 2023 Q4])</f>
        <v>4195</v>
      </c>
      <c r="F338">
        <f>IF(YEAR(Table8[[#This Row],[Date]])=2024,B338,0)+IF(ROW(F337)=1,0,F337)</f>
        <v>4731</v>
      </c>
      <c r="G338">
        <f>MAX(Table8[Cumulative 2024])</f>
        <v>5831</v>
      </c>
      <c r="H338">
        <f>IF(YEAR(Table8[[#This Row],[Date]])=2025,B338,0)+IF(ROW(H337)=1,0,H337)</f>
        <v>0</v>
      </c>
      <c r="I338">
        <f>MAX(Table8[Cumulative 2025])</f>
        <v>1377</v>
      </c>
      <c r="J338">
        <f>IF(YEAR(Table8[[#This Row],[Date]])=2026,B338,0)+IF(ROW(J337)=1,0,J337)</f>
        <v>0</v>
      </c>
      <c r="K338">
        <f>MAX(Table8[Cumulative 2026])</f>
        <v>3102</v>
      </c>
    </row>
    <row r="339" spans="1:63" hidden="1" x14ac:dyDescent="0.25">
      <c r="A339" s="1">
        <v>45548</v>
      </c>
      <c r="B339">
        <f>SUM(_xlfn.CHOOSEROWS(Table8[[The Golden Compass]:[end]],ROW()-1))</f>
        <v>0</v>
      </c>
      <c r="C339">
        <f>Table8[[#This Row],[Cumulative 2023 Q4]]+Table8[[#This Row],[Cumulative 2024]]+Table8[[#This Row],[Cumulative 2025]]+Table8[[#This Row],[Cumulative 2026]]</f>
        <v>8926</v>
      </c>
      <c r="D339">
        <f>IF(YEAR(Table8[[#This Row],[Date]])=2023,B339,0)+IF(ROW(D338)=1,0,D338)</f>
        <v>4195</v>
      </c>
      <c r="E339">
        <f>MAX(Table8[Cumulative 2023 Q4])</f>
        <v>4195</v>
      </c>
      <c r="F339">
        <f>IF(YEAR(Table8[[#This Row],[Date]])=2024,B339,0)+IF(ROW(F338)=1,0,F338)</f>
        <v>4731</v>
      </c>
      <c r="G339">
        <f>MAX(Table8[Cumulative 2024])</f>
        <v>5831</v>
      </c>
      <c r="H339">
        <f>IF(YEAR(Table8[[#This Row],[Date]])=2025,B339,0)+IF(ROW(H338)=1,0,H338)</f>
        <v>0</v>
      </c>
      <c r="I339">
        <f>MAX(Table8[Cumulative 2025])</f>
        <v>1377</v>
      </c>
      <c r="J339">
        <f>IF(YEAR(Table8[[#This Row],[Date]])=2026,B339,0)+IF(ROW(J338)=1,0,J338)</f>
        <v>0</v>
      </c>
      <c r="K339">
        <f>MAX(Table8[Cumulative 2026])</f>
        <v>3102</v>
      </c>
    </row>
    <row r="340" spans="1:63" x14ac:dyDescent="0.25">
      <c r="A340" s="1">
        <v>45549</v>
      </c>
      <c r="B340">
        <f>SUM(_xlfn.CHOOSEROWS(Table8[[The Golden Compass]:[end]],ROW()-1))</f>
        <v>61</v>
      </c>
      <c r="C340">
        <f>Table8[[#This Row],[Cumulative 2023 Q4]]+Table8[[#This Row],[Cumulative 2024]]+Table8[[#This Row],[Cumulative 2025]]+Table8[[#This Row],[Cumulative 2026]]</f>
        <v>8987</v>
      </c>
      <c r="D340">
        <f>IF(YEAR(Table8[[#This Row],[Date]])=2023,B340,0)+IF(ROW(D339)=1,0,D339)</f>
        <v>4195</v>
      </c>
      <c r="E340">
        <f>MAX(Table8[Cumulative 2023 Q4])</f>
        <v>4195</v>
      </c>
      <c r="F340">
        <f>IF(YEAR(Table8[[#This Row],[Date]])=2024,B340,0)+IF(ROW(F339)=1,0,F339)</f>
        <v>4792</v>
      </c>
      <c r="G340">
        <f>MAX(Table8[Cumulative 2024])</f>
        <v>5831</v>
      </c>
      <c r="H340">
        <f>IF(YEAR(Table8[[#This Row],[Date]])=2025,B340,0)+IF(ROW(H339)=1,0,H339)</f>
        <v>0</v>
      </c>
      <c r="I340">
        <f>MAX(Table8[Cumulative 2025])</f>
        <v>1377</v>
      </c>
      <c r="J340">
        <f>IF(YEAR(Table8[[#This Row],[Date]])=2026,B340,0)+IF(ROW(J339)=1,0,J339)</f>
        <v>0</v>
      </c>
      <c r="K340">
        <f>MAX(Table8[Cumulative 2026])</f>
        <v>3102</v>
      </c>
      <c r="BJ340">
        <v>61</v>
      </c>
    </row>
    <row r="341" spans="1:63" x14ac:dyDescent="0.25">
      <c r="A341" s="1">
        <v>45550</v>
      </c>
      <c r="B341">
        <f>SUM(_xlfn.CHOOSEROWS(Table8[[The Golden Compass]:[end]],ROW()-1))</f>
        <v>8</v>
      </c>
      <c r="C341">
        <f>Table8[[#This Row],[Cumulative 2023 Q4]]+Table8[[#This Row],[Cumulative 2024]]+Table8[[#This Row],[Cumulative 2025]]+Table8[[#This Row],[Cumulative 2026]]</f>
        <v>8995</v>
      </c>
      <c r="D341">
        <f>IF(YEAR(Table8[[#This Row],[Date]])=2023,B341,0)+IF(ROW(D340)=1,0,D340)</f>
        <v>4195</v>
      </c>
      <c r="E341">
        <f>MAX(Table8[Cumulative 2023 Q4])</f>
        <v>4195</v>
      </c>
      <c r="F341">
        <f>IF(YEAR(Table8[[#This Row],[Date]])=2024,B341,0)+IF(ROW(F340)=1,0,F340)</f>
        <v>4800</v>
      </c>
      <c r="G341">
        <f>MAX(Table8[Cumulative 2024])</f>
        <v>5831</v>
      </c>
      <c r="H341">
        <f>IF(YEAR(Table8[[#This Row],[Date]])=2025,B341,0)+IF(ROW(H340)=1,0,H340)</f>
        <v>0</v>
      </c>
      <c r="I341">
        <f>MAX(Table8[Cumulative 2025])</f>
        <v>1377</v>
      </c>
      <c r="J341">
        <f>IF(YEAR(Table8[[#This Row],[Date]])=2026,B341,0)+IF(ROW(J340)=1,0,J340)</f>
        <v>0</v>
      </c>
      <c r="K341">
        <f>MAX(Table8[Cumulative 2026])</f>
        <v>3102</v>
      </c>
      <c r="BJ341">
        <v>8</v>
      </c>
    </row>
    <row r="342" spans="1:63" hidden="1" x14ac:dyDescent="0.25">
      <c r="A342" s="1">
        <v>45551</v>
      </c>
      <c r="B342">
        <f>SUM(_xlfn.CHOOSEROWS(Table8[[The Golden Compass]:[end]],ROW()-1))</f>
        <v>19</v>
      </c>
      <c r="C342">
        <f>Table8[[#This Row],[Cumulative 2023 Q4]]+Table8[[#This Row],[Cumulative 2024]]+Table8[[#This Row],[Cumulative 2025]]+Table8[[#This Row],[Cumulative 2026]]</f>
        <v>9014</v>
      </c>
      <c r="D342">
        <f>IF(YEAR(Table8[[#This Row],[Date]])=2023,B342,0)+IF(ROW(D341)=1,0,D341)</f>
        <v>4195</v>
      </c>
      <c r="E342">
        <f>MAX(Table8[Cumulative 2023 Q4])</f>
        <v>4195</v>
      </c>
      <c r="F342">
        <f>IF(YEAR(Table8[[#This Row],[Date]])=2024,B342,0)+IF(ROW(F341)=1,0,F341)</f>
        <v>4819</v>
      </c>
      <c r="G342">
        <f>MAX(Table8[Cumulative 2024])</f>
        <v>5831</v>
      </c>
      <c r="H342">
        <f>IF(YEAR(Table8[[#This Row],[Date]])=2025,B342,0)+IF(ROW(H341)=1,0,H341)</f>
        <v>0</v>
      </c>
      <c r="I342">
        <f>MAX(Table8[Cumulative 2025])</f>
        <v>1377</v>
      </c>
      <c r="J342">
        <f>IF(YEAR(Table8[[#This Row],[Date]])=2026,B342,0)+IF(ROW(J341)=1,0,J341)</f>
        <v>0</v>
      </c>
      <c r="K342">
        <f>MAX(Table8[Cumulative 2026])</f>
        <v>3102</v>
      </c>
      <c r="AR342">
        <v>19</v>
      </c>
    </row>
    <row r="343" spans="1:63" hidden="1" x14ac:dyDescent="0.25">
      <c r="A343" s="1">
        <v>45552</v>
      </c>
      <c r="B343">
        <f>SUM(_xlfn.CHOOSEROWS(Table8[[The Golden Compass]:[end]],ROW()-1))</f>
        <v>52</v>
      </c>
      <c r="C343">
        <f>Table8[[#This Row],[Cumulative 2023 Q4]]+Table8[[#This Row],[Cumulative 2024]]+Table8[[#This Row],[Cumulative 2025]]+Table8[[#This Row],[Cumulative 2026]]</f>
        <v>9066</v>
      </c>
      <c r="D343">
        <f>IF(YEAR(Table8[[#This Row],[Date]])=2023,B343,0)+IF(ROW(D342)=1,0,D342)</f>
        <v>4195</v>
      </c>
      <c r="E343">
        <f>MAX(Table8[Cumulative 2023 Q4])</f>
        <v>4195</v>
      </c>
      <c r="F343">
        <f>IF(YEAR(Table8[[#This Row],[Date]])=2024,B343,0)+IF(ROW(F342)=1,0,F342)</f>
        <v>4871</v>
      </c>
      <c r="G343">
        <f>MAX(Table8[Cumulative 2024])</f>
        <v>5831</v>
      </c>
      <c r="H343">
        <f>IF(YEAR(Table8[[#This Row],[Date]])=2025,B343,0)+IF(ROW(H342)=1,0,H342)</f>
        <v>0</v>
      </c>
      <c r="I343">
        <f>MAX(Table8[Cumulative 2025])</f>
        <v>1377</v>
      </c>
      <c r="J343">
        <f>IF(YEAR(Table8[[#This Row],[Date]])=2026,B343,0)+IF(ROW(J342)=1,0,J342)</f>
        <v>0</v>
      </c>
      <c r="K343">
        <f>MAX(Table8[Cumulative 2026])</f>
        <v>3102</v>
      </c>
      <c r="AR343">
        <v>52</v>
      </c>
    </row>
    <row r="344" spans="1:63" hidden="1" x14ac:dyDescent="0.25">
      <c r="A344" s="1">
        <v>45553</v>
      </c>
      <c r="B344">
        <f>SUM(_xlfn.CHOOSEROWS(Table8[[The Golden Compass]:[end]],ROW()-1))</f>
        <v>0</v>
      </c>
      <c r="C344">
        <f>Table8[[#This Row],[Cumulative 2023 Q4]]+Table8[[#This Row],[Cumulative 2024]]+Table8[[#This Row],[Cumulative 2025]]+Table8[[#This Row],[Cumulative 2026]]</f>
        <v>9066</v>
      </c>
      <c r="D344">
        <f>IF(YEAR(Table8[[#This Row],[Date]])=2023,B344,0)+IF(ROW(D343)=1,0,D343)</f>
        <v>4195</v>
      </c>
      <c r="E344">
        <f>MAX(Table8[Cumulative 2023 Q4])</f>
        <v>4195</v>
      </c>
      <c r="F344">
        <f>IF(YEAR(Table8[[#This Row],[Date]])=2024,B344,0)+IF(ROW(F343)=1,0,F343)</f>
        <v>4871</v>
      </c>
      <c r="G344">
        <f>MAX(Table8[Cumulative 2024])</f>
        <v>5831</v>
      </c>
      <c r="H344">
        <f>IF(YEAR(Table8[[#This Row],[Date]])=2025,B344,0)+IF(ROW(H343)=1,0,H343)</f>
        <v>0</v>
      </c>
      <c r="I344">
        <f>MAX(Table8[Cumulative 2025])</f>
        <v>1377</v>
      </c>
      <c r="J344">
        <f>IF(YEAR(Table8[[#This Row],[Date]])=2026,B344,0)+IF(ROW(J343)=1,0,J343)</f>
        <v>0</v>
      </c>
      <c r="K344">
        <f>MAX(Table8[Cumulative 2026])</f>
        <v>3102</v>
      </c>
    </row>
    <row r="345" spans="1:63" hidden="1" x14ac:dyDescent="0.25">
      <c r="A345" s="1">
        <v>45554</v>
      </c>
      <c r="B345">
        <f>SUM(_xlfn.CHOOSEROWS(Table8[[The Golden Compass]:[end]],ROW()-1))</f>
        <v>0</v>
      </c>
      <c r="C345">
        <f>Table8[[#This Row],[Cumulative 2023 Q4]]+Table8[[#This Row],[Cumulative 2024]]+Table8[[#This Row],[Cumulative 2025]]+Table8[[#This Row],[Cumulative 2026]]</f>
        <v>9066</v>
      </c>
      <c r="D345">
        <f>IF(YEAR(Table8[[#This Row],[Date]])=2023,B345,0)+IF(ROW(D344)=1,0,D344)</f>
        <v>4195</v>
      </c>
      <c r="E345">
        <f>MAX(Table8[Cumulative 2023 Q4])</f>
        <v>4195</v>
      </c>
      <c r="F345">
        <f>IF(YEAR(Table8[[#This Row],[Date]])=2024,B345,0)+IF(ROW(F344)=1,0,F344)</f>
        <v>4871</v>
      </c>
      <c r="G345">
        <f>MAX(Table8[Cumulative 2024])</f>
        <v>5831</v>
      </c>
      <c r="H345">
        <f>IF(YEAR(Table8[[#This Row],[Date]])=2025,B345,0)+IF(ROW(H344)=1,0,H344)</f>
        <v>0</v>
      </c>
      <c r="I345">
        <f>MAX(Table8[Cumulative 2025])</f>
        <v>1377</v>
      </c>
      <c r="J345">
        <f>IF(YEAR(Table8[[#This Row],[Date]])=2026,B345,0)+IF(ROW(J344)=1,0,J344)</f>
        <v>0</v>
      </c>
      <c r="K345">
        <f>MAX(Table8[Cumulative 2026])</f>
        <v>3102</v>
      </c>
    </row>
    <row r="346" spans="1:63" hidden="1" x14ac:dyDescent="0.25">
      <c r="A346" s="1">
        <v>45555</v>
      </c>
      <c r="B346">
        <f>SUM(_xlfn.CHOOSEROWS(Table8[[The Golden Compass]:[end]],ROW()-1))</f>
        <v>0</v>
      </c>
      <c r="C346">
        <f>Table8[[#This Row],[Cumulative 2023 Q4]]+Table8[[#This Row],[Cumulative 2024]]+Table8[[#This Row],[Cumulative 2025]]+Table8[[#This Row],[Cumulative 2026]]</f>
        <v>9066</v>
      </c>
      <c r="D346">
        <f>IF(YEAR(Table8[[#This Row],[Date]])=2023,B346,0)+IF(ROW(D345)=1,0,D345)</f>
        <v>4195</v>
      </c>
      <c r="E346">
        <f>MAX(Table8[Cumulative 2023 Q4])</f>
        <v>4195</v>
      </c>
      <c r="F346">
        <f>IF(YEAR(Table8[[#This Row],[Date]])=2024,B346,0)+IF(ROW(F345)=1,0,F345)</f>
        <v>4871</v>
      </c>
      <c r="G346">
        <f>MAX(Table8[Cumulative 2024])</f>
        <v>5831</v>
      </c>
      <c r="H346">
        <f>IF(YEAR(Table8[[#This Row],[Date]])=2025,B346,0)+IF(ROW(H345)=1,0,H345)</f>
        <v>0</v>
      </c>
      <c r="I346">
        <f>MAX(Table8[Cumulative 2025])</f>
        <v>1377</v>
      </c>
      <c r="J346">
        <f>IF(YEAR(Table8[[#This Row],[Date]])=2026,B346,0)+IF(ROW(J345)=1,0,J345)</f>
        <v>0</v>
      </c>
      <c r="K346">
        <f>MAX(Table8[Cumulative 2026])</f>
        <v>3102</v>
      </c>
    </row>
    <row r="347" spans="1:63" hidden="1" x14ac:dyDescent="0.25">
      <c r="A347" s="1">
        <v>45556</v>
      </c>
      <c r="B347">
        <f>SUM(_xlfn.CHOOSEROWS(Table8[[The Golden Compass]:[end]],ROW()-1))</f>
        <v>0</v>
      </c>
      <c r="C347">
        <f>Table8[[#This Row],[Cumulative 2023 Q4]]+Table8[[#This Row],[Cumulative 2024]]+Table8[[#This Row],[Cumulative 2025]]+Table8[[#This Row],[Cumulative 2026]]</f>
        <v>9066</v>
      </c>
      <c r="D347">
        <f>IF(YEAR(Table8[[#This Row],[Date]])=2023,B347,0)+IF(ROW(D346)=1,0,D346)</f>
        <v>4195</v>
      </c>
      <c r="E347">
        <f>MAX(Table8[Cumulative 2023 Q4])</f>
        <v>4195</v>
      </c>
      <c r="F347">
        <f>IF(YEAR(Table8[[#This Row],[Date]])=2024,B347,0)+IF(ROW(F346)=1,0,F346)</f>
        <v>4871</v>
      </c>
      <c r="G347">
        <f>MAX(Table8[Cumulative 2024])</f>
        <v>5831</v>
      </c>
      <c r="H347">
        <f>IF(YEAR(Table8[[#This Row],[Date]])=2025,B347,0)+IF(ROW(H346)=1,0,H346)</f>
        <v>0</v>
      </c>
      <c r="I347">
        <f>MAX(Table8[Cumulative 2025])</f>
        <v>1377</v>
      </c>
      <c r="J347">
        <f>IF(YEAR(Table8[[#This Row],[Date]])=2026,B347,0)+IF(ROW(J346)=1,0,J346)</f>
        <v>0</v>
      </c>
      <c r="K347">
        <f>MAX(Table8[Cumulative 2026])</f>
        <v>3102</v>
      </c>
    </row>
    <row r="348" spans="1:63" hidden="1" x14ac:dyDescent="0.25">
      <c r="A348" s="1">
        <v>45557</v>
      </c>
      <c r="B348">
        <f>SUM(_xlfn.CHOOSEROWS(Table8[[The Golden Compass]:[end]],ROW()-1))</f>
        <v>0</v>
      </c>
      <c r="C348">
        <f>Table8[[#This Row],[Cumulative 2023 Q4]]+Table8[[#This Row],[Cumulative 2024]]+Table8[[#This Row],[Cumulative 2025]]+Table8[[#This Row],[Cumulative 2026]]</f>
        <v>9066</v>
      </c>
      <c r="D348">
        <f>IF(YEAR(Table8[[#This Row],[Date]])=2023,B348,0)+IF(ROW(D347)=1,0,D347)</f>
        <v>4195</v>
      </c>
      <c r="E348">
        <f>MAX(Table8[Cumulative 2023 Q4])</f>
        <v>4195</v>
      </c>
      <c r="F348">
        <f>IF(YEAR(Table8[[#This Row],[Date]])=2024,B348,0)+IF(ROW(F347)=1,0,F347)</f>
        <v>4871</v>
      </c>
      <c r="G348">
        <f>MAX(Table8[Cumulative 2024])</f>
        <v>5831</v>
      </c>
      <c r="H348">
        <f>IF(YEAR(Table8[[#This Row],[Date]])=2025,B348,0)+IF(ROW(H347)=1,0,H347)</f>
        <v>0</v>
      </c>
      <c r="I348">
        <f>MAX(Table8[Cumulative 2025])</f>
        <v>1377</v>
      </c>
      <c r="J348">
        <f>IF(YEAR(Table8[[#This Row],[Date]])=2026,B348,0)+IF(ROW(J347)=1,0,J347)</f>
        <v>0</v>
      </c>
      <c r="K348">
        <f>MAX(Table8[Cumulative 2026])</f>
        <v>3102</v>
      </c>
    </row>
    <row r="349" spans="1:63" hidden="1" x14ac:dyDescent="0.25">
      <c r="A349" s="1">
        <v>45558</v>
      </c>
      <c r="B349">
        <f>SUM(_xlfn.CHOOSEROWS(Table8[[The Golden Compass]:[end]],ROW()-1))</f>
        <v>60</v>
      </c>
      <c r="C349">
        <f>Table8[[#This Row],[Cumulative 2023 Q4]]+Table8[[#This Row],[Cumulative 2024]]+Table8[[#This Row],[Cumulative 2025]]+Table8[[#This Row],[Cumulative 2026]]</f>
        <v>9126</v>
      </c>
      <c r="D349">
        <f>IF(YEAR(Table8[[#This Row],[Date]])=2023,B349,0)+IF(ROW(D348)=1,0,D348)</f>
        <v>4195</v>
      </c>
      <c r="E349">
        <f>MAX(Table8[Cumulative 2023 Q4])</f>
        <v>4195</v>
      </c>
      <c r="F349">
        <f>IF(YEAR(Table8[[#This Row],[Date]])=2024,B349,0)+IF(ROW(F348)=1,0,F348)</f>
        <v>4931</v>
      </c>
      <c r="G349">
        <f>MAX(Table8[Cumulative 2024])</f>
        <v>5831</v>
      </c>
      <c r="H349">
        <f>IF(YEAR(Table8[[#This Row],[Date]])=2025,B349,0)+IF(ROW(H348)=1,0,H348)</f>
        <v>0</v>
      </c>
      <c r="I349">
        <f>MAX(Table8[Cumulative 2025])</f>
        <v>1377</v>
      </c>
      <c r="J349">
        <f>IF(YEAR(Table8[[#This Row],[Date]])=2026,B349,0)+IF(ROW(J348)=1,0,J348)</f>
        <v>0</v>
      </c>
      <c r="K349">
        <f>MAX(Table8[Cumulative 2026])</f>
        <v>3102</v>
      </c>
      <c r="AR349">
        <v>60</v>
      </c>
    </row>
    <row r="350" spans="1:63" hidden="1" x14ac:dyDescent="0.25">
      <c r="A350" s="1">
        <v>45559</v>
      </c>
      <c r="B350">
        <f>SUM(_xlfn.CHOOSEROWS(Table8[[The Golden Compass]:[end]],ROW()-1))</f>
        <v>10</v>
      </c>
      <c r="C350">
        <f>Table8[[#This Row],[Cumulative 2023 Q4]]+Table8[[#This Row],[Cumulative 2024]]+Table8[[#This Row],[Cumulative 2025]]+Table8[[#This Row],[Cumulative 2026]]</f>
        <v>9136</v>
      </c>
      <c r="D350">
        <f>IF(YEAR(Table8[[#This Row],[Date]])=2023,B350,0)+IF(ROW(D349)=1,0,D349)</f>
        <v>4195</v>
      </c>
      <c r="E350">
        <f>MAX(Table8[Cumulative 2023 Q4])</f>
        <v>4195</v>
      </c>
      <c r="F350">
        <f>IF(YEAR(Table8[[#This Row],[Date]])=2024,B350,0)+IF(ROW(F349)=1,0,F349)</f>
        <v>4941</v>
      </c>
      <c r="G350">
        <f>MAX(Table8[Cumulative 2024])</f>
        <v>5831</v>
      </c>
      <c r="H350">
        <f>IF(YEAR(Table8[[#This Row],[Date]])=2025,B350,0)+IF(ROW(H349)=1,0,H349)</f>
        <v>0</v>
      </c>
      <c r="I350">
        <f>MAX(Table8[Cumulative 2025])</f>
        <v>1377</v>
      </c>
      <c r="J350">
        <f>IF(YEAR(Table8[[#This Row],[Date]])=2026,B350,0)+IF(ROW(J349)=1,0,J349)</f>
        <v>0</v>
      </c>
      <c r="K350">
        <f>MAX(Table8[Cumulative 2026])</f>
        <v>3102</v>
      </c>
      <c r="AR350">
        <v>10</v>
      </c>
    </row>
    <row r="351" spans="1:63" hidden="1" x14ac:dyDescent="0.25">
      <c r="A351" s="1">
        <v>45560</v>
      </c>
      <c r="B351">
        <f>SUM(_xlfn.CHOOSEROWS(Table8[[The Golden Compass]:[end]],ROW()-1))</f>
        <v>48</v>
      </c>
      <c r="C351">
        <f>Table8[[#This Row],[Cumulative 2023 Q4]]+Table8[[#This Row],[Cumulative 2024]]+Table8[[#This Row],[Cumulative 2025]]+Table8[[#This Row],[Cumulative 2026]]</f>
        <v>9184</v>
      </c>
      <c r="D351">
        <f>IF(YEAR(Table8[[#This Row],[Date]])=2023,B351,0)+IF(ROW(D350)=1,0,D350)</f>
        <v>4195</v>
      </c>
      <c r="E351">
        <f>MAX(Table8[Cumulative 2023 Q4])</f>
        <v>4195</v>
      </c>
      <c r="F351">
        <f>IF(YEAR(Table8[[#This Row],[Date]])=2024,B351,0)+IF(ROW(F350)=1,0,F350)</f>
        <v>4989</v>
      </c>
      <c r="G351">
        <f>MAX(Table8[Cumulative 2024])</f>
        <v>5831</v>
      </c>
      <c r="H351">
        <f>IF(YEAR(Table8[[#This Row],[Date]])=2025,B351,0)+IF(ROW(H350)=1,0,H350)</f>
        <v>0</v>
      </c>
      <c r="I351">
        <f>MAX(Table8[Cumulative 2025])</f>
        <v>1377</v>
      </c>
      <c r="J351">
        <f>IF(YEAR(Table8[[#This Row],[Date]])=2026,B351,0)+IF(ROW(J350)=1,0,J350)</f>
        <v>0</v>
      </c>
      <c r="K351">
        <f>MAX(Table8[Cumulative 2026])</f>
        <v>3102</v>
      </c>
      <c r="AR351">
        <v>2</v>
      </c>
      <c r="AS351">
        <v>39</v>
      </c>
      <c r="BK351">
        <v>7</v>
      </c>
    </row>
    <row r="352" spans="1:63" hidden="1" x14ac:dyDescent="0.25">
      <c r="A352" s="1">
        <v>45561</v>
      </c>
      <c r="B352">
        <f>SUM(_xlfn.CHOOSEROWS(Table8[[The Golden Compass]:[end]],ROW()-1))</f>
        <v>0</v>
      </c>
      <c r="C352">
        <f>Table8[[#This Row],[Cumulative 2023 Q4]]+Table8[[#This Row],[Cumulative 2024]]+Table8[[#This Row],[Cumulative 2025]]+Table8[[#This Row],[Cumulative 2026]]</f>
        <v>9184</v>
      </c>
      <c r="D352">
        <f>IF(YEAR(Table8[[#This Row],[Date]])=2023,B352,0)+IF(ROW(D351)=1,0,D351)</f>
        <v>4195</v>
      </c>
      <c r="E352">
        <f>MAX(Table8[Cumulative 2023 Q4])</f>
        <v>4195</v>
      </c>
      <c r="F352">
        <f>IF(YEAR(Table8[[#This Row],[Date]])=2024,B352,0)+IF(ROW(F351)=1,0,F351)</f>
        <v>4989</v>
      </c>
      <c r="G352">
        <f>MAX(Table8[Cumulative 2024])</f>
        <v>5831</v>
      </c>
      <c r="H352">
        <f>IF(YEAR(Table8[[#This Row],[Date]])=2025,B352,0)+IF(ROW(H351)=1,0,H351)</f>
        <v>0</v>
      </c>
      <c r="I352">
        <f>MAX(Table8[Cumulative 2025])</f>
        <v>1377</v>
      </c>
      <c r="J352">
        <f>IF(YEAR(Table8[[#This Row],[Date]])=2026,B352,0)+IF(ROW(J351)=1,0,J351)</f>
        <v>0</v>
      </c>
      <c r="K352">
        <f>MAX(Table8[Cumulative 2026])</f>
        <v>3102</v>
      </c>
    </row>
    <row r="353" spans="1:63" hidden="1" x14ac:dyDescent="0.25">
      <c r="A353" s="1">
        <v>45562</v>
      </c>
      <c r="B353">
        <f>SUM(_xlfn.CHOOSEROWS(Table8[[The Golden Compass]:[end]],ROW()-1))</f>
        <v>0</v>
      </c>
      <c r="C353">
        <f>Table8[[#This Row],[Cumulative 2023 Q4]]+Table8[[#This Row],[Cumulative 2024]]+Table8[[#This Row],[Cumulative 2025]]+Table8[[#This Row],[Cumulative 2026]]</f>
        <v>9184</v>
      </c>
      <c r="D353">
        <f>IF(YEAR(Table8[[#This Row],[Date]])=2023,B353,0)+IF(ROW(D352)=1,0,D352)</f>
        <v>4195</v>
      </c>
      <c r="E353">
        <f>MAX(Table8[Cumulative 2023 Q4])</f>
        <v>4195</v>
      </c>
      <c r="F353">
        <f>IF(YEAR(Table8[[#This Row],[Date]])=2024,B353,0)+IF(ROW(F352)=1,0,F352)</f>
        <v>4989</v>
      </c>
      <c r="G353">
        <f>MAX(Table8[Cumulative 2024])</f>
        <v>5831</v>
      </c>
      <c r="H353">
        <f>IF(YEAR(Table8[[#This Row],[Date]])=2025,B353,0)+IF(ROW(H352)=1,0,H352)</f>
        <v>0</v>
      </c>
      <c r="I353">
        <f>MAX(Table8[Cumulative 2025])</f>
        <v>1377</v>
      </c>
      <c r="J353">
        <f>IF(YEAR(Table8[[#This Row],[Date]])=2026,B353,0)+IF(ROW(J352)=1,0,J352)</f>
        <v>0</v>
      </c>
      <c r="K353">
        <f>MAX(Table8[Cumulative 2026])</f>
        <v>3102</v>
      </c>
    </row>
    <row r="354" spans="1:63" hidden="1" x14ac:dyDescent="0.25">
      <c r="A354" s="1">
        <v>45563</v>
      </c>
      <c r="B354">
        <f>SUM(_xlfn.CHOOSEROWS(Table8[[The Golden Compass]:[end]],ROW()-1))</f>
        <v>0</v>
      </c>
      <c r="C354">
        <f>Table8[[#This Row],[Cumulative 2023 Q4]]+Table8[[#This Row],[Cumulative 2024]]+Table8[[#This Row],[Cumulative 2025]]+Table8[[#This Row],[Cumulative 2026]]</f>
        <v>9184</v>
      </c>
      <c r="D354">
        <f>IF(YEAR(Table8[[#This Row],[Date]])=2023,B354,0)+IF(ROW(D353)=1,0,D353)</f>
        <v>4195</v>
      </c>
      <c r="E354">
        <f>MAX(Table8[Cumulative 2023 Q4])</f>
        <v>4195</v>
      </c>
      <c r="F354">
        <f>IF(YEAR(Table8[[#This Row],[Date]])=2024,B354,0)+IF(ROW(F353)=1,0,F353)</f>
        <v>4989</v>
      </c>
      <c r="G354">
        <f>MAX(Table8[Cumulative 2024])</f>
        <v>5831</v>
      </c>
      <c r="H354">
        <f>IF(YEAR(Table8[[#This Row],[Date]])=2025,B354,0)+IF(ROW(H353)=1,0,H353)</f>
        <v>0</v>
      </c>
      <c r="I354">
        <f>MAX(Table8[Cumulative 2025])</f>
        <v>1377</v>
      </c>
      <c r="J354">
        <f>IF(YEAR(Table8[[#This Row],[Date]])=2026,B354,0)+IF(ROW(J353)=1,0,J353)</f>
        <v>0</v>
      </c>
      <c r="K354">
        <f>MAX(Table8[Cumulative 2026])</f>
        <v>3102</v>
      </c>
    </row>
    <row r="355" spans="1:63" hidden="1" x14ac:dyDescent="0.25">
      <c r="A355" s="1">
        <v>45564</v>
      </c>
      <c r="B355">
        <f>SUM(_xlfn.CHOOSEROWS(Table8[[The Golden Compass]:[end]],ROW()-1))</f>
        <v>0</v>
      </c>
      <c r="C355">
        <f>Table8[[#This Row],[Cumulative 2023 Q4]]+Table8[[#This Row],[Cumulative 2024]]+Table8[[#This Row],[Cumulative 2025]]+Table8[[#This Row],[Cumulative 2026]]</f>
        <v>9184</v>
      </c>
      <c r="D355">
        <f>IF(YEAR(Table8[[#This Row],[Date]])=2023,B355,0)+IF(ROW(D354)=1,0,D354)</f>
        <v>4195</v>
      </c>
      <c r="E355">
        <f>MAX(Table8[Cumulative 2023 Q4])</f>
        <v>4195</v>
      </c>
      <c r="F355">
        <f>IF(YEAR(Table8[[#This Row],[Date]])=2024,B355,0)+IF(ROW(F354)=1,0,F354)</f>
        <v>4989</v>
      </c>
      <c r="G355">
        <f>MAX(Table8[Cumulative 2024])</f>
        <v>5831</v>
      </c>
      <c r="H355">
        <f>IF(YEAR(Table8[[#This Row],[Date]])=2025,B355,0)+IF(ROW(H354)=1,0,H354)</f>
        <v>0</v>
      </c>
      <c r="I355">
        <f>MAX(Table8[Cumulative 2025])</f>
        <v>1377</v>
      </c>
      <c r="J355">
        <f>IF(YEAR(Table8[[#This Row],[Date]])=2026,B355,0)+IF(ROW(J354)=1,0,J354)</f>
        <v>0</v>
      </c>
      <c r="K355">
        <f>MAX(Table8[Cumulative 2026])</f>
        <v>3102</v>
      </c>
    </row>
    <row r="356" spans="1:63" hidden="1" x14ac:dyDescent="0.25">
      <c r="A356" s="1">
        <v>45565</v>
      </c>
      <c r="B356">
        <f>SUM(_xlfn.CHOOSEROWS(Table8[[The Golden Compass]:[end]],ROW()-1))</f>
        <v>0</v>
      </c>
      <c r="C356">
        <f>Table8[[#This Row],[Cumulative 2023 Q4]]+Table8[[#This Row],[Cumulative 2024]]+Table8[[#This Row],[Cumulative 2025]]+Table8[[#This Row],[Cumulative 2026]]</f>
        <v>9184</v>
      </c>
      <c r="D356">
        <f>IF(YEAR(Table8[[#This Row],[Date]])=2023,B356,0)+IF(ROW(D355)=1,0,D355)</f>
        <v>4195</v>
      </c>
      <c r="E356">
        <f>MAX(Table8[Cumulative 2023 Q4])</f>
        <v>4195</v>
      </c>
      <c r="F356">
        <f>IF(YEAR(Table8[[#This Row],[Date]])=2024,B356,0)+IF(ROW(F355)=1,0,F355)</f>
        <v>4989</v>
      </c>
      <c r="G356">
        <f>MAX(Table8[Cumulative 2024])</f>
        <v>5831</v>
      </c>
      <c r="H356">
        <f>IF(YEAR(Table8[[#This Row],[Date]])=2025,B356,0)+IF(ROW(H355)=1,0,H355)</f>
        <v>0</v>
      </c>
      <c r="I356">
        <f>MAX(Table8[Cumulative 2025])</f>
        <v>1377</v>
      </c>
      <c r="J356">
        <f>IF(YEAR(Table8[[#This Row],[Date]])=2026,B356,0)+IF(ROW(J355)=1,0,J355)</f>
        <v>0</v>
      </c>
      <c r="K356">
        <f>MAX(Table8[Cumulative 2026])</f>
        <v>3102</v>
      </c>
    </row>
    <row r="357" spans="1:63" hidden="1" x14ac:dyDescent="0.25">
      <c r="A357" s="1">
        <v>45566</v>
      </c>
      <c r="B357">
        <f>SUM(_xlfn.CHOOSEROWS(Table8[[The Golden Compass]:[end]],ROW()-1))</f>
        <v>0</v>
      </c>
      <c r="C357">
        <f>Table8[[#This Row],[Cumulative 2023 Q4]]+Table8[[#This Row],[Cumulative 2024]]+Table8[[#This Row],[Cumulative 2025]]+Table8[[#This Row],[Cumulative 2026]]</f>
        <v>9184</v>
      </c>
      <c r="D357">
        <f>IF(YEAR(Table8[[#This Row],[Date]])=2023,B357,0)+IF(ROW(D356)=1,0,D356)</f>
        <v>4195</v>
      </c>
      <c r="E357">
        <f>MAX(Table8[Cumulative 2023 Q4])</f>
        <v>4195</v>
      </c>
      <c r="F357">
        <f>IF(YEAR(Table8[[#This Row],[Date]])=2024,B357,0)+IF(ROW(F356)=1,0,F356)</f>
        <v>4989</v>
      </c>
      <c r="G357">
        <f>MAX(Table8[Cumulative 2024])</f>
        <v>5831</v>
      </c>
      <c r="H357">
        <f>IF(YEAR(Table8[[#This Row],[Date]])=2025,B357,0)+IF(ROW(H356)=1,0,H356)</f>
        <v>0</v>
      </c>
      <c r="I357">
        <f>MAX(Table8[Cumulative 2025])</f>
        <v>1377</v>
      </c>
      <c r="J357">
        <f>IF(YEAR(Table8[[#This Row],[Date]])=2026,B357,0)+IF(ROW(J356)=1,0,J356)</f>
        <v>0</v>
      </c>
      <c r="K357">
        <f>MAX(Table8[Cumulative 2026])</f>
        <v>3102</v>
      </c>
    </row>
    <row r="358" spans="1:63" hidden="1" x14ac:dyDescent="0.25">
      <c r="A358" s="1">
        <v>45567</v>
      </c>
      <c r="B358">
        <f>SUM(_xlfn.CHOOSEROWS(Table8[[The Golden Compass]:[end]],ROW()-1))</f>
        <v>74</v>
      </c>
      <c r="C358">
        <f>Table8[[#This Row],[Cumulative 2023 Q4]]+Table8[[#This Row],[Cumulative 2024]]+Table8[[#This Row],[Cumulative 2025]]+Table8[[#This Row],[Cumulative 2026]]</f>
        <v>9258</v>
      </c>
      <c r="D358">
        <f>IF(YEAR(Table8[[#This Row],[Date]])=2023,B358,0)+IF(ROW(D357)=1,0,D357)</f>
        <v>4195</v>
      </c>
      <c r="E358">
        <f>MAX(Table8[Cumulative 2023 Q4])</f>
        <v>4195</v>
      </c>
      <c r="F358">
        <f>IF(YEAR(Table8[[#This Row],[Date]])=2024,B358,0)+IF(ROW(F357)=1,0,F357)</f>
        <v>5063</v>
      </c>
      <c r="G358">
        <f>MAX(Table8[Cumulative 2024])</f>
        <v>5831</v>
      </c>
      <c r="H358">
        <f>IF(YEAR(Table8[[#This Row],[Date]])=2025,B358,0)+IF(ROW(H357)=1,0,H357)</f>
        <v>0</v>
      </c>
      <c r="I358">
        <f>MAX(Table8[Cumulative 2025])</f>
        <v>1377</v>
      </c>
      <c r="J358">
        <f>IF(YEAR(Table8[[#This Row],[Date]])=2026,B358,0)+IF(ROW(J357)=1,0,J357)</f>
        <v>0</v>
      </c>
      <c r="K358">
        <f>MAX(Table8[Cumulative 2026])</f>
        <v>3102</v>
      </c>
      <c r="AS358">
        <v>74</v>
      </c>
    </row>
    <row r="359" spans="1:63" hidden="1" x14ac:dyDescent="0.25">
      <c r="A359" s="1">
        <v>45568</v>
      </c>
      <c r="B359">
        <f>SUM(_xlfn.CHOOSEROWS(Table8[[The Golden Compass]:[end]],ROW()-1))</f>
        <v>148</v>
      </c>
      <c r="C359">
        <f>Table8[[#This Row],[Cumulative 2023 Q4]]+Table8[[#This Row],[Cumulative 2024]]+Table8[[#This Row],[Cumulative 2025]]+Table8[[#This Row],[Cumulative 2026]]</f>
        <v>9406</v>
      </c>
      <c r="D359">
        <f>IF(YEAR(Table8[[#This Row],[Date]])=2023,B359,0)+IF(ROW(D358)=1,0,D358)</f>
        <v>4195</v>
      </c>
      <c r="E359">
        <f>MAX(Table8[Cumulative 2023 Q4])</f>
        <v>4195</v>
      </c>
      <c r="F359">
        <f>IF(YEAR(Table8[[#This Row],[Date]])=2024,B359,0)+IF(ROW(F358)=1,0,F358)</f>
        <v>5211</v>
      </c>
      <c r="G359">
        <f>MAX(Table8[Cumulative 2024])</f>
        <v>5831</v>
      </c>
      <c r="H359">
        <f>IF(YEAR(Table8[[#This Row],[Date]])=2025,B359,0)+IF(ROW(H358)=1,0,H358)</f>
        <v>0</v>
      </c>
      <c r="I359">
        <f>MAX(Table8[Cumulative 2025])</f>
        <v>1377</v>
      </c>
      <c r="J359">
        <f>IF(YEAR(Table8[[#This Row],[Date]])=2026,B359,0)+IF(ROW(J358)=1,0,J358)</f>
        <v>0</v>
      </c>
      <c r="K359">
        <f>MAX(Table8[Cumulative 2026])</f>
        <v>3102</v>
      </c>
      <c r="AS359">
        <v>144</v>
      </c>
      <c r="BK359">
        <v>4</v>
      </c>
    </row>
    <row r="360" spans="1:63" hidden="1" x14ac:dyDescent="0.25">
      <c r="A360" s="1">
        <v>45569</v>
      </c>
      <c r="B360">
        <f>SUM(_xlfn.CHOOSEROWS(Table8[[The Golden Compass]:[end]],ROW()-1))</f>
        <v>4</v>
      </c>
      <c r="C360">
        <f>Table8[[#This Row],[Cumulative 2023 Q4]]+Table8[[#This Row],[Cumulative 2024]]+Table8[[#This Row],[Cumulative 2025]]+Table8[[#This Row],[Cumulative 2026]]</f>
        <v>9410</v>
      </c>
      <c r="D360">
        <f>IF(YEAR(Table8[[#This Row],[Date]])=2023,B360,0)+IF(ROW(D359)=1,0,D359)</f>
        <v>4195</v>
      </c>
      <c r="E360">
        <f>MAX(Table8[Cumulative 2023 Q4])</f>
        <v>4195</v>
      </c>
      <c r="F360">
        <f>IF(YEAR(Table8[[#This Row],[Date]])=2024,B360,0)+IF(ROW(F359)=1,0,F359)</f>
        <v>5215</v>
      </c>
      <c r="G360">
        <f>MAX(Table8[Cumulative 2024])</f>
        <v>5831</v>
      </c>
      <c r="H360">
        <f>IF(YEAR(Table8[[#This Row],[Date]])=2025,B360,0)+IF(ROW(H359)=1,0,H359)</f>
        <v>0</v>
      </c>
      <c r="I360">
        <f>MAX(Table8[Cumulative 2025])</f>
        <v>1377</v>
      </c>
      <c r="J360">
        <f>IF(YEAR(Table8[[#This Row],[Date]])=2026,B360,0)+IF(ROW(J359)=1,0,J359)</f>
        <v>0</v>
      </c>
      <c r="K360">
        <f>MAX(Table8[Cumulative 2026])</f>
        <v>3102</v>
      </c>
      <c r="BK360">
        <v>4</v>
      </c>
    </row>
    <row r="361" spans="1:63" hidden="1" x14ac:dyDescent="0.25">
      <c r="A361" s="1">
        <v>45570</v>
      </c>
      <c r="B361">
        <f>SUM(_xlfn.CHOOSEROWS(Table8[[The Golden Compass]:[end]],ROW()-1))</f>
        <v>24</v>
      </c>
      <c r="C361">
        <f>Table8[[#This Row],[Cumulative 2023 Q4]]+Table8[[#This Row],[Cumulative 2024]]+Table8[[#This Row],[Cumulative 2025]]+Table8[[#This Row],[Cumulative 2026]]</f>
        <v>9434</v>
      </c>
      <c r="D361">
        <f>IF(YEAR(Table8[[#This Row],[Date]])=2023,B361,0)+IF(ROW(D360)=1,0,D360)</f>
        <v>4195</v>
      </c>
      <c r="E361">
        <f>MAX(Table8[Cumulative 2023 Q4])</f>
        <v>4195</v>
      </c>
      <c r="F361">
        <f>IF(YEAR(Table8[[#This Row],[Date]])=2024,B361,0)+IF(ROW(F360)=1,0,F360)</f>
        <v>5239</v>
      </c>
      <c r="G361">
        <f>MAX(Table8[Cumulative 2024])</f>
        <v>5831</v>
      </c>
      <c r="H361">
        <f>IF(YEAR(Table8[[#This Row],[Date]])=2025,B361,0)+IF(ROW(H360)=1,0,H360)</f>
        <v>0</v>
      </c>
      <c r="I361">
        <f>MAX(Table8[Cumulative 2025])</f>
        <v>1377</v>
      </c>
      <c r="J361">
        <f>IF(YEAR(Table8[[#This Row],[Date]])=2026,B361,0)+IF(ROW(J360)=1,0,J360)</f>
        <v>0</v>
      </c>
      <c r="K361">
        <f>MAX(Table8[Cumulative 2026])</f>
        <v>3102</v>
      </c>
      <c r="AS361">
        <v>24</v>
      </c>
    </row>
    <row r="362" spans="1:63" hidden="1" x14ac:dyDescent="0.25">
      <c r="A362" s="1">
        <v>45571</v>
      </c>
      <c r="B362">
        <f>SUM(_xlfn.CHOOSEROWS(Table8[[The Golden Compass]:[end]],ROW()-1))</f>
        <v>69</v>
      </c>
      <c r="C362">
        <f>Table8[[#This Row],[Cumulative 2023 Q4]]+Table8[[#This Row],[Cumulative 2024]]+Table8[[#This Row],[Cumulative 2025]]+Table8[[#This Row],[Cumulative 2026]]</f>
        <v>9503</v>
      </c>
      <c r="D362">
        <f>IF(YEAR(Table8[[#This Row],[Date]])=2023,B362,0)+IF(ROW(D361)=1,0,D361)</f>
        <v>4195</v>
      </c>
      <c r="E362">
        <f>MAX(Table8[Cumulative 2023 Q4])</f>
        <v>4195</v>
      </c>
      <c r="F362">
        <f>IF(YEAR(Table8[[#This Row],[Date]])=2024,B362,0)+IF(ROW(F361)=1,0,F361)</f>
        <v>5308</v>
      </c>
      <c r="G362">
        <f>MAX(Table8[Cumulative 2024])</f>
        <v>5831</v>
      </c>
      <c r="H362">
        <f>IF(YEAR(Table8[[#This Row],[Date]])=2025,B362,0)+IF(ROW(H361)=1,0,H361)</f>
        <v>0</v>
      </c>
      <c r="I362">
        <f>MAX(Table8[Cumulative 2025])</f>
        <v>1377</v>
      </c>
      <c r="J362">
        <f>IF(YEAR(Table8[[#This Row],[Date]])=2026,B362,0)+IF(ROW(J361)=1,0,J361)</f>
        <v>0</v>
      </c>
      <c r="K362">
        <f>MAX(Table8[Cumulative 2026])</f>
        <v>3102</v>
      </c>
      <c r="AS362">
        <v>61</v>
      </c>
      <c r="AT362">
        <v>8</v>
      </c>
    </row>
    <row r="363" spans="1:63" hidden="1" x14ac:dyDescent="0.25">
      <c r="A363" s="1">
        <v>45572</v>
      </c>
      <c r="B363">
        <f>SUM(_xlfn.CHOOSEROWS(Table8[[The Golden Compass]:[end]],ROW()-1))</f>
        <v>17</v>
      </c>
      <c r="C363">
        <f>Table8[[#This Row],[Cumulative 2023 Q4]]+Table8[[#This Row],[Cumulative 2024]]+Table8[[#This Row],[Cumulative 2025]]+Table8[[#This Row],[Cumulative 2026]]</f>
        <v>9520</v>
      </c>
      <c r="D363">
        <f>IF(YEAR(Table8[[#This Row],[Date]])=2023,B363,0)+IF(ROW(D362)=1,0,D362)</f>
        <v>4195</v>
      </c>
      <c r="E363">
        <f>MAX(Table8[Cumulative 2023 Q4])</f>
        <v>4195</v>
      </c>
      <c r="F363">
        <f>IF(YEAR(Table8[[#This Row],[Date]])=2024,B363,0)+IF(ROW(F362)=1,0,F362)</f>
        <v>5325</v>
      </c>
      <c r="G363">
        <f>MAX(Table8[Cumulative 2024])</f>
        <v>5831</v>
      </c>
      <c r="H363">
        <f>IF(YEAR(Table8[[#This Row],[Date]])=2025,B363,0)+IF(ROW(H362)=1,0,H362)</f>
        <v>0</v>
      </c>
      <c r="I363">
        <f>MAX(Table8[Cumulative 2025])</f>
        <v>1377</v>
      </c>
      <c r="J363">
        <f>IF(YEAR(Table8[[#This Row],[Date]])=2026,B363,0)+IF(ROW(J362)=1,0,J362)</f>
        <v>0</v>
      </c>
      <c r="K363">
        <f>MAX(Table8[Cumulative 2026])</f>
        <v>3102</v>
      </c>
      <c r="AT363">
        <v>17</v>
      </c>
    </row>
    <row r="364" spans="1:63" hidden="1" x14ac:dyDescent="0.25">
      <c r="A364" s="1">
        <v>45573</v>
      </c>
      <c r="B364">
        <f>SUM(_xlfn.CHOOSEROWS(Table8[[The Golden Compass]:[end]],ROW()-1))</f>
        <v>27</v>
      </c>
      <c r="C364">
        <f>Table8[[#This Row],[Cumulative 2023 Q4]]+Table8[[#This Row],[Cumulative 2024]]+Table8[[#This Row],[Cumulative 2025]]+Table8[[#This Row],[Cumulative 2026]]</f>
        <v>9547</v>
      </c>
      <c r="D364">
        <f>IF(YEAR(Table8[[#This Row],[Date]])=2023,B364,0)+IF(ROW(D363)=1,0,D363)</f>
        <v>4195</v>
      </c>
      <c r="E364">
        <f>MAX(Table8[Cumulative 2023 Q4])</f>
        <v>4195</v>
      </c>
      <c r="F364">
        <f>IF(YEAR(Table8[[#This Row],[Date]])=2024,B364,0)+IF(ROW(F363)=1,0,F363)</f>
        <v>5352</v>
      </c>
      <c r="G364">
        <f>MAX(Table8[Cumulative 2024])</f>
        <v>5831</v>
      </c>
      <c r="H364">
        <f>IF(YEAR(Table8[[#This Row],[Date]])=2025,B364,0)+IF(ROW(H363)=1,0,H363)</f>
        <v>0</v>
      </c>
      <c r="I364">
        <f>MAX(Table8[Cumulative 2025])</f>
        <v>1377</v>
      </c>
      <c r="J364">
        <f>IF(YEAR(Table8[[#This Row],[Date]])=2026,B364,0)+IF(ROW(J363)=1,0,J363)</f>
        <v>0</v>
      </c>
      <c r="K364">
        <f>MAX(Table8[Cumulative 2026])</f>
        <v>3102</v>
      </c>
      <c r="AT364">
        <v>26</v>
      </c>
      <c r="BK364">
        <v>1</v>
      </c>
    </row>
    <row r="365" spans="1:63" hidden="1" x14ac:dyDescent="0.25">
      <c r="A365" s="1">
        <v>45574</v>
      </c>
      <c r="B365">
        <f>SUM(_xlfn.CHOOSEROWS(Table8[[The Golden Compass]:[end]],ROW()-1))</f>
        <v>51</v>
      </c>
      <c r="C365">
        <f>Table8[[#This Row],[Cumulative 2023 Q4]]+Table8[[#This Row],[Cumulative 2024]]+Table8[[#This Row],[Cumulative 2025]]+Table8[[#This Row],[Cumulative 2026]]</f>
        <v>9598</v>
      </c>
      <c r="D365">
        <f>IF(YEAR(Table8[[#This Row],[Date]])=2023,B365,0)+IF(ROW(D364)=1,0,D364)</f>
        <v>4195</v>
      </c>
      <c r="E365">
        <f>MAX(Table8[Cumulative 2023 Q4])</f>
        <v>4195</v>
      </c>
      <c r="F365">
        <f>IF(YEAR(Table8[[#This Row],[Date]])=2024,B365,0)+IF(ROW(F364)=1,0,F364)</f>
        <v>5403</v>
      </c>
      <c r="G365">
        <f>MAX(Table8[Cumulative 2024])</f>
        <v>5831</v>
      </c>
      <c r="H365">
        <f>IF(YEAR(Table8[[#This Row],[Date]])=2025,B365,0)+IF(ROW(H364)=1,0,H364)</f>
        <v>0</v>
      </c>
      <c r="I365">
        <f>MAX(Table8[Cumulative 2025])</f>
        <v>1377</v>
      </c>
      <c r="J365">
        <f>IF(YEAR(Table8[[#This Row],[Date]])=2026,B365,0)+IF(ROW(J364)=1,0,J364)</f>
        <v>0</v>
      </c>
      <c r="K365">
        <f>MAX(Table8[Cumulative 2026])</f>
        <v>3102</v>
      </c>
      <c r="AV365">
        <v>48</v>
      </c>
      <c r="BK365">
        <v>3</v>
      </c>
    </row>
    <row r="366" spans="1:63" hidden="1" x14ac:dyDescent="0.25">
      <c r="A366" s="1">
        <v>45575</v>
      </c>
      <c r="B366">
        <f>SUM(_xlfn.CHOOSEROWS(Table8[[The Golden Compass]:[end]],ROW()-1))</f>
        <v>0</v>
      </c>
      <c r="C366">
        <f>Table8[[#This Row],[Cumulative 2023 Q4]]+Table8[[#This Row],[Cumulative 2024]]+Table8[[#This Row],[Cumulative 2025]]+Table8[[#This Row],[Cumulative 2026]]</f>
        <v>9598</v>
      </c>
      <c r="D366">
        <f>IF(YEAR(Table8[[#This Row],[Date]])=2023,B366,0)+IF(ROW(D365)=1,0,D365)</f>
        <v>4195</v>
      </c>
      <c r="E366">
        <f>MAX(Table8[Cumulative 2023 Q4])</f>
        <v>4195</v>
      </c>
      <c r="F366">
        <f>IF(YEAR(Table8[[#This Row],[Date]])=2024,B366,0)+IF(ROW(F365)=1,0,F365)</f>
        <v>5403</v>
      </c>
      <c r="G366">
        <f>MAX(Table8[Cumulative 2024])</f>
        <v>5831</v>
      </c>
      <c r="H366">
        <f>IF(YEAR(Table8[[#This Row],[Date]])=2025,B366,0)+IF(ROW(H365)=1,0,H365)</f>
        <v>0</v>
      </c>
      <c r="I366">
        <f>MAX(Table8[Cumulative 2025])</f>
        <v>1377</v>
      </c>
      <c r="J366">
        <f>IF(YEAR(Table8[[#This Row],[Date]])=2026,B366,0)+IF(ROW(J365)=1,0,J365)</f>
        <v>0</v>
      </c>
      <c r="K366">
        <f>MAX(Table8[Cumulative 2026])</f>
        <v>3102</v>
      </c>
    </row>
    <row r="367" spans="1:63" hidden="1" x14ac:dyDescent="0.25">
      <c r="A367" s="1">
        <v>45576</v>
      </c>
      <c r="B367">
        <f>SUM(_xlfn.CHOOSEROWS(Table8[[The Golden Compass]:[end]],ROW()-1))</f>
        <v>37</v>
      </c>
      <c r="C367">
        <f>Table8[[#This Row],[Cumulative 2023 Q4]]+Table8[[#This Row],[Cumulative 2024]]+Table8[[#This Row],[Cumulative 2025]]+Table8[[#This Row],[Cumulative 2026]]</f>
        <v>9635</v>
      </c>
      <c r="D367">
        <f>IF(YEAR(Table8[[#This Row],[Date]])=2023,B367,0)+IF(ROW(D366)=1,0,D366)</f>
        <v>4195</v>
      </c>
      <c r="E367">
        <f>MAX(Table8[Cumulative 2023 Q4])</f>
        <v>4195</v>
      </c>
      <c r="F367">
        <f>IF(YEAR(Table8[[#This Row],[Date]])=2024,B367,0)+IF(ROW(F366)=1,0,F366)</f>
        <v>5440</v>
      </c>
      <c r="G367">
        <f>MAX(Table8[Cumulative 2024])</f>
        <v>5831</v>
      </c>
      <c r="H367">
        <f>IF(YEAR(Table8[[#This Row],[Date]])=2025,B367,0)+IF(ROW(H366)=1,0,H366)</f>
        <v>0</v>
      </c>
      <c r="I367">
        <f>MAX(Table8[Cumulative 2025])</f>
        <v>1377</v>
      </c>
      <c r="J367">
        <f>IF(YEAR(Table8[[#This Row],[Date]])=2026,B367,0)+IF(ROW(J366)=1,0,J366)</f>
        <v>0</v>
      </c>
      <c r="K367">
        <f>MAX(Table8[Cumulative 2026])</f>
        <v>3102</v>
      </c>
      <c r="AV367">
        <v>37</v>
      </c>
    </row>
    <row r="368" spans="1:63" hidden="1" x14ac:dyDescent="0.25">
      <c r="A368" s="1">
        <v>45577</v>
      </c>
      <c r="B368">
        <f>SUM(_xlfn.CHOOSEROWS(Table8[[The Golden Compass]:[end]],ROW()-1))</f>
        <v>0</v>
      </c>
      <c r="C368">
        <f>Table8[[#This Row],[Cumulative 2023 Q4]]+Table8[[#This Row],[Cumulative 2024]]+Table8[[#This Row],[Cumulative 2025]]+Table8[[#This Row],[Cumulative 2026]]</f>
        <v>9635</v>
      </c>
      <c r="D368">
        <f>IF(YEAR(Table8[[#This Row],[Date]])=2023,B368,0)+IF(ROW(D367)=1,0,D367)</f>
        <v>4195</v>
      </c>
      <c r="E368">
        <f>MAX(Table8[Cumulative 2023 Q4])</f>
        <v>4195</v>
      </c>
      <c r="F368">
        <f>IF(YEAR(Table8[[#This Row],[Date]])=2024,B368,0)+IF(ROW(F367)=1,0,F367)</f>
        <v>5440</v>
      </c>
      <c r="G368">
        <f>MAX(Table8[Cumulative 2024])</f>
        <v>5831</v>
      </c>
      <c r="H368">
        <f>IF(YEAR(Table8[[#This Row],[Date]])=2025,B368,0)+IF(ROW(H367)=1,0,H367)</f>
        <v>0</v>
      </c>
      <c r="I368">
        <f>MAX(Table8[Cumulative 2025])</f>
        <v>1377</v>
      </c>
      <c r="J368">
        <f>IF(YEAR(Table8[[#This Row],[Date]])=2026,B368,0)+IF(ROW(J367)=1,0,J367)</f>
        <v>0</v>
      </c>
      <c r="K368">
        <f>MAX(Table8[Cumulative 2026])</f>
        <v>3102</v>
      </c>
    </row>
    <row r="369" spans="1:63" hidden="1" x14ac:dyDescent="0.25">
      <c r="A369" s="1">
        <v>45578</v>
      </c>
      <c r="B369">
        <f>SUM(_xlfn.CHOOSEROWS(Table8[[The Golden Compass]:[end]],ROW()-1))</f>
        <v>78</v>
      </c>
      <c r="C369">
        <f>Table8[[#This Row],[Cumulative 2023 Q4]]+Table8[[#This Row],[Cumulative 2024]]+Table8[[#This Row],[Cumulative 2025]]+Table8[[#This Row],[Cumulative 2026]]</f>
        <v>9713</v>
      </c>
      <c r="D369">
        <f>IF(YEAR(Table8[[#This Row],[Date]])=2023,B369,0)+IF(ROW(D368)=1,0,D368)</f>
        <v>4195</v>
      </c>
      <c r="E369">
        <f>MAX(Table8[Cumulative 2023 Q4])</f>
        <v>4195</v>
      </c>
      <c r="F369">
        <f>IF(YEAR(Table8[[#This Row],[Date]])=2024,B369,0)+IF(ROW(F368)=1,0,F368)</f>
        <v>5518</v>
      </c>
      <c r="G369">
        <f>MAX(Table8[Cumulative 2024])</f>
        <v>5831</v>
      </c>
      <c r="H369">
        <f>IF(YEAR(Table8[[#This Row],[Date]])=2025,B369,0)+IF(ROW(H368)=1,0,H368)</f>
        <v>0</v>
      </c>
      <c r="I369">
        <f>MAX(Table8[Cumulative 2025])</f>
        <v>1377</v>
      </c>
      <c r="J369">
        <f>IF(YEAR(Table8[[#This Row],[Date]])=2026,B369,0)+IF(ROW(J368)=1,0,J368)</f>
        <v>0</v>
      </c>
      <c r="K369">
        <f>MAX(Table8[Cumulative 2026])</f>
        <v>3102</v>
      </c>
      <c r="AV369">
        <v>78</v>
      </c>
    </row>
    <row r="370" spans="1:63" hidden="1" x14ac:dyDescent="0.25">
      <c r="A370" s="1">
        <v>45579</v>
      </c>
      <c r="B370">
        <f>SUM(_xlfn.CHOOSEROWS(Table8[[The Golden Compass]:[end]],ROW()-1))</f>
        <v>1</v>
      </c>
      <c r="C370">
        <f>Table8[[#This Row],[Cumulative 2023 Q4]]+Table8[[#This Row],[Cumulative 2024]]+Table8[[#This Row],[Cumulative 2025]]+Table8[[#This Row],[Cumulative 2026]]</f>
        <v>9714</v>
      </c>
      <c r="D370">
        <f>IF(YEAR(Table8[[#This Row],[Date]])=2023,B370,0)+IF(ROW(D369)=1,0,D369)</f>
        <v>4195</v>
      </c>
      <c r="E370">
        <f>MAX(Table8[Cumulative 2023 Q4])</f>
        <v>4195</v>
      </c>
      <c r="F370">
        <f>IF(YEAR(Table8[[#This Row],[Date]])=2024,B370,0)+IF(ROW(F369)=1,0,F369)</f>
        <v>5519</v>
      </c>
      <c r="G370">
        <f>MAX(Table8[Cumulative 2024])</f>
        <v>5831</v>
      </c>
      <c r="H370">
        <f>IF(YEAR(Table8[[#This Row],[Date]])=2025,B370,0)+IF(ROW(H369)=1,0,H369)</f>
        <v>0</v>
      </c>
      <c r="I370">
        <f>MAX(Table8[Cumulative 2025])</f>
        <v>1377</v>
      </c>
      <c r="J370">
        <f>IF(YEAR(Table8[[#This Row],[Date]])=2026,B370,0)+IF(ROW(J369)=1,0,J369)</f>
        <v>0</v>
      </c>
      <c r="K370">
        <f>MAX(Table8[Cumulative 2026])</f>
        <v>3102</v>
      </c>
      <c r="BK370">
        <v>1</v>
      </c>
    </row>
    <row r="371" spans="1:63" hidden="1" x14ac:dyDescent="0.25">
      <c r="A371" s="1">
        <v>45580</v>
      </c>
      <c r="B371">
        <f>SUM(_xlfn.CHOOSEROWS(Table8[[The Golden Compass]:[end]],ROW()-1))</f>
        <v>0</v>
      </c>
      <c r="C371">
        <f>Table8[[#This Row],[Cumulative 2023 Q4]]+Table8[[#This Row],[Cumulative 2024]]+Table8[[#This Row],[Cumulative 2025]]+Table8[[#This Row],[Cumulative 2026]]</f>
        <v>9714</v>
      </c>
      <c r="D371">
        <f>IF(YEAR(Table8[[#This Row],[Date]])=2023,B371,0)+IF(ROW(D370)=1,0,D370)</f>
        <v>4195</v>
      </c>
      <c r="E371">
        <f>MAX(Table8[Cumulative 2023 Q4])</f>
        <v>4195</v>
      </c>
      <c r="F371">
        <f>IF(YEAR(Table8[[#This Row],[Date]])=2024,B371,0)+IF(ROW(F370)=1,0,F370)</f>
        <v>5519</v>
      </c>
      <c r="G371">
        <f>MAX(Table8[Cumulative 2024])</f>
        <v>5831</v>
      </c>
      <c r="H371">
        <f>IF(YEAR(Table8[[#This Row],[Date]])=2025,B371,0)+IF(ROW(H370)=1,0,H370)</f>
        <v>0</v>
      </c>
      <c r="I371">
        <f>MAX(Table8[Cumulative 2025])</f>
        <v>1377</v>
      </c>
      <c r="J371">
        <f>IF(YEAR(Table8[[#This Row],[Date]])=2026,B371,0)+IF(ROW(J370)=1,0,J370)</f>
        <v>0</v>
      </c>
      <c r="K371">
        <f>MAX(Table8[Cumulative 2026])</f>
        <v>3102</v>
      </c>
    </row>
    <row r="372" spans="1:63" hidden="1" x14ac:dyDescent="0.25">
      <c r="A372" s="1">
        <v>45581</v>
      </c>
      <c r="B372">
        <f>SUM(_xlfn.CHOOSEROWS(Table8[[The Golden Compass]:[end]],ROW()-1))</f>
        <v>0</v>
      </c>
      <c r="C372">
        <f>Table8[[#This Row],[Cumulative 2023 Q4]]+Table8[[#This Row],[Cumulative 2024]]+Table8[[#This Row],[Cumulative 2025]]+Table8[[#This Row],[Cumulative 2026]]</f>
        <v>9714</v>
      </c>
      <c r="D372">
        <f>IF(YEAR(Table8[[#This Row],[Date]])=2023,B372,0)+IF(ROW(D371)=1,0,D371)</f>
        <v>4195</v>
      </c>
      <c r="E372">
        <f>MAX(Table8[Cumulative 2023 Q4])</f>
        <v>4195</v>
      </c>
      <c r="F372">
        <f>IF(YEAR(Table8[[#This Row],[Date]])=2024,B372,0)+IF(ROW(F371)=1,0,F371)</f>
        <v>5519</v>
      </c>
      <c r="G372">
        <f>MAX(Table8[Cumulative 2024])</f>
        <v>5831</v>
      </c>
      <c r="H372">
        <f>IF(YEAR(Table8[[#This Row],[Date]])=2025,B372,0)+IF(ROW(H371)=1,0,H371)</f>
        <v>0</v>
      </c>
      <c r="I372">
        <f>MAX(Table8[Cumulative 2025])</f>
        <v>1377</v>
      </c>
      <c r="J372">
        <f>IF(YEAR(Table8[[#This Row],[Date]])=2026,B372,0)+IF(ROW(J371)=1,0,J371)</f>
        <v>0</v>
      </c>
      <c r="K372">
        <f>MAX(Table8[Cumulative 2026])</f>
        <v>3102</v>
      </c>
    </row>
    <row r="373" spans="1:63" hidden="1" x14ac:dyDescent="0.25">
      <c r="A373" s="1">
        <v>45582</v>
      </c>
      <c r="B373">
        <f>SUM(_xlfn.CHOOSEROWS(Table8[[The Golden Compass]:[end]],ROW()-1))</f>
        <v>0</v>
      </c>
      <c r="C373">
        <f>Table8[[#This Row],[Cumulative 2023 Q4]]+Table8[[#This Row],[Cumulative 2024]]+Table8[[#This Row],[Cumulative 2025]]+Table8[[#This Row],[Cumulative 2026]]</f>
        <v>9714</v>
      </c>
      <c r="D373">
        <f>IF(YEAR(Table8[[#This Row],[Date]])=2023,B373,0)+IF(ROW(D372)=1,0,D372)</f>
        <v>4195</v>
      </c>
      <c r="E373">
        <f>MAX(Table8[Cumulative 2023 Q4])</f>
        <v>4195</v>
      </c>
      <c r="F373">
        <f>IF(YEAR(Table8[[#This Row],[Date]])=2024,B373,0)+IF(ROW(F372)=1,0,F372)</f>
        <v>5519</v>
      </c>
      <c r="G373">
        <f>MAX(Table8[Cumulative 2024])</f>
        <v>5831</v>
      </c>
      <c r="H373">
        <f>IF(YEAR(Table8[[#This Row],[Date]])=2025,B373,0)+IF(ROW(H372)=1,0,H372)</f>
        <v>0</v>
      </c>
      <c r="I373">
        <f>MAX(Table8[Cumulative 2025])</f>
        <v>1377</v>
      </c>
      <c r="J373">
        <f>IF(YEAR(Table8[[#This Row],[Date]])=2026,B373,0)+IF(ROW(J372)=1,0,J372)</f>
        <v>0</v>
      </c>
      <c r="K373">
        <f>MAX(Table8[Cumulative 2026])</f>
        <v>3102</v>
      </c>
    </row>
    <row r="374" spans="1:63" hidden="1" x14ac:dyDescent="0.25">
      <c r="A374" s="1">
        <v>45583</v>
      </c>
      <c r="B374">
        <f>SUM(_xlfn.CHOOSEROWS(Table8[[The Golden Compass]:[end]],ROW()-1))</f>
        <v>0</v>
      </c>
      <c r="C374">
        <f>Table8[[#This Row],[Cumulative 2023 Q4]]+Table8[[#This Row],[Cumulative 2024]]+Table8[[#This Row],[Cumulative 2025]]+Table8[[#This Row],[Cumulative 2026]]</f>
        <v>9714</v>
      </c>
      <c r="D374">
        <f>IF(YEAR(Table8[[#This Row],[Date]])=2023,B374,0)+IF(ROW(D373)=1,0,D373)</f>
        <v>4195</v>
      </c>
      <c r="E374">
        <f>MAX(Table8[Cumulative 2023 Q4])</f>
        <v>4195</v>
      </c>
      <c r="F374">
        <f>IF(YEAR(Table8[[#This Row],[Date]])=2024,B374,0)+IF(ROW(F373)=1,0,F373)</f>
        <v>5519</v>
      </c>
      <c r="G374">
        <f>MAX(Table8[Cumulative 2024])</f>
        <v>5831</v>
      </c>
      <c r="H374">
        <f>IF(YEAR(Table8[[#This Row],[Date]])=2025,B374,0)+IF(ROW(H373)=1,0,H373)</f>
        <v>0</v>
      </c>
      <c r="I374">
        <f>MAX(Table8[Cumulative 2025])</f>
        <v>1377</v>
      </c>
      <c r="J374">
        <f>IF(YEAR(Table8[[#This Row],[Date]])=2026,B374,0)+IF(ROW(J373)=1,0,J373)</f>
        <v>0</v>
      </c>
      <c r="K374">
        <f>MAX(Table8[Cumulative 2026])</f>
        <v>3102</v>
      </c>
    </row>
    <row r="375" spans="1:63" hidden="1" x14ac:dyDescent="0.25">
      <c r="A375" s="1">
        <v>45584</v>
      </c>
      <c r="B375">
        <f>SUM(_xlfn.CHOOSEROWS(Table8[[The Golden Compass]:[end]],ROW()-1))</f>
        <v>0</v>
      </c>
      <c r="C375">
        <f>Table8[[#This Row],[Cumulative 2023 Q4]]+Table8[[#This Row],[Cumulative 2024]]+Table8[[#This Row],[Cumulative 2025]]+Table8[[#This Row],[Cumulative 2026]]</f>
        <v>9714</v>
      </c>
      <c r="D375">
        <f>IF(YEAR(Table8[[#This Row],[Date]])=2023,B375,0)+IF(ROW(D374)=1,0,D374)</f>
        <v>4195</v>
      </c>
      <c r="E375">
        <f>MAX(Table8[Cumulative 2023 Q4])</f>
        <v>4195</v>
      </c>
      <c r="F375">
        <f>IF(YEAR(Table8[[#This Row],[Date]])=2024,B375,0)+IF(ROW(F374)=1,0,F374)</f>
        <v>5519</v>
      </c>
      <c r="G375">
        <f>MAX(Table8[Cumulative 2024])</f>
        <v>5831</v>
      </c>
      <c r="H375">
        <f>IF(YEAR(Table8[[#This Row],[Date]])=2025,B375,0)+IF(ROW(H374)=1,0,H374)</f>
        <v>0</v>
      </c>
      <c r="I375">
        <f>MAX(Table8[Cumulative 2025])</f>
        <v>1377</v>
      </c>
      <c r="J375">
        <f>IF(YEAR(Table8[[#This Row],[Date]])=2026,B375,0)+IF(ROW(J374)=1,0,J374)</f>
        <v>0</v>
      </c>
      <c r="K375">
        <f>MAX(Table8[Cumulative 2026])</f>
        <v>3102</v>
      </c>
    </row>
    <row r="376" spans="1:63" hidden="1" x14ac:dyDescent="0.25">
      <c r="A376" s="1">
        <v>45585</v>
      </c>
      <c r="B376">
        <f>SUM(_xlfn.CHOOSEROWS(Table8[[The Golden Compass]:[end]],ROW()-1))</f>
        <v>0</v>
      </c>
      <c r="C376">
        <f>Table8[[#This Row],[Cumulative 2023 Q4]]+Table8[[#This Row],[Cumulative 2024]]+Table8[[#This Row],[Cumulative 2025]]+Table8[[#This Row],[Cumulative 2026]]</f>
        <v>9714</v>
      </c>
      <c r="D376">
        <f>IF(YEAR(Table8[[#This Row],[Date]])=2023,B376,0)+IF(ROW(D375)=1,0,D375)</f>
        <v>4195</v>
      </c>
      <c r="E376">
        <f>MAX(Table8[Cumulative 2023 Q4])</f>
        <v>4195</v>
      </c>
      <c r="F376">
        <f>IF(YEAR(Table8[[#This Row],[Date]])=2024,B376,0)+IF(ROW(F375)=1,0,F375)</f>
        <v>5519</v>
      </c>
      <c r="G376">
        <f>MAX(Table8[Cumulative 2024])</f>
        <v>5831</v>
      </c>
      <c r="H376">
        <f>IF(YEAR(Table8[[#This Row],[Date]])=2025,B376,0)+IF(ROW(H375)=1,0,H375)</f>
        <v>0</v>
      </c>
      <c r="I376">
        <f>MAX(Table8[Cumulative 2025])</f>
        <v>1377</v>
      </c>
      <c r="J376">
        <f>IF(YEAR(Table8[[#This Row],[Date]])=2026,B376,0)+IF(ROW(J375)=1,0,J375)</f>
        <v>0</v>
      </c>
      <c r="K376">
        <f>MAX(Table8[Cumulative 2026])</f>
        <v>3102</v>
      </c>
    </row>
    <row r="377" spans="1:63" hidden="1" x14ac:dyDescent="0.25">
      <c r="A377" s="1">
        <v>45586</v>
      </c>
      <c r="B377">
        <f>SUM(_xlfn.CHOOSEROWS(Table8[[The Golden Compass]:[end]],ROW()-1))</f>
        <v>0</v>
      </c>
      <c r="C377">
        <f>Table8[[#This Row],[Cumulative 2023 Q4]]+Table8[[#This Row],[Cumulative 2024]]+Table8[[#This Row],[Cumulative 2025]]+Table8[[#This Row],[Cumulative 2026]]</f>
        <v>9714</v>
      </c>
      <c r="D377">
        <f>IF(YEAR(Table8[[#This Row],[Date]])=2023,B377,0)+IF(ROW(D376)=1,0,D376)</f>
        <v>4195</v>
      </c>
      <c r="E377">
        <f>MAX(Table8[Cumulative 2023 Q4])</f>
        <v>4195</v>
      </c>
      <c r="F377">
        <f>IF(YEAR(Table8[[#This Row],[Date]])=2024,B377,0)+IF(ROW(F376)=1,0,F376)</f>
        <v>5519</v>
      </c>
      <c r="G377">
        <f>MAX(Table8[Cumulative 2024])</f>
        <v>5831</v>
      </c>
      <c r="H377">
        <f>IF(YEAR(Table8[[#This Row],[Date]])=2025,B377,0)+IF(ROW(H376)=1,0,H376)</f>
        <v>0</v>
      </c>
      <c r="I377">
        <f>MAX(Table8[Cumulative 2025])</f>
        <v>1377</v>
      </c>
      <c r="J377">
        <f>IF(YEAR(Table8[[#This Row],[Date]])=2026,B377,0)+IF(ROW(J376)=1,0,J376)</f>
        <v>0</v>
      </c>
      <c r="K377">
        <f>MAX(Table8[Cumulative 2026])</f>
        <v>3102</v>
      </c>
    </row>
    <row r="378" spans="1:63" hidden="1" x14ac:dyDescent="0.25">
      <c r="A378" s="1">
        <v>45587</v>
      </c>
      <c r="B378">
        <f>SUM(_xlfn.CHOOSEROWS(Table8[[The Golden Compass]:[end]],ROW()-1))</f>
        <v>0</v>
      </c>
      <c r="C378">
        <f>Table8[[#This Row],[Cumulative 2023 Q4]]+Table8[[#This Row],[Cumulative 2024]]+Table8[[#This Row],[Cumulative 2025]]+Table8[[#This Row],[Cumulative 2026]]</f>
        <v>9714</v>
      </c>
      <c r="D378">
        <f>IF(YEAR(Table8[[#This Row],[Date]])=2023,B378,0)+IF(ROW(D377)=1,0,D377)</f>
        <v>4195</v>
      </c>
      <c r="E378">
        <f>MAX(Table8[Cumulative 2023 Q4])</f>
        <v>4195</v>
      </c>
      <c r="F378">
        <f>IF(YEAR(Table8[[#This Row],[Date]])=2024,B378,0)+IF(ROW(F377)=1,0,F377)</f>
        <v>5519</v>
      </c>
      <c r="G378">
        <f>MAX(Table8[Cumulative 2024])</f>
        <v>5831</v>
      </c>
      <c r="H378">
        <f>IF(YEAR(Table8[[#This Row],[Date]])=2025,B378,0)+IF(ROW(H377)=1,0,H377)</f>
        <v>0</v>
      </c>
      <c r="I378">
        <f>MAX(Table8[Cumulative 2025])</f>
        <v>1377</v>
      </c>
      <c r="J378">
        <f>IF(YEAR(Table8[[#This Row],[Date]])=2026,B378,0)+IF(ROW(J377)=1,0,J377)</f>
        <v>0</v>
      </c>
      <c r="K378">
        <f>MAX(Table8[Cumulative 2026])</f>
        <v>3102</v>
      </c>
    </row>
    <row r="379" spans="1:63" hidden="1" x14ac:dyDescent="0.25">
      <c r="A379" s="1">
        <v>45588</v>
      </c>
      <c r="B379">
        <f>SUM(_xlfn.CHOOSEROWS(Table8[[The Golden Compass]:[end]],ROW()-1))</f>
        <v>0</v>
      </c>
      <c r="C379">
        <f>Table8[[#This Row],[Cumulative 2023 Q4]]+Table8[[#This Row],[Cumulative 2024]]+Table8[[#This Row],[Cumulative 2025]]+Table8[[#This Row],[Cumulative 2026]]</f>
        <v>9714</v>
      </c>
      <c r="D379">
        <f>IF(YEAR(Table8[[#This Row],[Date]])=2023,B379,0)+IF(ROW(D378)=1,0,D378)</f>
        <v>4195</v>
      </c>
      <c r="E379">
        <f>MAX(Table8[Cumulative 2023 Q4])</f>
        <v>4195</v>
      </c>
      <c r="F379">
        <f>IF(YEAR(Table8[[#This Row],[Date]])=2024,B379,0)+IF(ROW(F378)=1,0,F378)</f>
        <v>5519</v>
      </c>
      <c r="G379">
        <f>MAX(Table8[Cumulative 2024])</f>
        <v>5831</v>
      </c>
      <c r="H379">
        <f>IF(YEAR(Table8[[#This Row],[Date]])=2025,B379,0)+IF(ROW(H378)=1,0,H378)</f>
        <v>0</v>
      </c>
      <c r="I379">
        <f>MAX(Table8[Cumulative 2025])</f>
        <v>1377</v>
      </c>
      <c r="J379">
        <f>IF(YEAR(Table8[[#This Row],[Date]])=2026,B379,0)+IF(ROW(J378)=1,0,J378)</f>
        <v>0</v>
      </c>
      <c r="K379">
        <f>MAX(Table8[Cumulative 2026])</f>
        <v>3102</v>
      </c>
    </row>
    <row r="380" spans="1:63" hidden="1" x14ac:dyDescent="0.25">
      <c r="A380" s="1">
        <v>45589</v>
      </c>
      <c r="B380">
        <f>SUM(_xlfn.CHOOSEROWS(Table8[[The Golden Compass]:[end]],ROW()-1))</f>
        <v>0</v>
      </c>
      <c r="C380">
        <f>Table8[[#This Row],[Cumulative 2023 Q4]]+Table8[[#This Row],[Cumulative 2024]]+Table8[[#This Row],[Cumulative 2025]]+Table8[[#This Row],[Cumulative 2026]]</f>
        <v>9714</v>
      </c>
      <c r="D380">
        <f>IF(YEAR(Table8[[#This Row],[Date]])=2023,B380,0)+IF(ROW(D379)=1,0,D379)</f>
        <v>4195</v>
      </c>
      <c r="E380">
        <f>MAX(Table8[Cumulative 2023 Q4])</f>
        <v>4195</v>
      </c>
      <c r="F380">
        <f>IF(YEAR(Table8[[#This Row],[Date]])=2024,B380,0)+IF(ROW(F379)=1,0,F379)</f>
        <v>5519</v>
      </c>
      <c r="G380">
        <f>MAX(Table8[Cumulative 2024])</f>
        <v>5831</v>
      </c>
      <c r="H380">
        <f>IF(YEAR(Table8[[#This Row],[Date]])=2025,B380,0)+IF(ROW(H379)=1,0,H379)</f>
        <v>0</v>
      </c>
      <c r="I380">
        <f>MAX(Table8[Cumulative 2025])</f>
        <v>1377</v>
      </c>
      <c r="J380">
        <f>IF(YEAR(Table8[[#This Row],[Date]])=2026,B380,0)+IF(ROW(J379)=1,0,J379)</f>
        <v>0</v>
      </c>
      <c r="K380">
        <f>MAX(Table8[Cumulative 2026])</f>
        <v>3102</v>
      </c>
    </row>
    <row r="381" spans="1:63" hidden="1" x14ac:dyDescent="0.25">
      <c r="A381" s="1">
        <v>45590</v>
      </c>
      <c r="B381">
        <f>SUM(_xlfn.CHOOSEROWS(Table8[[The Golden Compass]:[end]],ROW()-1))</f>
        <v>0</v>
      </c>
      <c r="C381">
        <f>Table8[[#This Row],[Cumulative 2023 Q4]]+Table8[[#This Row],[Cumulative 2024]]+Table8[[#This Row],[Cumulative 2025]]+Table8[[#This Row],[Cumulative 2026]]</f>
        <v>9714</v>
      </c>
      <c r="D381">
        <f>IF(YEAR(Table8[[#This Row],[Date]])=2023,B381,0)+IF(ROW(D380)=1,0,D380)</f>
        <v>4195</v>
      </c>
      <c r="E381">
        <f>MAX(Table8[Cumulative 2023 Q4])</f>
        <v>4195</v>
      </c>
      <c r="F381">
        <f>IF(YEAR(Table8[[#This Row],[Date]])=2024,B381,0)+IF(ROW(F380)=1,0,F380)</f>
        <v>5519</v>
      </c>
      <c r="G381">
        <f>MAX(Table8[Cumulative 2024])</f>
        <v>5831</v>
      </c>
      <c r="H381">
        <f>IF(YEAR(Table8[[#This Row],[Date]])=2025,B381,0)+IF(ROW(H380)=1,0,H380)</f>
        <v>0</v>
      </c>
      <c r="I381">
        <f>MAX(Table8[Cumulative 2025])</f>
        <v>1377</v>
      </c>
      <c r="J381">
        <f>IF(YEAR(Table8[[#This Row],[Date]])=2026,B381,0)+IF(ROW(J380)=1,0,J380)</f>
        <v>0</v>
      </c>
      <c r="K381">
        <f>MAX(Table8[Cumulative 2026])</f>
        <v>3102</v>
      </c>
    </row>
    <row r="382" spans="1:63" hidden="1" x14ac:dyDescent="0.25">
      <c r="A382" s="1">
        <v>45591</v>
      </c>
      <c r="B382">
        <f>SUM(_xlfn.CHOOSEROWS(Table8[[The Golden Compass]:[end]],ROW()-1))</f>
        <v>0</v>
      </c>
      <c r="C382">
        <f>Table8[[#This Row],[Cumulative 2023 Q4]]+Table8[[#This Row],[Cumulative 2024]]+Table8[[#This Row],[Cumulative 2025]]+Table8[[#This Row],[Cumulative 2026]]</f>
        <v>9714</v>
      </c>
      <c r="D382">
        <f>IF(YEAR(Table8[[#This Row],[Date]])=2023,B382,0)+IF(ROW(D381)=1,0,D381)</f>
        <v>4195</v>
      </c>
      <c r="E382">
        <f>MAX(Table8[Cumulative 2023 Q4])</f>
        <v>4195</v>
      </c>
      <c r="F382">
        <f>IF(YEAR(Table8[[#This Row],[Date]])=2024,B382,0)+IF(ROW(F381)=1,0,F381)</f>
        <v>5519</v>
      </c>
      <c r="G382">
        <f>MAX(Table8[Cumulative 2024])</f>
        <v>5831</v>
      </c>
      <c r="H382">
        <f>IF(YEAR(Table8[[#This Row],[Date]])=2025,B382,0)+IF(ROW(H381)=1,0,H381)</f>
        <v>0</v>
      </c>
      <c r="I382">
        <f>MAX(Table8[Cumulative 2025])</f>
        <v>1377</v>
      </c>
      <c r="J382">
        <f>IF(YEAR(Table8[[#This Row],[Date]])=2026,B382,0)+IF(ROW(J381)=1,0,J381)</f>
        <v>0</v>
      </c>
      <c r="K382">
        <f>MAX(Table8[Cumulative 2026])</f>
        <v>3102</v>
      </c>
    </row>
    <row r="383" spans="1:63" hidden="1" x14ac:dyDescent="0.25">
      <c r="A383" s="1">
        <v>45592</v>
      </c>
      <c r="B383">
        <f>SUM(_xlfn.CHOOSEROWS(Table8[[The Golden Compass]:[end]],ROW()-1))</f>
        <v>0</v>
      </c>
      <c r="C383">
        <f>Table8[[#This Row],[Cumulative 2023 Q4]]+Table8[[#This Row],[Cumulative 2024]]+Table8[[#This Row],[Cumulative 2025]]+Table8[[#This Row],[Cumulative 2026]]</f>
        <v>9714</v>
      </c>
      <c r="D383">
        <f>IF(YEAR(Table8[[#This Row],[Date]])=2023,B383,0)+IF(ROW(D382)=1,0,D382)</f>
        <v>4195</v>
      </c>
      <c r="E383">
        <f>MAX(Table8[Cumulative 2023 Q4])</f>
        <v>4195</v>
      </c>
      <c r="F383">
        <f>IF(YEAR(Table8[[#This Row],[Date]])=2024,B383,0)+IF(ROW(F382)=1,0,F382)</f>
        <v>5519</v>
      </c>
      <c r="G383">
        <f>MAX(Table8[Cumulative 2024])</f>
        <v>5831</v>
      </c>
      <c r="H383">
        <f>IF(YEAR(Table8[[#This Row],[Date]])=2025,B383,0)+IF(ROW(H382)=1,0,H382)</f>
        <v>0</v>
      </c>
      <c r="I383">
        <f>MAX(Table8[Cumulative 2025])</f>
        <v>1377</v>
      </c>
      <c r="J383">
        <f>IF(YEAR(Table8[[#This Row],[Date]])=2026,B383,0)+IF(ROW(J382)=1,0,J382)</f>
        <v>0</v>
      </c>
      <c r="K383">
        <f>MAX(Table8[Cumulative 2026])</f>
        <v>3102</v>
      </c>
    </row>
    <row r="384" spans="1:63" hidden="1" x14ac:dyDescent="0.25">
      <c r="A384" s="1">
        <v>45593</v>
      </c>
      <c r="B384">
        <f>SUM(_xlfn.CHOOSEROWS(Table8[[The Golden Compass]:[end]],ROW()-1))</f>
        <v>0</v>
      </c>
      <c r="C384">
        <f>Table8[[#This Row],[Cumulative 2023 Q4]]+Table8[[#This Row],[Cumulative 2024]]+Table8[[#This Row],[Cumulative 2025]]+Table8[[#This Row],[Cumulative 2026]]</f>
        <v>9714</v>
      </c>
      <c r="D384">
        <f>IF(YEAR(Table8[[#This Row],[Date]])=2023,B384,0)+IF(ROW(D383)=1,0,D383)</f>
        <v>4195</v>
      </c>
      <c r="E384">
        <f>MAX(Table8[Cumulative 2023 Q4])</f>
        <v>4195</v>
      </c>
      <c r="F384">
        <f>IF(YEAR(Table8[[#This Row],[Date]])=2024,B384,0)+IF(ROW(F383)=1,0,F383)</f>
        <v>5519</v>
      </c>
      <c r="G384">
        <f>MAX(Table8[Cumulative 2024])</f>
        <v>5831</v>
      </c>
      <c r="H384">
        <f>IF(YEAR(Table8[[#This Row],[Date]])=2025,B384,0)+IF(ROW(H383)=1,0,H383)</f>
        <v>0</v>
      </c>
      <c r="I384">
        <f>MAX(Table8[Cumulative 2025])</f>
        <v>1377</v>
      </c>
      <c r="J384">
        <f>IF(YEAR(Table8[[#This Row],[Date]])=2026,B384,0)+IF(ROW(J383)=1,0,J383)</f>
        <v>0</v>
      </c>
      <c r="K384">
        <f>MAX(Table8[Cumulative 2026])</f>
        <v>3102</v>
      </c>
    </row>
    <row r="385" spans="1:61" hidden="1" x14ac:dyDescent="0.25">
      <c r="A385" s="1">
        <v>45594</v>
      </c>
      <c r="B385">
        <f>SUM(_xlfn.CHOOSEROWS(Table8[[The Golden Compass]:[end]],ROW()-1))</f>
        <v>0</v>
      </c>
      <c r="C385">
        <f>Table8[[#This Row],[Cumulative 2023 Q4]]+Table8[[#This Row],[Cumulative 2024]]+Table8[[#This Row],[Cumulative 2025]]+Table8[[#This Row],[Cumulative 2026]]</f>
        <v>9714</v>
      </c>
      <c r="D385">
        <f>IF(YEAR(Table8[[#This Row],[Date]])=2023,B385,0)+IF(ROW(D384)=1,0,D384)</f>
        <v>4195</v>
      </c>
      <c r="E385">
        <f>MAX(Table8[Cumulative 2023 Q4])</f>
        <v>4195</v>
      </c>
      <c r="F385">
        <f>IF(YEAR(Table8[[#This Row],[Date]])=2024,B385,0)+IF(ROW(F384)=1,0,F384)</f>
        <v>5519</v>
      </c>
      <c r="G385">
        <f>MAX(Table8[Cumulative 2024])</f>
        <v>5831</v>
      </c>
      <c r="H385">
        <f>IF(YEAR(Table8[[#This Row],[Date]])=2025,B385,0)+IF(ROW(H384)=1,0,H384)</f>
        <v>0</v>
      </c>
      <c r="I385">
        <f>MAX(Table8[Cumulative 2025])</f>
        <v>1377</v>
      </c>
      <c r="J385">
        <f>IF(YEAR(Table8[[#This Row],[Date]])=2026,B385,0)+IF(ROW(J384)=1,0,J384)</f>
        <v>0</v>
      </c>
      <c r="K385">
        <f>MAX(Table8[Cumulative 2026])</f>
        <v>3102</v>
      </c>
    </row>
    <row r="386" spans="1:61" hidden="1" x14ac:dyDescent="0.25">
      <c r="A386" s="1">
        <v>45595</v>
      </c>
      <c r="B386">
        <f>SUM(_xlfn.CHOOSEROWS(Table8[[The Golden Compass]:[end]],ROW()-1))</f>
        <v>0</v>
      </c>
      <c r="C386">
        <f>Table8[[#This Row],[Cumulative 2023 Q4]]+Table8[[#This Row],[Cumulative 2024]]+Table8[[#This Row],[Cumulative 2025]]+Table8[[#This Row],[Cumulative 2026]]</f>
        <v>9714</v>
      </c>
      <c r="D386">
        <f>IF(YEAR(Table8[[#This Row],[Date]])=2023,B386,0)+IF(ROW(D385)=1,0,D385)</f>
        <v>4195</v>
      </c>
      <c r="E386">
        <f>MAX(Table8[Cumulative 2023 Q4])</f>
        <v>4195</v>
      </c>
      <c r="F386">
        <f>IF(YEAR(Table8[[#This Row],[Date]])=2024,B386,0)+IF(ROW(F385)=1,0,F385)</f>
        <v>5519</v>
      </c>
      <c r="G386">
        <f>MAX(Table8[Cumulative 2024])</f>
        <v>5831</v>
      </c>
      <c r="H386">
        <f>IF(YEAR(Table8[[#This Row],[Date]])=2025,B386,0)+IF(ROW(H385)=1,0,H385)</f>
        <v>0</v>
      </c>
      <c r="I386">
        <f>MAX(Table8[Cumulative 2025])</f>
        <v>1377</v>
      </c>
      <c r="J386">
        <f>IF(YEAR(Table8[[#This Row],[Date]])=2026,B386,0)+IF(ROW(J385)=1,0,J385)</f>
        <v>0</v>
      </c>
      <c r="K386">
        <f>MAX(Table8[Cumulative 2026])</f>
        <v>3102</v>
      </c>
    </row>
    <row r="387" spans="1:61" hidden="1" x14ac:dyDescent="0.25">
      <c r="A387" s="1">
        <v>45596</v>
      </c>
      <c r="B387">
        <f>SUM(_xlfn.CHOOSEROWS(Table8[[The Golden Compass]:[end]],ROW()-1))</f>
        <v>0</v>
      </c>
      <c r="C387">
        <f>Table8[[#This Row],[Cumulative 2023 Q4]]+Table8[[#This Row],[Cumulative 2024]]+Table8[[#This Row],[Cumulative 2025]]+Table8[[#This Row],[Cumulative 2026]]</f>
        <v>9714</v>
      </c>
      <c r="D387">
        <f>IF(YEAR(Table8[[#This Row],[Date]])=2023,B387,0)+IF(ROW(D386)=1,0,D386)</f>
        <v>4195</v>
      </c>
      <c r="E387">
        <f>MAX(Table8[Cumulative 2023 Q4])</f>
        <v>4195</v>
      </c>
      <c r="F387">
        <f>IF(YEAR(Table8[[#This Row],[Date]])=2024,B387,0)+IF(ROW(F386)=1,0,F386)</f>
        <v>5519</v>
      </c>
      <c r="G387">
        <f>MAX(Table8[Cumulative 2024])</f>
        <v>5831</v>
      </c>
      <c r="H387">
        <f>IF(YEAR(Table8[[#This Row],[Date]])=2025,B387,0)+IF(ROW(H386)=1,0,H386)</f>
        <v>0</v>
      </c>
      <c r="I387">
        <f>MAX(Table8[Cumulative 2025])</f>
        <v>1377</v>
      </c>
      <c r="J387">
        <f>IF(YEAR(Table8[[#This Row],[Date]])=2026,B387,0)+IF(ROW(J386)=1,0,J386)</f>
        <v>0</v>
      </c>
      <c r="K387">
        <f>MAX(Table8[Cumulative 2026])</f>
        <v>3102</v>
      </c>
    </row>
    <row r="388" spans="1:61" hidden="1" x14ac:dyDescent="0.25">
      <c r="A388" s="1">
        <v>45597</v>
      </c>
      <c r="B388">
        <f>SUM(_xlfn.CHOOSEROWS(Table8[[The Golden Compass]:[end]],ROW()-1))</f>
        <v>0</v>
      </c>
      <c r="C388">
        <f>Table8[[#This Row],[Cumulative 2023 Q4]]+Table8[[#This Row],[Cumulative 2024]]+Table8[[#This Row],[Cumulative 2025]]+Table8[[#This Row],[Cumulative 2026]]</f>
        <v>9714</v>
      </c>
      <c r="D388">
        <f>IF(YEAR(Table8[[#This Row],[Date]])=2023,B388,0)+IF(ROW(D387)=1,0,D387)</f>
        <v>4195</v>
      </c>
      <c r="E388">
        <f>MAX(Table8[Cumulative 2023 Q4])</f>
        <v>4195</v>
      </c>
      <c r="F388">
        <f>IF(YEAR(Table8[[#This Row],[Date]])=2024,B388,0)+IF(ROW(F387)=1,0,F387)</f>
        <v>5519</v>
      </c>
      <c r="G388">
        <f>MAX(Table8[Cumulative 2024])</f>
        <v>5831</v>
      </c>
      <c r="H388">
        <f>IF(YEAR(Table8[[#This Row],[Date]])=2025,B388,0)+IF(ROW(H387)=1,0,H387)</f>
        <v>0</v>
      </c>
      <c r="I388">
        <f>MAX(Table8[Cumulative 2025])</f>
        <v>1377</v>
      </c>
      <c r="J388">
        <f>IF(YEAR(Table8[[#This Row],[Date]])=2026,B388,0)+IF(ROW(J387)=1,0,J387)</f>
        <v>0</v>
      </c>
      <c r="K388">
        <f>MAX(Table8[Cumulative 2026])</f>
        <v>3102</v>
      </c>
    </row>
    <row r="389" spans="1:61" hidden="1" x14ac:dyDescent="0.25">
      <c r="A389" s="1">
        <v>45598</v>
      </c>
      <c r="B389">
        <f>SUM(_xlfn.CHOOSEROWS(Table8[[The Golden Compass]:[end]],ROW()-1))</f>
        <v>0</v>
      </c>
      <c r="C389">
        <f>Table8[[#This Row],[Cumulative 2023 Q4]]+Table8[[#This Row],[Cumulative 2024]]+Table8[[#This Row],[Cumulative 2025]]+Table8[[#This Row],[Cumulative 2026]]</f>
        <v>9714</v>
      </c>
      <c r="D389">
        <f>IF(YEAR(Table8[[#This Row],[Date]])=2023,B389,0)+IF(ROW(D388)=1,0,D388)</f>
        <v>4195</v>
      </c>
      <c r="E389">
        <f>MAX(Table8[Cumulative 2023 Q4])</f>
        <v>4195</v>
      </c>
      <c r="F389">
        <f>IF(YEAR(Table8[[#This Row],[Date]])=2024,B389,0)+IF(ROW(F388)=1,0,F388)</f>
        <v>5519</v>
      </c>
      <c r="G389">
        <f>MAX(Table8[Cumulative 2024])</f>
        <v>5831</v>
      </c>
      <c r="H389">
        <f>IF(YEAR(Table8[[#This Row],[Date]])=2025,B389,0)+IF(ROW(H388)=1,0,H388)</f>
        <v>0</v>
      </c>
      <c r="I389">
        <f>MAX(Table8[Cumulative 2025])</f>
        <v>1377</v>
      </c>
      <c r="J389">
        <f>IF(YEAR(Table8[[#This Row],[Date]])=2026,B389,0)+IF(ROW(J388)=1,0,J388)</f>
        <v>0</v>
      </c>
      <c r="K389">
        <f>MAX(Table8[Cumulative 2026])</f>
        <v>3102</v>
      </c>
    </row>
    <row r="390" spans="1:61" hidden="1" x14ac:dyDescent="0.25">
      <c r="A390" s="1">
        <v>45599</v>
      </c>
      <c r="B390">
        <f>SUM(_xlfn.CHOOSEROWS(Table8[[The Golden Compass]:[end]],ROW()-1))</f>
        <v>0</v>
      </c>
      <c r="C390">
        <f>Table8[[#This Row],[Cumulative 2023 Q4]]+Table8[[#This Row],[Cumulative 2024]]+Table8[[#This Row],[Cumulative 2025]]+Table8[[#This Row],[Cumulative 2026]]</f>
        <v>9714</v>
      </c>
      <c r="D390">
        <f>IF(YEAR(Table8[[#This Row],[Date]])=2023,B390,0)+IF(ROW(D389)=1,0,D389)</f>
        <v>4195</v>
      </c>
      <c r="E390">
        <f>MAX(Table8[Cumulative 2023 Q4])</f>
        <v>4195</v>
      </c>
      <c r="F390">
        <f>IF(YEAR(Table8[[#This Row],[Date]])=2024,B390,0)+IF(ROW(F389)=1,0,F389)</f>
        <v>5519</v>
      </c>
      <c r="G390">
        <f>MAX(Table8[Cumulative 2024])</f>
        <v>5831</v>
      </c>
      <c r="H390">
        <f>IF(YEAR(Table8[[#This Row],[Date]])=2025,B390,0)+IF(ROW(H389)=1,0,H389)</f>
        <v>0</v>
      </c>
      <c r="I390">
        <f>MAX(Table8[Cumulative 2025])</f>
        <v>1377</v>
      </c>
      <c r="J390">
        <f>IF(YEAR(Table8[[#This Row],[Date]])=2026,B390,0)+IF(ROW(J389)=1,0,J389)</f>
        <v>0</v>
      </c>
      <c r="K390">
        <f>MAX(Table8[Cumulative 2026])</f>
        <v>3102</v>
      </c>
    </row>
    <row r="391" spans="1:61" hidden="1" x14ac:dyDescent="0.25">
      <c r="A391" s="1">
        <v>45600</v>
      </c>
      <c r="B391">
        <f>SUM(_xlfn.CHOOSEROWS(Table8[[The Golden Compass]:[end]],ROW()-1))</f>
        <v>21</v>
      </c>
      <c r="C391">
        <f>Table8[[#This Row],[Cumulative 2023 Q4]]+Table8[[#This Row],[Cumulative 2024]]+Table8[[#This Row],[Cumulative 2025]]+Table8[[#This Row],[Cumulative 2026]]</f>
        <v>9735</v>
      </c>
      <c r="D391">
        <f>IF(YEAR(Table8[[#This Row],[Date]])=2023,B391,0)+IF(ROW(D390)=1,0,D390)</f>
        <v>4195</v>
      </c>
      <c r="E391">
        <f>MAX(Table8[Cumulative 2023 Q4])</f>
        <v>4195</v>
      </c>
      <c r="F391">
        <f>IF(YEAR(Table8[[#This Row],[Date]])=2024,B391,0)+IF(ROW(F390)=1,0,F390)</f>
        <v>5540</v>
      </c>
      <c r="G391">
        <f>MAX(Table8[Cumulative 2024])</f>
        <v>5831</v>
      </c>
      <c r="H391">
        <f>IF(YEAR(Table8[[#This Row],[Date]])=2025,B391,0)+IF(ROW(H390)=1,0,H390)</f>
        <v>0</v>
      </c>
      <c r="I391">
        <f>MAX(Table8[Cumulative 2025])</f>
        <v>1377</v>
      </c>
      <c r="J391">
        <f>IF(YEAR(Table8[[#This Row],[Date]])=2026,B391,0)+IF(ROW(J390)=1,0,J390)</f>
        <v>0</v>
      </c>
      <c r="K391">
        <f>MAX(Table8[Cumulative 2026])</f>
        <v>3102</v>
      </c>
      <c r="AT391">
        <v>6</v>
      </c>
      <c r="AV391">
        <v>15</v>
      </c>
    </row>
    <row r="392" spans="1:61" hidden="1" x14ac:dyDescent="0.25">
      <c r="A392" s="1">
        <v>45601</v>
      </c>
      <c r="B392">
        <f>SUM(_xlfn.CHOOSEROWS(Table8[[The Golden Compass]:[end]],ROW()-1))</f>
        <v>10</v>
      </c>
      <c r="C392">
        <f>Table8[[#This Row],[Cumulative 2023 Q4]]+Table8[[#This Row],[Cumulative 2024]]+Table8[[#This Row],[Cumulative 2025]]+Table8[[#This Row],[Cumulative 2026]]</f>
        <v>9745</v>
      </c>
      <c r="D392">
        <f>IF(YEAR(Table8[[#This Row],[Date]])=2023,B392,0)+IF(ROW(D391)=1,0,D391)</f>
        <v>4195</v>
      </c>
      <c r="E392">
        <f>MAX(Table8[Cumulative 2023 Q4])</f>
        <v>4195</v>
      </c>
      <c r="F392">
        <f>IF(YEAR(Table8[[#This Row],[Date]])=2024,B392,0)+IF(ROW(F391)=1,0,F391)</f>
        <v>5550</v>
      </c>
      <c r="G392">
        <f>MAX(Table8[Cumulative 2024])</f>
        <v>5831</v>
      </c>
      <c r="H392">
        <f>IF(YEAR(Table8[[#This Row],[Date]])=2025,B392,0)+IF(ROW(H391)=1,0,H391)</f>
        <v>0</v>
      </c>
      <c r="I392">
        <f>MAX(Table8[Cumulative 2025])</f>
        <v>1377</v>
      </c>
      <c r="J392">
        <f>IF(YEAR(Table8[[#This Row],[Date]])=2026,B392,0)+IF(ROW(J391)=1,0,J391)</f>
        <v>0</v>
      </c>
      <c r="K392">
        <f>MAX(Table8[Cumulative 2026])</f>
        <v>3102</v>
      </c>
      <c r="AT392">
        <v>10</v>
      </c>
    </row>
    <row r="393" spans="1:61" hidden="1" x14ac:dyDescent="0.25">
      <c r="A393" s="1">
        <v>45602</v>
      </c>
      <c r="B393">
        <f>SUM(_xlfn.CHOOSEROWS(Table8[[The Golden Compass]:[end]],ROW()-1))</f>
        <v>42</v>
      </c>
      <c r="C393">
        <f>Table8[[#This Row],[Cumulative 2023 Q4]]+Table8[[#This Row],[Cumulative 2024]]+Table8[[#This Row],[Cumulative 2025]]+Table8[[#This Row],[Cumulative 2026]]</f>
        <v>9787</v>
      </c>
      <c r="D393">
        <f>IF(YEAR(Table8[[#This Row],[Date]])=2023,B393,0)+IF(ROW(D392)=1,0,D392)</f>
        <v>4195</v>
      </c>
      <c r="E393">
        <f>MAX(Table8[Cumulative 2023 Q4])</f>
        <v>4195</v>
      </c>
      <c r="F393">
        <f>IF(YEAR(Table8[[#This Row],[Date]])=2024,B393,0)+IF(ROW(F392)=1,0,F392)</f>
        <v>5592</v>
      </c>
      <c r="G393">
        <f>MAX(Table8[Cumulative 2024])</f>
        <v>5831</v>
      </c>
      <c r="H393">
        <f>IF(YEAR(Table8[[#This Row],[Date]])=2025,B393,0)+IF(ROW(H392)=1,0,H392)</f>
        <v>0</v>
      </c>
      <c r="I393">
        <f>MAX(Table8[Cumulative 2025])</f>
        <v>1377</v>
      </c>
      <c r="J393">
        <f>IF(YEAR(Table8[[#This Row],[Date]])=2026,B393,0)+IF(ROW(J392)=1,0,J392)</f>
        <v>0</v>
      </c>
      <c r="K393">
        <f>MAX(Table8[Cumulative 2026])</f>
        <v>3102</v>
      </c>
      <c r="AT393">
        <v>42</v>
      </c>
    </row>
    <row r="394" spans="1:61" hidden="1" x14ac:dyDescent="0.25">
      <c r="A394" s="1">
        <v>45603</v>
      </c>
      <c r="B394">
        <f>SUM(_xlfn.CHOOSEROWS(Table8[[The Golden Compass]:[end]],ROW()-1))</f>
        <v>0</v>
      </c>
      <c r="C394">
        <f>Table8[[#This Row],[Cumulative 2023 Q4]]+Table8[[#This Row],[Cumulative 2024]]+Table8[[#This Row],[Cumulative 2025]]+Table8[[#This Row],[Cumulative 2026]]</f>
        <v>9787</v>
      </c>
      <c r="D394">
        <f>IF(YEAR(Table8[[#This Row],[Date]])=2023,B394,0)+IF(ROW(D393)=1,0,D393)</f>
        <v>4195</v>
      </c>
      <c r="E394">
        <f>MAX(Table8[Cumulative 2023 Q4])</f>
        <v>4195</v>
      </c>
      <c r="F394">
        <f>IF(YEAR(Table8[[#This Row],[Date]])=2024,B394,0)+IF(ROW(F393)=1,0,F393)</f>
        <v>5592</v>
      </c>
      <c r="G394">
        <f>MAX(Table8[Cumulative 2024])</f>
        <v>5831</v>
      </c>
      <c r="H394">
        <f>IF(YEAR(Table8[[#This Row],[Date]])=2025,B394,0)+IF(ROW(H393)=1,0,H393)</f>
        <v>0</v>
      </c>
      <c r="I394">
        <f>MAX(Table8[Cumulative 2025])</f>
        <v>1377</v>
      </c>
      <c r="J394">
        <f>IF(YEAR(Table8[[#This Row],[Date]])=2026,B394,0)+IF(ROW(J393)=1,0,J393)</f>
        <v>0</v>
      </c>
      <c r="K394">
        <f>MAX(Table8[Cumulative 2026])</f>
        <v>3102</v>
      </c>
    </row>
    <row r="395" spans="1:61" hidden="1" x14ac:dyDescent="0.25">
      <c r="A395" s="1">
        <v>45604</v>
      </c>
      <c r="B395">
        <f>SUM(_xlfn.CHOOSEROWS(Table8[[The Golden Compass]:[end]],ROW()-1))</f>
        <v>96</v>
      </c>
      <c r="C395">
        <f>Table8[[#This Row],[Cumulative 2023 Q4]]+Table8[[#This Row],[Cumulative 2024]]+Table8[[#This Row],[Cumulative 2025]]+Table8[[#This Row],[Cumulative 2026]]</f>
        <v>9883</v>
      </c>
      <c r="D395">
        <f>IF(YEAR(Table8[[#This Row],[Date]])=2023,B395,0)+IF(ROW(D394)=1,0,D394)</f>
        <v>4195</v>
      </c>
      <c r="E395">
        <f>MAX(Table8[Cumulative 2023 Q4])</f>
        <v>4195</v>
      </c>
      <c r="F395">
        <f>IF(YEAR(Table8[[#This Row],[Date]])=2024,B395,0)+IF(ROW(F394)=1,0,F394)</f>
        <v>5688</v>
      </c>
      <c r="G395">
        <f>MAX(Table8[Cumulative 2024])</f>
        <v>5831</v>
      </c>
      <c r="H395">
        <f>IF(YEAR(Table8[[#This Row],[Date]])=2025,B395,0)+IF(ROW(H394)=1,0,H394)</f>
        <v>0</v>
      </c>
      <c r="I395">
        <f>MAX(Table8[Cumulative 2025])</f>
        <v>1377</v>
      </c>
      <c r="J395">
        <f>IF(YEAR(Table8[[#This Row],[Date]])=2026,B395,0)+IF(ROW(J394)=1,0,J394)</f>
        <v>0</v>
      </c>
      <c r="K395">
        <f>MAX(Table8[Cumulative 2026])</f>
        <v>3102</v>
      </c>
      <c r="AT395">
        <v>96</v>
      </c>
    </row>
    <row r="396" spans="1:61" hidden="1" x14ac:dyDescent="0.25">
      <c r="A396" s="1">
        <v>45605</v>
      </c>
      <c r="B396">
        <f>SUM(_xlfn.CHOOSEROWS(Table8[[The Golden Compass]:[end]],ROW()-1))</f>
        <v>93</v>
      </c>
      <c r="C396">
        <f>Table8[[#This Row],[Cumulative 2023 Q4]]+Table8[[#This Row],[Cumulative 2024]]+Table8[[#This Row],[Cumulative 2025]]+Table8[[#This Row],[Cumulative 2026]]</f>
        <v>9976</v>
      </c>
      <c r="D396">
        <f>IF(YEAR(Table8[[#This Row],[Date]])=2023,B396,0)+IF(ROW(D395)=1,0,D395)</f>
        <v>4195</v>
      </c>
      <c r="E396">
        <f>MAX(Table8[Cumulative 2023 Q4])</f>
        <v>4195</v>
      </c>
      <c r="F396">
        <f>IF(YEAR(Table8[[#This Row],[Date]])=2024,B396,0)+IF(ROW(F395)=1,0,F395)</f>
        <v>5781</v>
      </c>
      <c r="G396">
        <f>MAX(Table8[Cumulative 2024])</f>
        <v>5831</v>
      </c>
      <c r="H396">
        <f>IF(YEAR(Table8[[#This Row],[Date]])=2025,B396,0)+IF(ROW(H395)=1,0,H395)</f>
        <v>0</v>
      </c>
      <c r="I396">
        <f>MAX(Table8[Cumulative 2025])</f>
        <v>1377</v>
      </c>
      <c r="J396">
        <f>IF(YEAR(Table8[[#This Row],[Date]])=2026,B396,0)+IF(ROW(J395)=1,0,J395)</f>
        <v>0</v>
      </c>
      <c r="K396">
        <f>MAX(Table8[Cumulative 2026])</f>
        <v>3102</v>
      </c>
      <c r="AT396">
        <v>67</v>
      </c>
      <c r="AV396">
        <v>26</v>
      </c>
    </row>
    <row r="397" spans="1:61" hidden="1" x14ac:dyDescent="0.25">
      <c r="A397" s="1">
        <v>45606</v>
      </c>
      <c r="B397">
        <f>SUM(_xlfn.CHOOSEROWS(Table8[[The Golden Compass]:[end]],ROW()-1))</f>
        <v>12</v>
      </c>
      <c r="C397">
        <f>Table8[[#This Row],[Cumulative 2023 Q4]]+Table8[[#This Row],[Cumulative 2024]]+Table8[[#This Row],[Cumulative 2025]]+Table8[[#This Row],[Cumulative 2026]]</f>
        <v>9988</v>
      </c>
      <c r="D397">
        <f>IF(YEAR(Table8[[#This Row],[Date]])=2023,B397,0)+IF(ROW(D396)=1,0,D396)</f>
        <v>4195</v>
      </c>
      <c r="E397">
        <f>MAX(Table8[Cumulative 2023 Q4])</f>
        <v>4195</v>
      </c>
      <c r="F397">
        <f>IF(YEAR(Table8[[#This Row],[Date]])=2024,B397,0)+IF(ROW(F396)=1,0,F396)</f>
        <v>5793</v>
      </c>
      <c r="G397">
        <f>MAX(Table8[Cumulative 2024])</f>
        <v>5831</v>
      </c>
      <c r="H397">
        <f>IF(YEAR(Table8[[#This Row],[Date]])=2025,B397,0)+IF(ROW(H396)=1,0,H396)</f>
        <v>0</v>
      </c>
      <c r="I397">
        <f>MAX(Table8[Cumulative 2025])</f>
        <v>1377</v>
      </c>
      <c r="J397">
        <f>IF(YEAR(Table8[[#This Row],[Date]])=2026,B397,0)+IF(ROW(J396)=1,0,J396)</f>
        <v>0</v>
      </c>
      <c r="K397">
        <f>MAX(Table8[Cumulative 2026])</f>
        <v>3102</v>
      </c>
      <c r="AV397">
        <v>12</v>
      </c>
    </row>
    <row r="398" spans="1:61" hidden="1" x14ac:dyDescent="0.25">
      <c r="A398" s="1">
        <v>45607</v>
      </c>
      <c r="B398">
        <f>SUM(_xlfn.CHOOSEROWS(Table8[[The Golden Compass]:[end]],ROW()-1))</f>
        <v>0</v>
      </c>
      <c r="C398">
        <f>Table8[[#This Row],[Cumulative 2023 Q4]]+Table8[[#This Row],[Cumulative 2024]]+Table8[[#This Row],[Cumulative 2025]]+Table8[[#This Row],[Cumulative 2026]]</f>
        <v>9988</v>
      </c>
      <c r="D398">
        <f>IF(YEAR(Table8[[#This Row],[Date]])=2023,B398,0)+IF(ROW(D397)=1,0,D397)</f>
        <v>4195</v>
      </c>
      <c r="E398">
        <f>MAX(Table8[Cumulative 2023 Q4])</f>
        <v>4195</v>
      </c>
      <c r="F398">
        <f>IF(YEAR(Table8[[#This Row],[Date]])=2024,B398,0)+IF(ROW(F397)=1,0,F397)</f>
        <v>5793</v>
      </c>
      <c r="G398">
        <f>MAX(Table8[Cumulative 2024])</f>
        <v>5831</v>
      </c>
      <c r="H398">
        <f>IF(YEAR(Table8[[#This Row],[Date]])=2025,B398,0)+IF(ROW(H397)=1,0,H397)</f>
        <v>0</v>
      </c>
      <c r="I398">
        <f>MAX(Table8[Cumulative 2025])</f>
        <v>1377</v>
      </c>
      <c r="J398">
        <f>IF(YEAR(Table8[[#This Row],[Date]])=2026,B398,0)+IF(ROW(J397)=1,0,J397)</f>
        <v>0</v>
      </c>
      <c r="K398">
        <f>MAX(Table8[Cumulative 2026])</f>
        <v>3102</v>
      </c>
    </row>
    <row r="399" spans="1:61" hidden="1" x14ac:dyDescent="0.25">
      <c r="A399" s="1">
        <v>45608</v>
      </c>
      <c r="B399">
        <f>SUM(_xlfn.CHOOSEROWS(Table8[[The Golden Compass]:[end]],ROW()-1))</f>
        <v>0</v>
      </c>
      <c r="C399">
        <f>Table8[[#This Row],[Cumulative 2023 Q4]]+Table8[[#This Row],[Cumulative 2024]]+Table8[[#This Row],[Cumulative 2025]]+Table8[[#This Row],[Cumulative 2026]]</f>
        <v>9988</v>
      </c>
      <c r="D399">
        <f>IF(YEAR(Table8[[#This Row],[Date]])=2023,B399,0)+IF(ROW(D398)=1,0,D398)</f>
        <v>4195</v>
      </c>
      <c r="E399">
        <f>MAX(Table8[Cumulative 2023 Q4])</f>
        <v>4195</v>
      </c>
      <c r="F399">
        <f>IF(YEAR(Table8[[#This Row],[Date]])=2024,B399,0)+IF(ROW(F398)=1,0,F398)</f>
        <v>5793</v>
      </c>
      <c r="G399">
        <f>MAX(Table8[Cumulative 2024])</f>
        <v>5831</v>
      </c>
      <c r="H399">
        <f>IF(YEAR(Table8[[#This Row],[Date]])=2025,B399,0)+IF(ROW(H398)=1,0,H398)</f>
        <v>0</v>
      </c>
      <c r="I399">
        <f>MAX(Table8[Cumulative 2025])</f>
        <v>1377</v>
      </c>
      <c r="J399">
        <f>IF(YEAR(Table8[[#This Row],[Date]])=2026,B399,0)+IF(ROW(J398)=1,0,J398)</f>
        <v>0</v>
      </c>
      <c r="K399">
        <f>MAX(Table8[Cumulative 2026])</f>
        <v>3102</v>
      </c>
    </row>
    <row r="400" spans="1:61" x14ac:dyDescent="0.25">
      <c r="A400" s="1">
        <v>45609</v>
      </c>
      <c r="B400">
        <f>SUM(_xlfn.CHOOSEROWS(Table8[[The Golden Compass]:[end]],ROW()-1))</f>
        <v>7</v>
      </c>
      <c r="C400">
        <f>Table8[[#This Row],[Cumulative 2023 Q4]]+Table8[[#This Row],[Cumulative 2024]]+Table8[[#This Row],[Cumulative 2025]]+Table8[[#This Row],[Cumulative 2026]]</f>
        <v>9995</v>
      </c>
      <c r="D400">
        <f>IF(YEAR(Table8[[#This Row],[Date]])=2023,B400,0)+IF(ROW(D399)=1,0,D399)</f>
        <v>4195</v>
      </c>
      <c r="E400">
        <f>MAX(Table8[Cumulative 2023 Q4])</f>
        <v>4195</v>
      </c>
      <c r="F400">
        <f>IF(YEAR(Table8[[#This Row],[Date]])=2024,B400,0)+IF(ROW(F399)=1,0,F399)</f>
        <v>5800</v>
      </c>
      <c r="G400">
        <f>MAX(Table8[Cumulative 2024])</f>
        <v>5831</v>
      </c>
      <c r="H400">
        <f>IF(YEAR(Table8[[#This Row],[Date]])=2025,B400,0)+IF(ROW(H399)=1,0,H399)</f>
        <v>0</v>
      </c>
      <c r="I400">
        <f>MAX(Table8[Cumulative 2025])</f>
        <v>1377</v>
      </c>
      <c r="J400">
        <f>IF(YEAR(Table8[[#This Row],[Date]])=2026,B400,0)+IF(ROW(J399)=1,0,J399)</f>
        <v>0</v>
      </c>
      <c r="K400">
        <f>MAX(Table8[Cumulative 2026])</f>
        <v>3102</v>
      </c>
      <c r="BI400">
        <v>7</v>
      </c>
    </row>
    <row r="401" spans="1:11" hidden="1" x14ac:dyDescent="0.25">
      <c r="A401" s="1">
        <v>45610</v>
      </c>
      <c r="B401">
        <f>SUM(_xlfn.CHOOSEROWS(Table8[[The Golden Compass]:[end]],ROW()-1))</f>
        <v>0</v>
      </c>
      <c r="C401">
        <f>Table8[[#This Row],[Cumulative 2023 Q4]]+Table8[[#This Row],[Cumulative 2024]]+Table8[[#This Row],[Cumulative 2025]]+Table8[[#This Row],[Cumulative 2026]]</f>
        <v>9995</v>
      </c>
      <c r="D401">
        <f>IF(YEAR(Table8[[#This Row],[Date]])=2023,B401,0)+IF(ROW(D400)=1,0,D400)</f>
        <v>4195</v>
      </c>
      <c r="E401">
        <f>MAX(Table8[Cumulative 2023 Q4])</f>
        <v>4195</v>
      </c>
      <c r="F401">
        <f>IF(YEAR(Table8[[#This Row],[Date]])=2024,B401,0)+IF(ROW(F400)=1,0,F400)</f>
        <v>5800</v>
      </c>
      <c r="G401">
        <f>MAX(Table8[Cumulative 2024])</f>
        <v>5831</v>
      </c>
      <c r="H401">
        <f>IF(YEAR(Table8[[#This Row],[Date]])=2025,B401,0)+IF(ROW(H400)=1,0,H400)</f>
        <v>0</v>
      </c>
      <c r="I401">
        <f>MAX(Table8[Cumulative 2025])</f>
        <v>1377</v>
      </c>
      <c r="J401">
        <f>IF(YEAR(Table8[[#This Row],[Date]])=2026,B401,0)+IF(ROW(J400)=1,0,J400)</f>
        <v>0</v>
      </c>
      <c r="K401">
        <f>MAX(Table8[Cumulative 2026])</f>
        <v>3102</v>
      </c>
    </row>
    <row r="402" spans="1:11" hidden="1" x14ac:dyDescent="0.25">
      <c r="A402" s="1">
        <v>45611</v>
      </c>
      <c r="B402">
        <f>SUM(_xlfn.CHOOSEROWS(Table8[[The Golden Compass]:[end]],ROW()-1))</f>
        <v>0</v>
      </c>
      <c r="C402">
        <f>Table8[[#This Row],[Cumulative 2023 Q4]]+Table8[[#This Row],[Cumulative 2024]]+Table8[[#This Row],[Cumulative 2025]]+Table8[[#This Row],[Cumulative 2026]]</f>
        <v>9995</v>
      </c>
      <c r="D402">
        <f>IF(YEAR(Table8[[#This Row],[Date]])=2023,B402,0)+IF(ROW(D401)=1,0,D401)</f>
        <v>4195</v>
      </c>
      <c r="E402">
        <f>MAX(Table8[Cumulative 2023 Q4])</f>
        <v>4195</v>
      </c>
      <c r="F402">
        <f>IF(YEAR(Table8[[#This Row],[Date]])=2024,B402,0)+IF(ROW(F401)=1,0,F401)</f>
        <v>5800</v>
      </c>
      <c r="G402">
        <f>MAX(Table8[Cumulative 2024])</f>
        <v>5831</v>
      </c>
      <c r="H402">
        <f>IF(YEAR(Table8[[#This Row],[Date]])=2025,B402,0)+IF(ROW(H401)=1,0,H401)</f>
        <v>0</v>
      </c>
      <c r="I402">
        <f>MAX(Table8[Cumulative 2025])</f>
        <v>1377</v>
      </c>
      <c r="J402">
        <f>IF(YEAR(Table8[[#This Row],[Date]])=2026,B402,0)+IF(ROW(J401)=1,0,J401)</f>
        <v>0</v>
      </c>
      <c r="K402">
        <f>MAX(Table8[Cumulative 2026])</f>
        <v>3102</v>
      </c>
    </row>
    <row r="403" spans="1:11" hidden="1" x14ac:dyDescent="0.25">
      <c r="A403" s="1">
        <v>45612</v>
      </c>
      <c r="B403">
        <f>SUM(_xlfn.CHOOSEROWS(Table8[[The Golden Compass]:[end]],ROW()-1))</f>
        <v>0</v>
      </c>
      <c r="C403">
        <f>Table8[[#This Row],[Cumulative 2023 Q4]]+Table8[[#This Row],[Cumulative 2024]]+Table8[[#This Row],[Cumulative 2025]]+Table8[[#This Row],[Cumulative 2026]]</f>
        <v>9995</v>
      </c>
      <c r="D403">
        <f>IF(YEAR(Table8[[#This Row],[Date]])=2023,B403,0)+IF(ROW(D402)=1,0,D402)</f>
        <v>4195</v>
      </c>
      <c r="E403">
        <f>MAX(Table8[Cumulative 2023 Q4])</f>
        <v>4195</v>
      </c>
      <c r="F403">
        <f>IF(YEAR(Table8[[#This Row],[Date]])=2024,B403,0)+IF(ROW(F402)=1,0,F402)</f>
        <v>5800</v>
      </c>
      <c r="G403">
        <f>MAX(Table8[Cumulative 2024])</f>
        <v>5831</v>
      </c>
      <c r="H403">
        <f>IF(YEAR(Table8[[#This Row],[Date]])=2025,B403,0)+IF(ROW(H402)=1,0,H402)</f>
        <v>0</v>
      </c>
      <c r="I403">
        <f>MAX(Table8[Cumulative 2025])</f>
        <v>1377</v>
      </c>
      <c r="J403">
        <f>IF(YEAR(Table8[[#This Row],[Date]])=2026,B403,0)+IF(ROW(J402)=1,0,J402)</f>
        <v>0</v>
      </c>
      <c r="K403">
        <f>MAX(Table8[Cumulative 2026])</f>
        <v>3102</v>
      </c>
    </row>
    <row r="404" spans="1:11" hidden="1" x14ac:dyDescent="0.25">
      <c r="A404" s="1">
        <v>45613</v>
      </c>
      <c r="B404">
        <f>SUM(_xlfn.CHOOSEROWS(Table8[[The Golden Compass]:[end]],ROW()-1))</f>
        <v>0</v>
      </c>
      <c r="C404">
        <f>Table8[[#This Row],[Cumulative 2023 Q4]]+Table8[[#This Row],[Cumulative 2024]]+Table8[[#This Row],[Cumulative 2025]]+Table8[[#This Row],[Cumulative 2026]]</f>
        <v>9995</v>
      </c>
      <c r="D404">
        <f>IF(YEAR(Table8[[#This Row],[Date]])=2023,B404,0)+IF(ROW(D403)=1,0,D403)</f>
        <v>4195</v>
      </c>
      <c r="E404">
        <f>MAX(Table8[Cumulative 2023 Q4])</f>
        <v>4195</v>
      </c>
      <c r="F404">
        <f>IF(YEAR(Table8[[#This Row],[Date]])=2024,B404,0)+IF(ROW(F403)=1,0,F403)</f>
        <v>5800</v>
      </c>
      <c r="G404">
        <f>MAX(Table8[Cumulative 2024])</f>
        <v>5831</v>
      </c>
      <c r="H404">
        <f>IF(YEAR(Table8[[#This Row],[Date]])=2025,B404,0)+IF(ROW(H403)=1,0,H403)</f>
        <v>0</v>
      </c>
      <c r="I404">
        <f>MAX(Table8[Cumulative 2025])</f>
        <v>1377</v>
      </c>
      <c r="J404">
        <f>IF(YEAR(Table8[[#This Row],[Date]])=2026,B404,0)+IF(ROW(J403)=1,0,J403)</f>
        <v>0</v>
      </c>
      <c r="K404">
        <f>MAX(Table8[Cumulative 2026])</f>
        <v>3102</v>
      </c>
    </row>
    <row r="405" spans="1:11" hidden="1" x14ac:dyDescent="0.25">
      <c r="A405" s="1">
        <v>45614</v>
      </c>
      <c r="B405">
        <f>SUM(_xlfn.CHOOSEROWS(Table8[[The Golden Compass]:[end]],ROW()-1))</f>
        <v>0</v>
      </c>
      <c r="C405">
        <f>Table8[[#This Row],[Cumulative 2023 Q4]]+Table8[[#This Row],[Cumulative 2024]]+Table8[[#This Row],[Cumulative 2025]]+Table8[[#This Row],[Cumulative 2026]]</f>
        <v>9995</v>
      </c>
      <c r="D405">
        <f>IF(YEAR(Table8[[#This Row],[Date]])=2023,B405,0)+IF(ROW(D404)=1,0,D404)</f>
        <v>4195</v>
      </c>
      <c r="E405">
        <f>MAX(Table8[Cumulative 2023 Q4])</f>
        <v>4195</v>
      </c>
      <c r="F405">
        <f>IF(YEAR(Table8[[#This Row],[Date]])=2024,B405,0)+IF(ROW(F404)=1,0,F404)</f>
        <v>5800</v>
      </c>
      <c r="G405">
        <f>MAX(Table8[Cumulative 2024])</f>
        <v>5831</v>
      </c>
      <c r="H405">
        <f>IF(YEAR(Table8[[#This Row],[Date]])=2025,B405,0)+IF(ROW(H404)=1,0,H404)</f>
        <v>0</v>
      </c>
      <c r="I405">
        <f>MAX(Table8[Cumulative 2025])</f>
        <v>1377</v>
      </c>
      <c r="J405">
        <f>IF(YEAR(Table8[[#This Row],[Date]])=2026,B405,0)+IF(ROW(J404)=1,0,J404)</f>
        <v>0</v>
      </c>
      <c r="K405">
        <f>MAX(Table8[Cumulative 2026])</f>
        <v>3102</v>
      </c>
    </row>
    <row r="406" spans="1:11" hidden="1" x14ac:dyDescent="0.25">
      <c r="A406" s="1">
        <v>45615</v>
      </c>
      <c r="B406">
        <f>SUM(_xlfn.CHOOSEROWS(Table8[[The Golden Compass]:[end]],ROW()-1))</f>
        <v>0</v>
      </c>
      <c r="C406">
        <f>Table8[[#This Row],[Cumulative 2023 Q4]]+Table8[[#This Row],[Cumulative 2024]]+Table8[[#This Row],[Cumulative 2025]]+Table8[[#This Row],[Cumulative 2026]]</f>
        <v>9995</v>
      </c>
      <c r="D406">
        <f>IF(YEAR(Table8[[#This Row],[Date]])=2023,B406,0)+IF(ROW(D405)=1,0,D405)</f>
        <v>4195</v>
      </c>
      <c r="E406">
        <f>MAX(Table8[Cumulative 2023 Q4])</f>
        <v>4195</v>
      </c>
      <c r="F406">
        <f>IF(YEAR(Table8[[#This Row],[Date]])=2024,B406,0)+IF(ROW(F405)=1,0,F405)</f>
        <v>5800</v>
      </c>
      <c r="G406">
        <f>MAX(Table8[Cumulative 2024])</f>
        <v>5831</v>
      </c>
      <c r="H406">
        <f>IF(YEAR(Table8[[#This Row],[Date]])=2025,B406,0)+IF(ROW(H405)=1,0,H405)</f>
        <v>0</v>
      </c>
      <c r="I406">
        <f>MAX(Table8[Cumulative 2025])</f>
        <v>1377</v>
      </c>
      <c r="J406">
        <f>IF(YEAR(Table8[[#This Row],[Date]])=2026,B406,0)+IF(ROW(J405)=1,0,J405)</f>
        <v>0</v>
      </c>
      <c r="K406">
        <f>MAX(Table8[Cumulative 2026])</f>
        <v>3102</v>
      </c>
    </row>
    <row r="407" spans="1:11" hidden="1" x14ac:dyDescent="0.25">
      <c r="A407" s="1">
        <v>45616</v>
      </c>
      <c r="B407">
        <f>SUM(_xlfn.CHOOSEROWS(Table8[[The Golden Compass]:[end]],ROW()-1))</f>
        <v>0</v>
      </c>
      <c r="C407">
        <f>Table8[[#This Row],[Cumulative 2023 Q4]]+Table8[[#This Row],[Cumulative 2024]]+Table8[[#This Row],[Cumulative 2025]]+Table8[[#This Row],[Cumulative 2026]]</f>
        <v>9995</v>
      </c>
      <c r="D407">
        <f>IF(YEAR(Table8[[#This Row],[Date]])=2023,B407,0)+IF(ROW(D406)=1,0,D406)</f>
        <v>4195</v>
      </c>
      <c r="E407">
        <f>MAX(Table8[Cumulative 2023 Q4])</f>
        <v>4195</v>
      </c>
      <c r="F407">
        <f>IF(YEAR(Table8[[#This Row],[Date]])=2024,B407,0)+IF(ROW(F406)=1,0,F406)</f>
        <v>5800</v>
      </c>
      <c r="G407">
        <f>MAX(Table8[Cumulative 2024])</f>
        <v>5831</v>
      </c>
      <c r="H407">
        <f>IF(YEAR(Table8[[#This Row],[Date]])=2025,B407,0)+IF(ROW(H406)=1,0,H406)</f>
        <v>0</v>
      </c>
      <c r="I407">
        <f>MAX(Table8[Cumulative 2025])</f>
        <v>1377</v>
      </c>
      <c r="J407">
        <f>IF(YEAR(Table8[[#This Row],[Date]])=2026,B407,0)+IF(ROW(J406)=1,0,J406)</f>
        <v>0</v>
      </c>
      <c r="K407">
        <f>MAX(Table8[Cumulative 2026])</f>
        <v>3102</v>
      </c>
    </row>
    <row r="408" spans="1:11" hidden="1" x14ac:dyDescent="0.25">
      <c r="A408" s="1">
        <v>45617</v>
      </c>
      <c r="B408">
        <f>SUM(_xlfn.CHOOSEROWS(Table8[[The Golden Compass]:[end]],ROW()-1))</f>
        <v>0</v>
      </c>
      <c r="C408">
        <f>Table8[[#This Row],[Cumulative 2023 Q4]]+Table8[[#This Row],[Cumulative 2024]]+Table8[[#This Row],[Cumulative 2025]]+Table8[[#This Row],[Cumulative 2026]]</f>
        <v>9995</v>
      </c>
      <c r="D408">
        <f>IF(YEAR(Table8[[#This Row],[Date]])=2023,B408,0)+IF(ROW(D407)=1,0,D407)</f>
        <v>4195</v>
      </c>
      <c r="E408">
        <f>MAX(Table8[Cumulative 2023 Q4])</f>
        <v>4195</v>
      </c>
      <c r="F408">
        <f>IF(YEAR(Table8[[#This Row],[Date]])=2024,B408,0)+IF(ROW(F407)=1,0,F407)</f>
        <v>5800</v>
      </c>
      <c r="G408">
        <f>MAX(Table8[Cumulative 2024])</f>
        <v>5831</v>
      </c>
      <c r="H408">
        <f>IF(YEAR(Table8[[#This Row],[Date]])=2025,B408,0)+IF(ROW(H407)=1,0,H407)</f>
        <v>0</v>
      </c>
      <c r="I408">
        <f>MAX(Table8[Cumulative 2025])</f>
        <v>1377</v>
      </c>
      <c r="J408">
        <f>IF(YEAR(Table8[[#This Row],[Date]])=2026,B408,0)+IF(ROW(J407)=1,0,J407)</f>
        <v>0</v>
      </c>
      <c r="K408">
        <f>MAX(Table8[Cumulative 2026])</f>
        <v>3102</v>
      </c>
    </row>
    <row r="409" spans="1:11" hidden="1" x14ac:dyDescent="0.25">
      <c r="A409" s="1">
        <v>45618</v>
      </c>
      <c r="B409">
        <f>SUM(_xlfn.CHOOSEROWS(Table8[[The Golden Compass]:[end]],ROW()-1))</f>
        <v>0</v>
      </c>
      <c r="C409">
        <f>Table8[[#This Row],[Cumulative 2023 Q4]]+Table8[[#This Row],[Cumulative 2024]]+Table8[[#This Row],[Cumulative 2025]]+Table8[[#This Row],[Cumulative 2026]]</f>
        <v>9995</v>
      </c>
      <c r="D409">
        <f>IF(YEAR(Table8[[#This Row],[Date]])=2023,B409,0)+IF(ROW(D408)=1,0,D408)</f>
        <v>4195</v>
      </c>
      <c r="E409">
        <f>MAX(Table8[Cumulative 2023 Q4])</f>
        <v>4195</v>
      </c>
      <c r="F409">
        <f>IF(YEAR(Table8[[#This Row],[Date]])=2024,B409,0)+IF(ROW(F408)=1,0,F408)</f>
        <v>5800</v>
      </c>
      <c r="G409">
        <f>MAX(Table8[Cumulative 2024])</f>
        <v>5831</v>
      </c>
      <c r="H409">
        <f>IF(YEAR(Table8[[#This Row],[Date]])=2025,B409,0)+IF(ROW(H408)=1,0,H408)</f>
        <v>0</v>
      </c>
      <c r="I409">
        <f>MAX(Table8[Cumulative 2025])</f>
        <v>1377</v>
      </c>
      <c r="J409">
        <f>IF(YEAR(Table8[[#This Row],[Date]])=2026,B409,0)+IF(ROW(J408)=1,0,J408)</f>
        <v>0</v>
      </c>
      <c r="K409">
        <f>MAX(Table8[Cumulative 2026])</f>
        <v>3102</v>
      </c>
    </row>
    <row r="410" spans="1:11" hidden="1" x14ac:dyDescent="0.25">
      <c r="A410" s="1">
        <v>45619</v>
      </c>
      <c r="B410">
        <f>SUM(_xlfn.CHOOSEROWS(Table8[[The Golden Compass]:[end]],ROW()-1))</f>
        <v>0</v>
      </c>
      <c r="C410">
        <f>Table8[[#This Row],[Cumulative 2023 Q4]]+Table8[[#This Row],[Cumulative 2024]]+Table8[[#This Row],[Cumulative 2025]]+Table8[[#This Row],[Cumulative 2026]]</f>
        <v>9995</v>
      </c>
      <c r="D410">
        <f>IF(YEAR(Table8[[#This Row],[Date]])=2023,B410,0)+IF(ROW(D409)=1,0,D409)</f>
        <v>4195</v>
      </c>
      <c r="E410">
        <f>MAX(Table8[Cumulative 2023 Q4])</f>
        <v>4195</v>
      </c>
      <c r="F410">
        <f>IF(YEAR(Table8[[#This Row],[Date]])=2024,B410,0)+IF(ROW(F409)=1,0,F409)</f>
        <v>5800</v>
      </c>
      <c r="G410">
        <f>MAX(Table8[Cumulative 2024])</f>
        <v>5831</v>
      </c>
      <c r="H410">
        <f>IF(YEAR(Table8[[#This Row],[Date]])=2025,B410,0)+IF(ROW(H409)=1,0,H409)</f>
        <v>0</v>
      </c>
      <c r="I410">
        <f>MAX(Table8[Cumulative 2025])</f>
        <v>1377</v>
      </c>
      <c r="J410">
        <f>IF(YEAR(Table8[[#This Row],[Date]])=2026,B410,0)+IF(ROW(J409)=1,0,J409)</f>
        <v>0</v>
      </c>
      <c r="K410">
        <f>MAX(Table8[Cumulative 2026])</f>
        <v>3102</v>
      </c>
    </row>
    <row r="411" spans="1:11" hidden="1" x14ac:dyDescent="0.25">
      <c r="A411" s="1">
        <v>45620</v>
      </c>
      <c r="B411">
        <f>SUM(_xlfn.CHOOSEROWS(Table8[[The Golden Compass]:[end]],ROW()-1))</f>
        <v>0</v>
      </c>
      <c r="C411">
        <f>Table8[[#This Row],[Cumulative 2023 Q4]]+Table8[[#This Row],[Cumulative 2024]]+Table8[[#This Row],[Cumulative 2025]]+Table8[[#This Row],[Cumulative 2026]]</f>
        <v>9995</v>
      </c>
      <c r="D411">
        <f>IF(YEAR(Table8[[#This Row],[Date]])=2023,B411,0)+IF(ROW(D410)=1,0,D410)</f>
        <v>4195</v>
      </c>
      <c r="E411">
        <f>MAX(Table8[Cumulative 2023 Q4])</f>
        <v>4195</v>
      </c>
      <c r="F411">
        <f>IF(YEAR(Table8[[#This Row],[Date]])=2024,B411,0)+IF(ROW(F410)=1,0,F410)</f>
        <v>5800</v>
      </c>
      <c r="G411">
        <f>MAX(Table8[Cumulative 2024])</f>
        <v>5831</v>
      </c>
      <c r="H411">
        <f>IF(YEAR(Table8[[#This Row],[Date]])=2025,B411,0)+IF(ROW(H410)=1,0,H410)</f>
        <v>0</v>
      </c>
      <c r="I411">
        <f>MAX(Table8[Cumulative 2025])</f>
        <v>1377</v>
      </c>
      <c r="J411">
        <f>IF(YEAR(Table8[[#This Row],[Date]])=2026,B411,0)+IF(ROW(J410)=1,0,J410)</f>
        <v>0</v>
      </c>
      <c r="K411">
        <f>MAX(Table8[Cumulative 2026])</f>
        <v>3102</v>
      </c>
    </row>
    <row r="412" spans="1:11" hidden="1" x14ac:dyDescent="0.25">
      <c r="A412" s="1">
        <v>45621</v>
      </c>
      <c r="B412">
        <f>SUM(_xlfn.CHOOSEROWS(Table8[[The Golden Compass]:[end]],ROW()-1))</f>
        <v>0</v>
      </c>
      <c r="C412">
        <f>Table8[[#This Row],[Cumulative 2023 Q4]]+Table8[[#This Row],[Cumulative 2024]]+Table8[[#This Row],[Cumulative 2025]]+Table8[[#This Row],[Cumulative 2026]]</f>
        <v>9995</v>
      </c>
      <c r="D412">
        <f>IF(YEAR(Table8[[#This Row],[Date]])=2023,B412,0)+IF(ROW(D411)=1,0,D411)</f>
        <v>4195</v>
      </c>
      <c r="E412">
        <f>MAX(Table8[Cumulative 2023 Q4])</f>
        <v>4195</v>
      </c>
      <c r="F412">
        <f>IF(YEAR(Table8[[#This Row],[Date]])=2024,B412,0)+IF(ROW(F411)=1,0,F411)</f>
        <v>5800</v>
      </c>
      <c r="G412">
        <f>MAX(Table8[Cumulative 2024])</f>
        <v>5831</v>
      </c>
      <c r="H412">
        <f>IF(YEAR(Table8[[#This Row],[Date]])=2025,B412,0)+IF(ROW(H411)=1,0,H411)</f>
        <v>0</v>
      </c>
      <c r="I412">
        <f>MAX(Table8[Cumulative 2025])</f>
        <v>1377</v>
      </c>
      <c r="J412">
        <f>IF(YEAR(Table8[[#This Row],[Date]])=2026,B412,0)+IF(ROW(J411)=1,0,J411)</f>
        <v>0</v>
      </c>
      <c r="K412">
        <f>MAX(Table8[Cumulative 2026])</f>
        <v>3102</v>
      </c>
    </row>
    <row r="413" spans="1:11" hidden="1" x14ac:dyDescent="0.25">
      <c r="A413" s="1">
        <v>45622</v>
      </c>
      <c r="B413">
        <f>SUM(_xlfn.CHOOSEROWS(Table8[[The Golden Compass]:[end]],ROW()-1))</f>
        <v>0</v>
      </c>
      <c r="C413">
        <f>Table8[[#This Row],[Cumulative 2023 Q4]]+Table8[[#This Row],[Cumulative 2024]]+Table8[[#This Row],[Cumulative 2025]]+Table8[[#This Row],[Cumulative 2026]]</f>
        <v>9995</v>
      </c>
      <c r="D413">
        <f>IF(YEAR(Table8[[#This Row],[Date]])=2023,B413,0)+IF(ROW(D412)=1,0,D412)</f>
        <v>4195</v>
      </c>
      <c r="E413">
        <f>MAX(Table8[Cumulative 2023 Q4])</f>
        <v>4195</v>
      </c>
      <c r="F413">
        <f>IF(YEAR(Table8[[#This Row],[Date]])=2024,B413,0)+IF(ROW(F412)=1,0,F412)</f>
        <v>5800</v>
      </c>
      <c r="G413">
        <f>MAX(Table8[Cumulative 2024])</f>
        <v>5831</v>
      </c>
      <c r="H413">
        <f>IF(YEAR(Table8[[#This Row],[Date]])=2025,B413,0)+IF(ROW(H412)=1,0,H412)</f>
        <v>0</v>
      </c>
      <c r="I413">
        <f>MAX(Table8[Cumulative 2025])</f>
        <v>1377</v>
      </c>
      <c r="J413">
        <f>IF(YEAR(Table8[[#This Row],[Date]])=2026,B413,0)+IF(ROW(J412)=1,0,J412)</f>
        <v>0</v>
      </c>
      <c r="K413">
        <f>MAX(Table8[Cumulative 2026])</f>
        <v>3102</v>
      </c>
    </row>
    <row r="414" spans="1:11" hidden="1" x14ac:dyDescent="0.25">
      <c r="A414" s="1">
        <v>45623</v>
      </c>
      <c r="B414">
        <f>SUM(_xlfn.CHOOSEROWS(Table8[[The Golden Compass]:[end]],ROW()-1))</f>
        <v>0</v>
      </c>
      <c r="C414">
        <f>Table8[[#This Row],[Cumulative 2023 Q4]]+Table8[[#This Row],[Cumulative 2024]]+Table8[[#This Row],[Cumulative 2025]]+Table8[[#This Row],[Cumulative 2026]]</f>
        <v>9995</v>
      </c>
      <c r="D414">
        <f>IF(YEAR(Table8[[#This Row],[Date]])=2023,B414,0)+IF(ROW(D413)=1,0,D413)</f>
        <v>4195</v>
      </c>
      <c r="E414">
        <f>MAX(Table8[Cumulative 2023 Q4])</f>
        <v>4195</v>
      </c>
      <c r="F414">
        <f>IF(YEAR(Table8[[#This Row],[Date]])=2024,B414,0)+IF(ROW(F413)=1,0,F413)</f>
        <v>5800</v>
      </c>
      <c r="G414">
        <f>MAX(Table8[Cumulative 2024])</f>
        <v>5831</v>
      </c>
      <c r="H414">
        <f>IF(YEAR(Table8[[#This Row],[Date]])=2025,B414,0)+IF(ROW(H413)=1,0,H413)</f>
        <v>0</v>
      </c>
      <c r="I414">
        <f>MAX(Table8[Cumulative 2025])</f>
        <v>1377</v>
      </c>
      <c r="J414">
        <f>IF(YEAR(Table8[[#This Row],[Date]])=2026,B414,0)+IF(ROW(J413)=1,0,J413)</f>
        <v>0</v>
      </c>
      <c r="K414">
        <f>MAX(Table8[Cumulative 2026])</f>
        <v>3102</v>
      </c>
    </row>
    <row r="415" spans="1:11" hidden="1" x14ac:dyDescent="0.25">
      <c r="A415" s="1">
        <v>45624</v>
      </c>
      <c r="B415">
        <f>SUM(_xlfn.CHOOSEROWS(Table8[[The Golden Compass]:[end]],ROW()-1))</f>
        <v>0</v>
      </c>
      <c r="C415">
        <f>Table8[[#This Row],[Cumulative 2023 Q4]]+Table8[[#This Row],[Cumulative 2024]]+Table8[[#This Row],[Cumulative 2025]]+Table8[[#This Row],[Cumulative 2026]]</f>
        <v>9995</v>
      </c>
      <c r="D415">
        <f>IF(YEAR(Table8[[#This Row],[Date]])=2023,B415,0)+IF(ROW(D414)=1,0,D414)</f>
        <v>4195</v>
      </c>
      <c r="E415">
        <f>MAX(Table8[Cumulative 2023 Q4])</f>
        <v>4195</v>
      </c>
      <c r="F415">
        <f>IF(YEAR(Table8[[#This Row],[Date]])=2024,B415,0)+IF(ROW(F414)=1,0,F414)</f>
        <v>5800</v>
      </c>
      <c r="G415">
        <f>MAX(Table8[Cumulative 2024])</f>
        <v>5831</v>
      </c>
      <c r="H415">
        <f>IF(YEAR(Table8[[#This Row],[Date]])=2025,B415,0)+IF(ROW(H414)=1,0,H414)</f>
        <v>0</v>
      </c>
      <c r="I415">
        <f>MAX(Table8[Cumulative 2025])</f>
        <v>1377</v>
      </c>
      <c r="J415">
        <f>IF(YEAR(Table8[[#This Row],[Date]])=2026,B415,0)+IF(ROW(J414)=1,0,J414)</f>
        <v>0</v>
      </c>
      <c r="K415">
        <f>MAX(Table8[Cumulative 2026])</f>
        <v>3102</v>
      </c>
    </row>
    <row r="416" spans="1:11" hidden="1" x14ac:dyDescent="0.25">
      <c r="A416" s="1">
        <v>45625</v>
      </c>
      <c r="B416">
        <f>SUM(_xlfn.CHOOSEROWS(Table8[[The Golden Compass]:[end]],ROW()-1))</f>
        <v>0</v>
      </c>
      <c r="C416">
        <f>Table8[[#This Row],[Cumulative 2023 Q4]]+Table8[[#This Row],[Cumulative 2024]]+Table8[[#This Row],[Cumulative 2025]]+Table8[[#This Row],[Cumulative 2026]]</f>
        <v>9995</v>
      </c>
      <c r="D416">
        <f>IF(YEAR(Table8[[#This Row],[Date]])=2023,B416,0)+IF(ROW(D415)=1,0,D415)</f>
        <v>4195</v>
      </c>
      <c r="E416">
        <f>MAX(Table8[Cumulative 2023 Q4])</f>
        <v>4195</v>
      </c>
      <c r="F416">
        <f>IF(YEAR(Table8[[#This Row],[Date]])=2024,B416,0)+IF(ROW(F415)=1,0,F415)</f>
        <v>5800</v>
      </c>
      <c r="G416">
        <f>MAX(Table8[Cumulative 2024])</f>
        <v>5831</v>
      </c>
      <c r="H416">
        <f>IF(YEAR(Table8[[#This Row],[Date]])=2025,B416,0)+IF(ROW(H415)=1,0,H415)</f>
        <v>0</v>
      </c>
      <c r="I416">
        <f>MAX(Table8[Cumulative 2025])</f>
        <v>1377</v>
      </c>
      <c r="J416">
        <f>IF(YEAR(Table8[[#This Row],[Date]])=2026,B416,0)+IF(ROW(J415)=1,0,J415)</f>
        <v>0</v>
      </c>
      <c r="K416">
        <f>MAX(Table8[Cumulative 2026])</f>
        <v>3102</v>
      </c>
    </row>
    <row r="417" spans="1:11" hidden="1" x14ac:dyDescent="0.25">
      <c r="A417" s="1">
        <v>45626</v>
      </c>
      <c r="B417">
        <f>SUM(_xlfn.CHOOSEROWS(Table8[[The Golden Compass]:[end]],ROW()-1))</f>
        <v>0</v>
      </c>
      <c r="C417">
        <f>Table8[[#This Row],[Cumulative 2023 Q4]]+Table8[[#This Row],[Cumulative 2024]]+Table8[[#This Row],[Cumulative 2025]]+Table8[[#This Row],[Cumulative 2026]]</f>
        <v>9995</v>
      </c>
      <c r="D417">
        <f>IF(YEAR(Table8[[#This Row],[Date]])=2023,B417,0)+IF(ROW(D416)=1,0,D416)</f>
        <v>4195</v>
      </c>
      <c r="E417">
        <f>MAX(Table8[Cumulative 2023 Q4])</f>
        <v>4195</v>
      </c>
      <c r="F417">
        <f>IF(YEAR(Table8[[#This Row],[Date]])=2024,B417,0)+IF(ROW(F416)=1,0,F416)</f>
        <v>5800</v>
      </c>
      <c r="G417">
        <f>MAX(Table8[Cumulative 2024])</f>
        <v>5831</v>
      </c>
      <c r="H417">
        <f>IF(YEAR(Table8[[#This Row],[Date]])=2025,B417,0)+IF(ROW(H416)=1,0,H416)</f>
        <v>0</v>
      </c>
      <c r="I417">
        <f>MAX(Table8[Cumulative 2025])</f>
        <v>1377</v>
      </c>
      <c r="J417">
        <f>IF(YEAR(Table8[[#This Row],[Date]])=2026,B417,0)+IF(ROW(J416)=1,0,J416)</f>
        <v>0</v>
      </c>
      <c r="K417">
        <f>MAX(Table8[Cumulative 2026])</f>
        <v>3102</v>
      </c>
    </row>
    <row r="418" spans="1:11" hidden="1" x14ac:dyDescent="0.25">
      <c r="A418" s="1">
        <v>45627</v>
      </c>
      <c r="B418">
        <f>SUM(_xlfn.CHOOSEROWS(Table8[[The Golden Compass]:[end]],ROW()-1))</f>
        <v>0</v>
      </c>
      <c r="C418">
        <f>Table8[[#This Row],[Cumulative 2023 Q4]]+Table8[[#This Row],[Cumulative 2024]]+Table8[[#This Row],[Cumulative 2025]]+Table8[[#This Row],[Cumulative 2026]]</f>
        <v>9995</v>
      </c>
      <c r="D418">
        <f>IF(YEAR(Table8[[#This Row],[Date]])=2023,B418,0)+IF(ROW(D417)=1,0,D417)</f>
        <v>4195</v>
      </c>
      <c r="E418">
        <f>MAX(Table8[Cumulative 2023 Q4])</f>
        <v>4195</v>
      </c>
      <c r="F418">
        <f>IF(YEAR(Table8[[#This Row],[Date]])=2024,B418,0)+IF(ROW(F417)=1,0,F417)</f>
        <v>5800</v>
      </c>
      <c r="G418">
        <f>MAX(Table8[Cumulative 2024])</f>
        <v>5831</v>
      </c>
      <c r="H418">
        <f>IF(YEAR(Table8[[#This Row],[Date]])=2025,B418,0)+IF(ROW(H417)=1,0,H417)</f>
        <v>0</v>
      </c>
      <c r="I418">
        <f>MAX(Table8[Cumulative 2025])</f>
        <v>1377</v>
      </c>
      <c r="J418">
        <f>IF(YEAR(Table8[[#This Row],[Date]])=2026,B418,0)+IF(ROW(J417)=1,0,J417)</f>
        <v>0</v>
      </c>
      <c r="K418">
        <f>MAX(Table8[Cumulative 2026])</f>
        <v>3102</v>
      </c>
    </row>
    <row r="419" spans="1:11" hidden="1" x14ac:dyDescent="0.25">
      <c r="A419" s="1">
        <v>45628</v>
      </c>
      <c r="B419">
        <f>SUM(_xlfn.CHOOSEROWS(Table8[[The Golden Compass]:[end]],ROW()-1))</f>
        <v>0</v>
      </c>
      <c r="C419">
        <f>Table8[[#This Row],[Cumulative 2023 Q4]]+Table8[[#This Row],[Cumulative 2024]]+Table8[[#This Row],[Cumulative 2025]]+Table8[[#This Row],[Cumulative 2026]]</f>
        <v>9995</v>
      </c>
      <c r="D419">
        <f>IF(YEAR(Table8[[#This Row],[Date]])=2023,B419,0)+IF(ROW(D418)=1,0,D418)</f>
        <v>4195</v>
      </c>
      <c r="E419">
        <f>MAX(Table8[Cumulative 2023 Q4])</f>
        <v>4195</v>
      </c>
      <c r="F419">
        <f>IF(YEAR(Table8[[#This Row],[Date]])=2024,B419,0)+IF(ROW(F418)=1,0,F418)</f>
        <v>5800</v>
      </c>
      <c r="G419">
        <f>MAX(Table8[Cumulative 2024])</f>
        <v>5831</v>
      </c>
      <c r="H419">
        <f>IF(YEAR(Table8[[#This Row],[Date]])=2025,B419,0)+IF(ROW(H418)=1,0,H418)</f>
        <v>0</v>
      </c>
      <c r="I419">
        <f>MAX(Table8[Cumulative 2025])</f>
        <v>1377</v>
      </c>
      <c r="J419">
        <f>IF(YEAR(Table8[[#This Row],[Date]])=2026,B419,0)+IF(ROW(J418)=1,0,J418)</f>
        <v>0</v>
      </c>
      <c r="K419">
        <f>MAX(Table8[Cumulative 2026])</f>
        <v>3102</v>
      </c>
    </row>
    <row r="420" spans="1:11" hidden="1" x14ac:dyDescent="0.25">
      <c r="A420" s="1">
        <v>45629</v>
      </c>
      <c r="B420">
        <f>SUM(_xlfn.CHOOSEROWS(Table8[[The Golden Compass]:[end]],ROW()-1))</f>
        <v>0</v>
      </c>
      <c r="C420">
        <f>Table8[[#This Row],[Cumulative 2023 Q4]]+Table8[[#This Row],[Cumulative 2024]]+Table8[[#This Row],[Cumulative 2025]]+Table8[[#This Row],[Cumulative 2026]]</f>
        <v>9995</v>
      </c>
      <c r="D420">
        <f>IF(YEAR(Table8[[#This Row],[Date]])=2023,B420,0)+IF(ROW(D419)=1,0,D419)</f>
        <v>4195</v>
      </c>
      <c r="E420">
        <f>MAX(Table8[Cumulative 2023 Q4])</f>
        <v>4195</v>
      </c>
      <c r="F420">
        <f>IF(YEAR(Table8[[#This Row],[Date]])=2024,B420,0)+IF(ROW(F419)=1,0,F419)</f>
        <v>5800</v>
      </c>
      <c r="G420">
        <f>MAX(Table8[Cumulative 2024])</f>
        <v>5831</v>
      </c>
      <c r="H420">
        <f>IF(YEAR(Table8[[#This Row],[Date]])=2025,B420,0)+IF(ROW(H419)=1,0,H419)</f>
        <v>0</v>
      </c>
      <c r="I420">
        <f>MAX(Table8[Cumulative 2025])</f>
        <v>1377</v>
      </c>
      <c r="J420">
        <f>IF(YEAR(Table8[[#This Row],[Date]])=2026,B420,0)+IF(ROW(J419)=1,0,J419)</f>
        <v>0</v>
      </c>
      <c r="K420">
        <f>MAX(Table8[Cumulative 2026])</f>
        <v>3102</v>
      </c>
    </row>
    <row r="421" spans="1:11" hidden="1" x14ac:dyDescent="0.25">
      <c r="A421" s="1">
        <v>45630</v>
      </c>
      <c r="B421">
        <f>SUM(_xlfn.CHOOSEROWS(Table8[[The Golden Compass]:[end]],ROW()-1))</f>
        <v>0</v>
      </c>
      <c r="C421">
        <f>Table8[[#This Row],[Cumulative 2023 Q4]]+Table8[[#This Row],[Cumulative 2024]]+Table8[[#This Row],[Cumulative 2025]]+Table8[[#This Row],[Cumulative 2026]]</f>
        <v>9995</v>
      </c>
      <c r="D421">
        <f>IF(YEAR(Table8[[#This Row],[Date]])=2023,B421,0)+IF(ROW(D420)=1,0,D420)</f>
        <v>4195</v>
      </c>
      <c r="E421">
        <f>MAX(Table8[Cumulative 2023 Q4])</f>
        <v>4195</v>
      </c>
      <c r="F421">
        <f>IF(YEAR(Table8[[#This Row],[Date]])=2024,B421,0)+IF(ROW(F420)=1,0,F420)</f>
        <v>5800</v>
      </c>
      <c r="G421">
        <f>MAX(Table8[Cumulative 2024])</f>
        <v>5831</v>
      </c>
      <c r="H421">
        <f>IF(YEAR(Table8[[#This Row],[Date]])=2025,B421,0)+IF(ROW(H420)=1,0,H420)</f>
        <v>0</v>
      </c>
      <c r="I421">
        <f>MAX(Table8[Cumulative 2025])</f>
        <v>1377</v>
      </c>
      <c r="J421">
        <f>IF(YEAR(Table8[[#This Row],[Date]])=2026,B421,0)+IF(ROW(J420)=1,0,J420)</f>
        <v>0</v>
      </c>
      <c r="K421">
        <f>MAX(Table8[Cumulative 2026])</f>
        <v>3102</v>
      </c>
    </row>
    <row r="422" spans="1:11" hidden="1" x14ac:dyDescent="0.25">
      <c r="A422" s="1">
        <v>45631</v>
      </c>
      <c r="B422">
        <f>SUM(_xlfn.CHOOSEROWS(Table8[[The Golden Compass]:[end]],ROW()-1))</f>
        <v>0</v>
      </c>
      <c r="C422">
        <f>Table8[[#This Row],[Cumulative 2023 Q4]]+Table8[[#This Row],[Cumulative 2024]]+Table8[[#This Row],[Cumulative 2025]]+Table8[[#This Row],[Cumulative 2026]]</f>
        <v>9995</v>
      </c>
      <c r="D422">
        <f>IF(YEAR(Table8[[#This Row],[Date]])=2023,B422,0)+IF(ROW(D421)=1,0,D421)</f>
        <v>4195</v>
      </c>
      <c r="E422">
        <f>MAX(Table8[Cumulative 2023 Q4])</f>
        <v>4195</v>
      </c>
      <c r="F422">
        <f>IF(YEAR(Table8[[#This Row],[Date]])=2024,B422,0)+IF(ROW(F421)=1,0,F421)</f>
        <v>5800</v>
      </c>
      <c r="G422">
        <f>MAX(Table8[Cumulative 2024])</f>
        <v>5831</v>
      </c>
      <c r="H422">
        <f>IF(YEAR(Table8[[#This Row],[Date]])=2025,B422,0)+IF(ROW(H421)=1,0,H421)</f>
        <v>0</v>
      </c>
      <c r="I422">
        <f>MAX(Table8[Cumulative 2025])</f>
        <v>1377</v>
      </c>
      <c r="J422">
        <f>IF(YEAR(Table8[[#This Row],[Date]])=2026,B422,0)+IF(ROW(J421)=1,0,J421)</f>
        <v>0</v>
      </c>
      <c r="K422">
        <f>MAX(Table8[Cumulative 2026])</f>
        <v>3102</v>
      </c>
    </row>
    <row r="423" spans="1:11" hidden="1" x14ac:dyDescent="0.25">
      <c r="A423" s="1">
        <v>45632</v>
      </c>
      <c r="B423">
        <f>SUM(_xlfn.CHOOSEROWS(Table8[[The Golden Compass]:[end]],ROW()-1))</f>
        <v>0</v>
      </c>
      <c r="C423">
        <f>Table8[[#This Row],[Cumulative 2023 Q4]]+Table8[[#This Row],[Cumulative 2024]]+Table8[[#This Row],[Cumulative 2025]]+Table8[[#This Row],[Cumulative 2026]]</f>
        <v>9995</v>
      </c>
      <c r="D423">
        <f>IF(YEAR(Table8[[#This Row],[Date]])=2023,B423,0)+IF(ROW(D422)=1,0,D422)</f>
        <v>4195</v>
      </c>
      <c r="E423">
        <f>MAX(Table8[Cumulative 2023 Q4])</f>
        <v>4195</v>
      </c>
      <c r="F423">
        <f>IF(YEAR(Table8[[#This Row],[Date]])=2024,B423,0)+IF(ROW(F422)=1,0,F422)</f>
        <v>5800</v>
      </c>
      <c r="G423">
        <f>MAX(Table8[Cumulative 2024])</f>
        <v>5831</v>
      </c>
      <c r="H423">
        <f>IF(YEAR(Table8[[#This Row],[Date]])=2025,B423,0)+IF(ROW(H422)=1,0,H422)</f>
        <v>0</v>
      </c>
      <c r="I423">
        <f>MAX(Table8[Cumulative 2025])</f>
        <v>1377</v>
      </c>
      <c r="J423">
        <f>IF(YEAR(Table8[[#This Row],[Date]])=2026,B423,0)+IF(ROW(J422)=1,0,J422)</f>
        <v>0</v>
      </c>
      <c r="K423">
        <f>MAX(Table8[Cumulative 2026])</f>
        <v>3102</v>
      </c>
    </row>
    <row r="424" spans="1:11" hidden="1" x14ac:dyDescent="0.25">
      <c r="A424" s="1">
        <v>45633</v>
      </c>
      <c r="B424">
        <f>SUM(_xlfn.CHOOSEROWS(Table8[[The Golden Compass]:[end]],ROW()-1))</f>
        <v>0</v>
      </c>
      <c r="C424">
        <f>Table8[[#This Row],[Cumulative 2023 Q4]]+Table8[[#This Row],[Cumulative 2024]]+Table8[[#This Row],[Cumulative 2025]]+Table8[[#This Row],[Cumulative 2026]]</f>
        <v>9995</v>
      </c>
      <c r="D424">
        <f>IF(YEAR(Table8[[#This Row],[Date]])=2023,B424,0)+IF(ROW(D423)=1,0,D423)</f>
        <v>4195</v>
      </c>
      <c r="E424">
        <f>MAX(Table8[Cumulative 2023 Q4])</f>
        <v>4195</v>
      </c>
      <c r="F424">
        <f>IF(YEAR(Table8[[#This Row],[Date]])=2024,B424,0)+IF(ROW(F423)=1,0,F423)</f>
        <v>5800</v>
      </c>
      <c r="G424">
        <f>MAX(Table8[Cumulative 2024])</f>
        <v>5831</v>
      </c>
      <c r="H424">
        <f>IF(YEAR(Table8[[#This Row],[Date]])=2025,B424,0)+IF(ROW(H423)=1,0,H423)</f>
        <v>0</v>
      </c>
      <c r="I424">
        <f>MAX(Table8[Cumulative 2025])</f>
        <v>1377</v>
      </c>
      <c r="J424">
        <f>IF(YEAR(Table8[[#This Row],[Date]])=2026,B424,0)+IF(ROW(J423)=1,0,J423)</f>
        <v>0</v>
      </c>
      <c r="K424">
        <f>MAX(Table8[Cumulative 2026])</f>
        <v>3102</v>
      </c>
    </row>
    <row r="425" spans="1:11" hidden="1" x14ac:dyDescent="0.25">
      <c r="A425" s="1">
        <v>45634</v>
      </c>
      <c r="B425">
        <f>SUM(_xlfn.CHOOSEROWS(Table8[[The Golden Compass]:[end]],ROW()-1))</f>
        <v>0</v>
      </c>
      <c r="C425">
        <f>Table8[[#This Row],[Cumulative 2023 Q4]]+Table8[[#This Row],[Cumulative 2024]]+Table8[[#This Row],[Cumulative 2025]]+Table8[[#This Row],[Cumulative 2026]]</f>
        <v>9995</v>
      </c>
      <c r="D425">
        <f>IF(YEAR(Table8[[#This Row],[Date]])=2023,B425,0)+IF(ROW(D424)=1,0,D424)</f>
        <v>4195</v>
      </c>
      <c r="E425">
        <f>MAX(Table8[Cumulative 2023 Q4])</f>
        <v>4195</v>
      </c>
      <c r="F425">
        <f>IF(YEAR(Table8[[#This Row],[Date]])=2024,B425,0)+IF(ROW(F424)=1,0,F424)</f>
        <v>5800</v>
      </c>
      <c r="G425">
        <f>MAX(Table8[Cumulative 2024])</f>
        <v>5831</v>
      </c>
      <c r="H425">
        <f>IF(YEAR(Table8[[#This Row],[Date]])=2025,B425,0)+IF(ROW(H424)=1,0,H424)</f>
        <v>0</v>
      </c>
      <c r="I425">
        <f>MAX(Table8[Cumulative 2025])</f>
        <v>1377</v>
      </c>
      <c r="J425">
        <f>IF(YEAR(Table8[[#This Row],[Date]])=2026,B425,0)+IF(ROW(J424)=1,0,J424)</f>
        <v>0</v>
      </c>
      <c r="K425">
        <f>MAX(Table8[Cumulative 2026])</f>
        <v>3102</v>
      </c>
    </row>
    <row r="426" spans="1:11" hidden="1" x14ac:dyDescent="0.25">
      <c r="A426" s="1">
        <v>45635</v>
      </c>
      <c r="B426">
        <f>SUM(_xlfn.CHOOSEROWS(Table8[[The Golden Compass]:[end]],ROW()-1))</f>
        <v>0</v>
      </c>
      <c r="C426">
        <f>Table8[[#This Row],[Cumulative 2023 Q4]]+Table8[[#This Row],[Cumulative 2024]]+Table8[[#This Row],[Cumulative 2025]]+Table8[[#This Row],[Cumulative 2026]]</f>
        <v>9995</v>
      </c>
      <c r="D426">
        <f>IF(YEAR(Table8[[#This Row],[Date]])=2023,B426,0)+IF(ROW(D425)=1,0,D425)</f>
        <v>4195</v>
      </c>
      <c r="E426">
        <f>MAX(Table8[Cumulative 2023 Q4])</f>
        <v>4195</v>
      </c>
      <c r="F426">
        <f>IF(YEAR(Table8[[#This Row],[Date]])=2024,B426,0)+IF(ROW(F425)=1,0,F425)</f>
        <v>5800</v>
      </c>
      <c r="G426">
        <f>MAX(Table8[Cumulative 2024])</f>
        <v>5831</v>
      </c>
      <c r="H426">
        <f>IF(YEAR(Table8[[#This Row],[Date]])=2025,B426,0)+IF(ROW(H425)=1,0,H425)</f>
        <v>0</v>
      </c>
      <c r="I426">
        <f>MAX(Table8[Cumulative 2025])</f>
        <v>1377</v>
      </c>
      <c r="J426">
        <f>IF(YEAR(Table8[[#This Row],[Date]])=2026,B426,0)+IF(ROW(J425)=1,0,J425)</f>
        <v>0</v>
      </c>
      <c r="K426">
        <f>MAX(Table8[Cumulative 2026])</f>
        <v>3102</v>
      </c>
    </row>
    <row r="427" spans="1:11" hidden="1" x14ac:dyDescent="0.25">
      <c r="A427" s="1">
        <v>45636</v>
      </c>
      <c r="B427">
        <f>SUM(_xlfn.CHOOSEROWS(Table8[[The Golden Compass]:[end]],ROW()-1))</f>
        <v>0</v>
      </c>
      <c r="C427">
        <f>Table8[[#This Row],[Cumulative 2023 Q4]]+Table8[[#This Row],[Cumulative 2024]]+Table8[[#This Row],[Cumulative 2025]]+Table8[[#This Row],[Cumulative 2026]]</f>
        <v>9995</v>
      </c>
      <c r="D427">
        <f>IF(YEAR(Table8[[#This Row],[Date]])=2023,B427,0)+IF(ROW(D426)=1,0,D426)</f>
        <v>4195</v>
      </c>
      <c r="E427">
        <f>MAX(Table8[Cumulative 2023 Q4])</f>
        <v>4195</v>
      </c>
      <c r="F427">
        <f>IF(YEAR(Table8[[#This Row],[Date]])=2024,B427,0)+IF(ROW(F426)=1,0,F426)</f>
        <v>5800</v>
      </c>
      <c r="G427">
        <f>MAX(Table8[Cumulative 2024])</f>
        <v>5831</v>
      </c>
      <c r="H427">
        <f>IF(YEAR(Table8[[#This Row],[Date]])=2025,B427,0)+IF(ROW(H426)=1,0,H426)</f>
        <v>0</v>
      </c>
      <c r="I427">
        <f>MAX(Table8[Cumulative 2025])</f>
        <v>1377</v>
      </c>
      <c r="J427">
        <f>IF(YEAR(Table8[[#This Row],[Date]])=2026,B427,0)+IF(ROW(J426)=1,0,J426)</f>
        <v>0</v>
      </c>
      <c r="K427">
        <f>MAX(Table8[Cumulative 2026])</f>
        <v>3102</v>
      </c>
    </row>
    <row r="428" spans="1:11" hidden="1" x14ac:dyDescent="0.25">
      <c r="A428" s="1">
        <v>45637</v>
      </c>
      <c r="B428">
        <f>SUM(_xlfn.CHOOSEROWS(Table8[[The Golden Compass]:[end]],ROW()-1))</f>
        <v>0</v>
      </c>
      <c r="C428">
        <f>Table8[[#This Row],[Cumulative 2023 Q4]]+Table8[[#This Row],[Cumulative 2024]]+Table8[[#This Row],[Cumulative 2025]]+Table8[[#This Row],[Cumulative 2026]]</f>
        <v>9995</v>
      </c>
      <c r="D428">
        <f>IF(YEAR(Table8[[#This Row],[Date]])=2023,B428,0)+IF(ROW(D427)=1,0,D427)</f>
        <v>4195</v>
      </c>
      <c r="E428">
        <f>MAX(Table8[Cumulative 2023 Q4])</f>
        <v>4195</v>
      </c>
      <c r="F428">
        <f>IF(YEAR(Table8[[#This Row],[Date]])=2024,B428,0)+IF(ROW(F427)=1,0,F427)</f>
        <v>5800</v>
      </c>
      <c r="G428">
        <f>MAX(Table8[Cumulative 2024])</f>
        <v>5831</v>
      </c>
      <c r="H428">
        <f>IF(YEAR(Table8[[#This Row],[Date]])=2025,B428,0)+IF(ROW(H427)=1,0,H427)</f>
        <v>0</v>
      </c>
      <c r="I428">
        <f>MAX(Table8[Cumulative 2025])</f>
        <v>1377</v>
      </c>
      <c r="J428">
        <f>IF(YEAR(Table8[[#This Row],[Date]])=2026,B428,0)+IF(ROW(J427)=1,0,J427)</f>
        <v>0</v>
      </c>
      <c r="K428">
        <f>MAX(Table8[Cumulative 2026])</f>
        <v>3102</v>
      </c>
    </row>
    <row r="429" spans="1:11" hidden="1" x14ac:dyDescent="0.25">
      <c r="A429" s="1">
        <v>45638</v>
      </c>
      <c r="B429">
        <f>SUM(_xlfn.CHOOSEROWS(Table8[[The Golden Compass]:[end]],ROW()-1))</f>
        <v>0</v>
      </c>
      <c r="C429">
        <f>Table8[[#This Row],[Cumulative 2023 Q4]]+Table8[[#This Row],[Cumulative 2024]]+Table8[[#This Row],[Cumulative 2025]]+Table8[[#This Row],[Cumulative 2026]]</f>
        <v>9995</v>
      </c>
      <c r="D429">
        <f>IF(YEAR(Table8[[#This Row],[Date]])=2023,B429,0)+IF(ROW(D428)=1,0,D428)</f>
        <v>4195</v>
      </c>
      <c r="E429">
        <f>MAX(Table8[Cumulative 2023 Q4])</f>
        <v>4195</v>
      </c>
      <c r="F429">
        <f>IF(YEAR(Table8[[#This Row],[Date]])=2024,B429,0)+IF(ROW(F428)=1,0,F428)</f>
        <v>5800</v>
      </c>
      <c r="G429">
        <f>MAX(Table8[Cumulative 2024])</f>
        <v>5831</v>
      </c>
      <c r="H429">
        <f>IF(YEAR(Table8[[#This Row],[Date]])=2025,B429,0)+IF(ROW(H428)=1,0,H428)</f>
        <v>0</v>
      </c>
      <c r="I429">
        <f>MAX(Table8[Cumulative 2025])</f>
        <v>1377</v>
      </c>
      <c r="J429">
        <f>IF(YEAR(Table8[[#This Row],[Date]])=2026,B429,0)+IF(ROW(J428)=1,0,J428)</f>
        <v>0</v>
      </c>
      <c r="K429">
        <f>MAX(Table8[Cumulative 2026])</f>
        <v>3102</v>
      </c>
    </row>
    <row r="430" spans="1:11" hidden="1" x14ac:dyDescent="0.25">
      <c r="A430" s="1">
        <v>45639</v>
      </c>
      <c r="B430">
        <f>SUM(_xlfn.CHOOSEROWS(Table8[[The Golden Compass]:[end]],ROW()-1))</f>
        <v>0</v>
      </c>
      <c r="C430">
        <f>Table8[[#This Row],[Cumulative 2023 Q4]]+Table8[[#This Row],[Cumulative 2024]]+Table8[[#This Row],[Cumulative 2025]]+Table8[[#This Row],[Cumulative 2026]]</f>
        <v>9995</v>
      </c>
      <c r="D430">
        <f>IF(YEAR(Table8[[#This Row],[Date]])=2023,B430,0)+IF(ROW(D429)=1,0,D429)</f>
        <v>4195</v>
      </c>
      <c r="E430">
        <f>MAX(Table8[Cumulative 2023 Q4])</f>
        <v>4195</v>
      </c>
      <c r="F430">
        <f>IF(YEAR(Table8[[#This Row],[Date]])=2024,B430,0)+IF(ROW(F429)=1,0,F429)</f>
        <v>5800</v>
      </c>
      <c r="G430">
        <f>MAX(Table8[Cumulative 2024])</f>
        <v>5831</v>
      </c>
      <c r="H430">
        <f>IF(YEAR(Table8[[#This Row],[Date]])=2025,B430,0)+IF(ROW(H429)=1,0,H429)</f>
        <v>0</v>
      </c>
      <c r="I430">
        <f>MAX(Table8[Cumulative 2025])</f>
        <v>1377</v>
      </c>
      <c r="J430">
        <f>IF(YEAR(Table8[[#This Row],[Date]])=2026,B430,0)+IF(ROW(J429)=1,0,J429)</f>
        <v>0</v>
      </c>
      <c r="K430">
        <f>MAX(Table8[Cumulative 2026])</f>
        <v>3102</v>
      </c>
    </row>
    <row r="431" spans="1:11" hidden="1" x14ac:dyDescent="0.25">
      <c r="A431" s="1">
        <v>45640</v>
      </c>
      <c r="B431">
        <f>SUM(_xlfn.CHOOSEROWS(Table8[[The Golden Compass]:[end]],ROW()-1))</f>
        <v>0</v>
      </c>
      <c r="C431">
        <f>Table8[[#This Row],[Cumulative 2023 Q4]]+Table8[[#This Row],[Cumulative 2024]]+Table8[[#This Row],[Cumulative 2025]]+Table8[[#This Row],[Cumulative 2026]]</f>
        <v>9995</v>
      </c>
      <c r="D431">
        <f>IF(YEAR(Table8[[#This Row],[Date]])=2023,B431,0)+IF(ROW(D430)=1,0,D430)</f>
        <v>4195</v>
      </c>
      <c r="E431">
        <f>MAX(Table8[Cumulative 2023 Q4])</f>
        <v>4195</v>
      </c>
      <c r="F431">
        <f>IF(YEAR(Table8[[#This Row],[Date]])=2024,B431,0)+IF(ROW(F430)=1,0,F430)</f>
        <v>5800</v>
      </c>
      <c r="G431">
        <f>MAX(Table8[Cumulative 2024])</f>
        <v>5831</v>
      </c>
      <c r="H431">
        <f>IF(YEAR(Table8[[#This Row],[Date]])=2025,B431,0)+IF(ROW(H430)=1,0,H430)</f>
        <v>0</v>
      </c>
      <c r="I431">
        <f>MAX(Table8[Cumulative 2025])</f>
        <v>1377</v>
      </c>
      <c r="J431">
        <f>IF(YEAR(Table8[[#This Row],[Date]])=2026,B431,0)+IF(ROW(J430)=1,0,J430)</f>
        <v>0</v>
      </c>
      <c r="K431">
        <f>MAX(Table8[Cumulative 2026])</f>
        <v>3102</v>
      </c>
    </row>
    <row r="432" spans="1:11" hidden="1" x14ac:dyDescent="0.25">
      <c r="A432" s="1">
        <v>45641</v>
      </c>
      <c r="B432">
        <f>SUM(_xlfn.CHOOSEROWS(Table8[[The Golden Compass]:[end]],ROW()-1))</f>
        <v>0</v>
      </c>
      <c r="C432">
        <f>Table8[[#This Row],[Cumulative 2023 Q4]]+Table8[[#This Row],[Cumulative 2024]]+Table8[[#This Row],[Cumulative 2025]]+Table8[[#This Row],[Cumulative 2026]]</f>
        <v>9995</v>
      </c>
      <c r="D432">
        <f>IF(YEAR(Table8[[#This Row],[Date]])=2023,B432,0)+IF(ROW(D431)=1,0,D431)</f>
        <v>4195</v>
      </c>
      <c r="E432">
        <f>MAX(Table8[Cumulative 2023 Q4])</f>
        <v>4195</v>
      </c>
      <c r="F432">
        <f>IF(YEAR(Table8[[#This Row],[Date]])=2024,B432,0)+IF(ROW(F431)=1,0,F431)</f>
        <v>5800</v>
      </c>
      <c r="G432">
        <f>MAX(Table8[Cumulative 2024])</f>
        <v>5831</v>
      </c>
      <c r="H432">
        <f>IF(YEAR(Table8[[#This Row],[Date]])=2025,B432,0)+IF(ROW(H431)=1,0,H431)</f>
        <v>0</v>
      </c>
      <c r="I432">
        <f>MAX(Table8[Cumulative 2025])</f>
        <v>1377</v>
      </c>
      <c r="J432">
        <f>IF(YEAR(Table8[[#This Row],[Date]])=2026,B432,0)+IF(ROW(J431)=1,0,J431)</f>
        <v>0</v>
      </c>
      <c r="K432">
        <f>MAX(Table8[Cumulative 2026])</f>
        <v>3102</v>
      </c>
    </row>
    <row r="433" spans="1:47" hidden="1" x14ac:dyDescent="0.25">
      <c r="A433" s="1">
        <v>45642</v>
      </c>
      <c r="B433">
        <f>SUM(_xlfn.CHOOSEROWS(Table8[[The Golden Compass]:[end]],ROW()-1))</f>
        <v>0</v>
      </c>
      <c r="C433">
        <f>Table8[[#This Row],[Cumulative 2023 Q4]]+Table8[[#This Row],[Cumulative 2024]]+Table8[[#This Row],[Cumulative 2025]]+Table8[[#This Row],[Cumulative 2026]]</f>
        <v>9995</v>
      </c>
      <c r="D433">
        <f>IF(YEAR(Table8[[#This Row],[Date]])=2023,B433,0)+IF(ROW(D432)=1,0,D432)</f>
        <v>4195</v>
      </c>
      <c r="E433">
        <f>MAX(Table8[Cumulative 2023 Q4])</f>
        <v>4195</v>
      </c>
      <c r="F433">
        <f>IF(YEAR(Table8[[#This Row],[Date]])=2024,B433,0)+IF(ROW(F432)=1,0,F432)</f>
        <v>5800</v>
      </c>
      <c r="G433">
        <f>MAX(Table8[Cumulative 2024])</f>
        <v>5831</v>
      </c>
      <c r="H433">
        <f>IF(YEAR(Table8[[#This Row],[Date]])=2025,B433,0)+IF(ROW(H432)=1,0,H432)</f>
        <v>0</v>
      </c>
      <c r="I433">
        <f>MAX(Table8[Cumulative 2025])</f>
        <v>1377</v>
      </c>
      <c r="J433">
        <f>IF(YEAR(Table8[[#This Row],[Date]])=2026,B433,0)+IF(ROW(J432)=1,0,J432)</f>
        <v>0</v>
      </c>
      <c r="K433">
        <f>MAX(Table8[Cumulative 2026])</f>
        <v>3102</v>
      </c>
    </row>
    <row r="434" spans="1:47" hidden="1" x14ac:dyDescent="0.25">
      <c r="A434" s="1">
        <v>45643</v>
      </c>
      <c r="B434">
        <f>SUM(_xlfn.CHOOSEROWS(Table8[[The Golden Compass]:[end]],ROW()-1))</f>
        <v>0</v>
      </c>
      <c r="C434">
        <f>Table8[[#This Row],[Cumulative 2023 Q4]]+Table8[[#This Row],[Cumulative 2024]]+Table8[[#This Row],[Cumulative 2025]]+Table8[[#This Row],[Cumulative 2026]]</f>
        <v>9995</v>
      </c>
      <c r="D434">
        <f>IF(YEAR(Table8[[#This Row],[Date]])=2023,B434,0)+IF(ROW(D433)=1,0,D433)</f>
        <v>4195</v>
      </c>
      <c r="E434">
        <f>MAX(Table8[Cumulative 2023 Q4])</f>
        <v>4195</v>
      </c>
      <c r="F434">
        <f>IF(YEAR(Table8[[#This Row],[Date]])=2024,B434,0)+IF(ROW(F433)=1,0,F433)</f>
        <v>5800</v>
      </c>
      <c r="G434">
        <f>MAX(Table8[Cumulative 2024])</f>
        <v>5831</v>
      </c>
      <c r="H434">
        <f>IF(YEAR(Table8[[#This Row],[Date]])=2025,B434,0)+IF(ROW(H433)=1,0,H433)</f>
        <v>0</v>
      </c>
      <c r="I434">
        <f>MAX(Table8[Cumulative 2025])</f>
        <v>1377</v>
      </c>
      <c r="J434">
        <f>IF(YEAR(Table8[[#This Row],[Date]])=2026,B434,0)+IF(ROW(J433)=1,0,J433)</f>
        <v>0</v>
      </c>
      <c r="K434">
        <f>MAX(Table8[Cumulative 2026])</f>
        <v>3102</v>
      </c>
    </row>
    <row r="435" spans="1:47" hidden="1" x14ac:dyDescent="0.25">
      <c r="A435" s="1">
        <v>45644</v>
      </c>
      <c r="B435">
        <f>SUM(_xlfn.CHOOSEROWS(Table8[[The Golden Compass]:[end]],ROW()-1))</f>
        <v>0</v>
      </c>
      <c r="C435">
        <f>Table8[[#This Row],[Cumulative 2023 Q4]]+Table8[[#This Row],[Cumulative 2024]]+Table8[[#This Row],[Cumulative 2025]]+Table8[[#This Row],[Cumulative 2026]]</f>
        <v>9995</v>
      </c>
      <c r="D435">
        <f>IF(YEAR(Table8[[#This Row],[Date]])=2023,B435,0)+IF(ROW(D434)=1,0,D434)</f>
        <v>4195</v>
      </c>
      <c r="E435">
        <f>MAX(Table8[Cumulative 2023 Q4])</f>
        <v>4195</v>
      </c>
      <c r="F435">
        <f>IF(YEAR(Table8[[#This Row],[Date]])=2024,B435,0)+IF(ROW(F434)=1,0,F434)</f>
        <v>5800</v>
      </c>
      <c r="G435">
        <f>MAX(Table8[Cumulative 2024])</f>
        <v>5831</v>
      </c>
      <c r="H435">
        <f>IF(YEAR(Table8[[#This Row],[Date]])=2025,B435,0)+IF(ROW(H434)=1,0,H434)</f>
        <v>0</v>
      </c>
      <c r="I435">
        <f>MAX(Table8[Cumulative 2025])</f>
        <v>1377</v>
      </c>
      <c r="J435">
        <f>IF(YEAR(Table8[[#This Row],[Date]])=2026,B435,0)+IF(ROW(J434)=1,0,J434)</f>
        <v>0</v>
      </c>
      <c r="K435">
        <f>MAX(Table8[Cumulative 2026])</f>
        <v>3102</v>
      </c>
    </row>
    <row r="436" spans="1:47" hidden="1" x14ac:dyDescent="0.25">
      <c r="A436" s="1">
        <v>45645</v>
      </c>
      <c r="B436">
        <f>SUM(_xlfn.CHOOSEROWS(Table8[[The Golden Compass]:[end]],ROW()-1))</f>
        <v>0</v>
      </c>
      <c r="C436">
        <f>Table8[[#This Row],[Cumulative 2023 Q4]]+Table8[[#This Row],[Cumulative 2024]]+Table8[[#This Row],[Cumulative 2025]]+Table8[[#This Row],[Cumulative 2026]]</f>
        <v>9995</v>
      </c>
      <c r="D436">
        <f>IF(YEAR(Table8[[#This Row],[Date]])=2023,B436,0)+IF(ROW(D435)=1,0,D435)</f>
        <v>4195</v>
      </c>
      <c r="E436">
        <f>MAX(Table8[Cumulative 2023 Q4])</f>
        <v>4195</v>
      </c>
      <c r="F436">
        <f>IF(YEAR(Table8[[#This Row],[Date]])=2024,B436,0)+IF(ROW(F435)=1,0,F435)</f>
        <v>5800</v>
      </c>
      <c r="G436">
        <f>MAX(Table8[Cumulative 2024])</f>
        <v>5831</v>
      </c>
      <c r="H436">
        <f>IF(YEAR(Table8[[#This Row],[Date]])=2025,B436,0)+IF(ROW(H435)=1,0,H435)</f>
        <v>0</v>
      </c>
      <c r="I436">
        <f>MAX(Table8[Cumulative 2025])</f>
        <v>1377</v>
      </c>
      <c r="J436">
        <f>IF(YEAR(Table8[[#This Row],[Date]])=2026,B436,0)+IF(ROW(J435)=1,0,J435)</f>
        <v>0</v>
      </c>
      <c r="K436">
        <f>MAX(Table8[Cumulative 2026])</f>
        <v>3102</v>
      </c>
    </row>
    <row r="437" spans="1:47" hidden="1" x14ac:dyDescent="0.25">
      <c r="A437" s="1">
        <v>45646</v>
      </c>
      <c r="B437">
        <f>SUM(_xlfn.CHOOSEROWS(Table8[[The Golden Compass]:[end]],ROW()-1))</f>
        <v>0</v>
      </c>
      <c r="C437">
        <f>Table8[[#This Row],[Cumulative 2023 Q4]]+Table8[[#This Row],[Cumulative 2024]]+Table8[[#This Row],[Cumulative 2025]]+Table8[[#This Row],[Cumulative 2026]]</f>
        <v>9995</v>
      </c>
      <c r="D437">
        <f>IF(YEAR(Table8[[#This Row],[Date]])=2023,B437,0)+IF(ROW(D436)=1,0,D436)</f>
        <v>4195</v>
      </c>
      <c r="E437">
        <f>MAX(Table8[Cumulative 2023 Q4])</f>
        <v>4195</v>
      </c>
      <c r="F437">
        <f>IF(YEAR(Table8[[#This Row],[Date]])=2024,B437,0)+IF(ROW(F436)=1,0,F436)</f>
        <v>5800</v>
      </c>
      <c r="G437">
        <f>MAX(Table8[Cumulative 2024])</f>
        <v>5831</v>
      </c>
      <c r="H437">
        <f>IF(YEAR(Table8[[#This Row],[Date]])=2025,B437,0)+IF(ROW(H436)=1,0,H436)</f>
        <v>0</v>
      </c>
      <c r="I437">
        <f>MAX(Table8[Cumulative 2025])</f>
        <v>1377</v>
      </c>
      <c r="J437">
        <f>IF(YEAR(Table8[[#This Row],[Date]])=2026,B437,0)+IF(ROW(J436)=1,0,J436)</f>
        <v>0</v>
      </c>
      <c r="K437">
        <f>MAX(Table8[Cumulative 2026])</f>
        <v>3102</v>
      </c>
    </row>
    <row r="438" spans="1:47" hidden="1" x14ac:dyDescent="0.25">
      <c r="A438" s="1">
        <v>45647</v>
      </c>
      <c r="B438">
        <f>SUM(_xlfn.CHOOSEROWS(Table8[[The Golden Compass]:[end]],ROW()-1))</f>
        <v>0</v>
      </c>
      <c r="C438">
        <f>Table8[[#This Row],[Cumulative 2023 Q4]]+Table8[[#This Row],[Cumulative 2024]]+Table8[[#This Row],[Cumulative 2025]]+Table8[[#This Row],[Cumulative 2026]]</f>
        <v>9995</v>
      </c>
      <c r="D438">
        <f>IF(YEAR(Table8[[#This Row],[Date]])=2023,B438,0)+IF(ROW(D437)=1,0,D437)</f>
        <v>4195</v>
      </c>
      <c r="E438">
        <f>MAX(Table8[Cumulative 2023 Q4])</f>
        <v>4195</v>
      </c>
      <c r="F438">
        <f>IF(YEAR(Table8[[#This Row],[Date]])=2024,B438,0)+IF(ROW(F437)=1,0,F437)</f>
        <v>5800</v>
      </c>
      <c r="G438">
        <f>MAX(Table8[Cumulative 2024])</f>
        <v>5831</v>
      </c>
      <c r="H438">
        <f>IF(YEAR(Table8[[#This Row],[Date]])=2025,B438,0)+IF(ROW(H437)=1,0,H437)</f>
        <v>0</v>
      </c>
      <c r="I438">
        <f>MAX(Table8[Cumulative 2025])</f>
        <v>1377</v>
      </c>
      <c r="J438">
        <f>IF(YEAR(Table8[[#This Row],[Date]])=2026,B438,0)+IF(ROW(J437)=1,0,J437)</f>
        <v>0</v>
      </c>
      <c r="K438">
        <f>MAX(Table8[Cumulative 2026])</f>
        <v>3102</v>
      </c>
    </row>
    <row r="439" spans="1:47" hidden="1" x14ac:dyDescent="0.25">
      <c r="A439" s="1">
        <v>45648</v>
      </c>
      <c r="B439">
        <f>SUM(_xlfn.CHOOSEROWS(Table8[[The Golden Compass]:[end]],ROW()-1))</f>
        <v>0</v>
      </c>
      <c r="C439">
        <f>Table8[[#This Row],[Cumulative 2023 Q4]]+Table8[[#This Row],[Cumulative 2024]]+Table8[[#This Row],[Cumulative 2025]]+Table8[[#This Row],[Cumulative 2026]]</f>
        <v>9995</v>
      </c>
      <c r="D439">
        <f>IF(YEAR(Table8[[#This Row],[Date]])=2023,B439,0)+IF(ROW(D438)=1,0,D438)</f>
        <v>4195</v>
      </c>
      <c r="E439">
        <f>MAX(Table8[Cumulative 2023 Q4])</f>
        <v>4195</v>
      </c>
      <c r="F439">
        <f>IF(YEAR(Table8[[#This Row],[Date]])=2024,B439,0)+IF(ROW(F438)=1,0,F438)</f>
        <v>5800</v>
      </c>
      <c r="G439">
        <f>MAX(Table8[Cumulative 2024])</f>
        <v>5831</v>
      </c>
      <c r="H439">
        <f>IF(YEAR(Table8[[#This Row],[Date]])=2025,B439,0)+IF(ROW(H438)=1,0,H438)</f>
        <v>0</v>
      </c>
      <c r="I439">
        <f>MAX(Table8[Cumulative 2025])</f>
        <v>1377</v>
      </c>
      <c r="J439">
        <f>IF(YEAR(Table8[[#This Row],[Date]])=2026,B439,0)+IF(ROW(J438)=1,0,J438)</f>
        <v>0</v>
      </c>
      <c r="K439">
        <f>MAX(Table8[Cumulative 2026])</f>
        <v>3102</v>
      </c>
    </row>
    <row r="440" spans="1:47" hidden="1" x14ac:dyDescent="0.25">
      <c r="A440" s="1">
        <v>45649</v>
      </c>
      <c r="B440">
        <f>SUM(_xlfn.CHOOSEROWS(Table8[[The Golden Compass]:[end]],ROW()-1))</f>
        <v>0</v>
      </c>
      <c r="C440">
        <f>Table8[[#This Row],[Cumulative 2023 Q4]]+Table8[[#This Row],[Cumulative 2024]]+Table8[[#This Row],[Cumulative 2025]]+Table8[[#This Row],[Cumulative 2026]]</f>
        <v>9995</v>
      </c>
      <c r="D440">
        <f>IF(YEAR(Table8[[#This Row],[Date]])=2023,B440,0)+IF(ROW(D439)=1,0,D439)</f>
        <v>4195</v>
      </c>
      <c r="E440">
        <f>MAX(Table8[Cumulative 2023 Q4])</f>
        <v>4195</v>
      </c>
      <c r="F440">
        <f>IF(YEAR(Table8[[#This Row],[Date]])=2024,B440,0)+IF(ROW(F439)=1,0,F439)</f>
        <v>5800</v>
      </c>
      <c r="G440">
        <f>MAX(Table8[Cumulative 2024])</f>
        <v>5831</v>
      </c>
      <c r="H440">
        <f>IF(YEAR(Table8[[#This Row],[Date]])=2025,B440,0)+IF(ROW(H439)=1,0,H439)</f>
        <v>0</v>
      </c>
      <c r="I440">
        <f>MAX(Table8[Cumulative 2025])</f>
        <v>1377</v>
      </c>
      <c r="J440">
        <f>IF(YEAR(Table8[[#This Row],[Date]])=2026,B440,0)+IF(ROW(J439)=1,0,J439)</f>
        <v>0</v>
      </c>
      <c r="K440">
        <f>MAX(Table8[Cumulative 2026])</f>
        <v>3102</v>
      </c>
    </row>
    <row r="441" spans="1:47" hidden="1" x14ac:dyDescent="0.25">
      <c r="A441" s="1">
        <v>45650</v>
      </c>
      <c r="B441">
        <f>SUM(_xlfn.CHOOSEROWS(Table8[[The Golden Compass]:[end]],ROW()-1))</f>
        <v>0</v>
      </c>
      <c r="C441">
        <f>Table8[[#This Row],[Cumulative 2023 Q4]]+Table8[[#This Row],[Cumulative 2024]]+Table8[[#This Row],[Cumulative 2025]]+Table8[[#This Row],[Cumulative 2026]]</f>
        <v>9995</v>
      </c>
      <c r="D441">
        <f>IF(YEAR(Table8[[#This Row],[Date]])=2023,B441,0)+IF(ROW(D440)=1,0,D440)</f>
        <v>4195</v>
      </c>
      <c r="E441">
        <f>MAX(Table8[Cumulative 2023 Q4])</f>
        <v>4195</v>
      </c>
      <c r="F441">
        <f>IF(YEAR(Table8[[#This Row],[Date]])=2024,B441,0)+IF(ROW(F440)=1,0,F440)</f>
        <v>5800</v>
      </c>
      <c r="G441">
        <f>MAX(Table8[Cumulative 2024])</f>
        <v>5831</v>
      </c>
      <c r="H441">
        <f>IF(YEAR(Table8[[#This Row],[Date]])=2025,B441,0)+IF(ROW(H440)=1,0,H440)</f>
        <v>0</v>
      </c>
      <c r="I441">
        <f>MAX(Table8[Cumulative 2025])</f>
        <v>1377</v>
      </c>
      <c r="J441">
        <f>IF(YEAR(Table8[[#This Row],[Date]])=2026,B441,0)+IF(ROW(J440)=1,0,J440)</f>
        <v>0</v>
      </c>
      <c r="K441">
        <f>MAX(Table8[Cumulative 2026])</f>
        <v>3102</v>
      </c>
    </row>
    <row r="442" spans="1:47" hidden="1" x14ac:dyDescent="0.25">
      <c r="A442" s="1">
        <v>45651</v>
      </c>
      <c r="B442">
        <f>SUM(_xlfn.CHOOSEROWS(Table8[[The Golden Compass]:[end]],ROW()-1))</f>
        <v>31</v>
      </c>
      <c r="C442">
        <f>Table8[[#This Row],[Cumulative 2023 Q4]]+Table8[[#This Row],[Cumulative 2024]]+Table8[[#This Row],[Cumulative 2025]]+Table8[[#This Row],[Cumulative 2026]]</f>
        <v>10026</v>
      </c>
      <c r="D442">
        <f>IF(YEAR(Table8[[#This Row],[Date]])=2023,B442,0)+IF(ROW(D441)=1,0,D441)</f>
        <v>4195</v>
      </c>
      <c r="E442">
        <f>MAX(Table8[Cumulative 2023 Q4])</f>
        <v>4195</v>
      </c>
      <c r="F442">
        <f>IF(YEAR(Table8[[#This Row],[Date]])=2024,B442,0)+IF(ROW(F441)=1,0,F441)</f>
        <v>5831</v>
      </c>
      <c r="G442">
        <f>MAX(Table8[Cumulative 2024])</f>
        <v>5831</v>
      </c>
      <c r="H442">
        <f>IF(YEAR(Table8[[#This Row],[Date]])=2025,B442,0)+IF(ROW(H441)=1,0,H441)</f>
        <v>0</v>
      </c>
      <c r="I442">
        <f>MAX(Table8[Cumulative 2025])</f>
        <v>1377</v>
      </c>
      <c r="J442">
        <f>IF(YEAR(Table8[[#This Row],[Date]])=2026,B442,0)+IF(ROW(J441)=1,0,J441)</f>
        <v>0</v>
      </c>
      <c r="K442">
        <f>MAX(Table8[Cumulative 2026])</f>
        <v>3102</v>
      </c>
      <c r="AU442">
        <v>31</v>
      </c>
    </row>
    <row r="443" spans="1:47" hidden="1" x14ac:dyDescent="0.25">
      <c r="A443" s="1">
        <v>45652</v>
      </c>
      <c r="B443">
        <f>SUM(_xlfn.CHOOSEROWS(Table8[[The Golden Compass]:[end]],ROW()-1))</f>
        <v>0</v>
      </c>
      <c r="C443">
        <f>Table8[[#This Row],[Cumulative 2023 Q4]]+Table8[[#This Row],[Cumulative 2024]]+Table8[[#This Row],[Cumulative 2025]]+Table8[[#This Row],[Cumulative 2026]]</f>
        <v>10026</v>
      </c>
      <c r="D443">
        <f>IF(YEAR(Table8[[#This Row],[Date]])=2023,B443,0)+IF(ROW(D442)=1,0,D442)</f>
        <v>4195</v>
      </c>
      <c r="E443">
        <f>MAX(Table8[Cumulative 2023 Q4])</f>
        <v>4195</v>
      </c>
      <c r="F443">
        <f>IF(YEAR(Table8[[#This Row],[Date]])=2024,B443,0)+IF(ROW(F442)=1,0,F442)</f>
        <v>5831</v>
      </c>
      <c r="G443">
        <f>MAX(Table8[Cumulative 2024])</f>
        <v>5831</v>
      </c>
      <c r="H443">
        <f>IF(YEAR(Table8[[#This Row],[Date]])=2025,B443,0)+IF(ROW(H442)=1,0,H442)</f>
        <v>0</v>
      </c>
      <c r="I443">
        <f>MAX(Table8[Cumulative 2025])</f>
        <v>1377</v>
      </c>
      <c r="J443">
        <f>IF(YEAR(Table8[[#This Row],[Date]])=2026,B443,0)+IF(ROW(J442)=1,0,J442)</f>
        <v>0</v>
      </c>
      <c r="K443">
        <f>MAX(Table8[Cumulative 2026])</f>
        <v>3102</v>
      </c>
    </row>
    <row r="444" spans="1:47" hidden="1" x14ac:dyDescent="0.25">
      <c r="A444" s="1">
        <v>45653</v>
      </c>
      <c r="B444">
        <f>SUM(_xlfn.CHOOSEROWS(Table8[[The Golden Compass]:[end]],ROW()-1))</f>
        <v>0</v>
      </c>
      <c r="C444">
        <f>Table8[[#This Row],[Cumulative 2023 Q4]]+Table8[[#This Row],[Cumulative 2024]]+Table8[[#This Row],[Cumulative 2025]]+Table8[[#This Row],[Cumulative 2026]]</f>
        <v>10026</v>
      </c>
      <c r="D444">
        <f>IF(YEAR(Table8[[#This Row],[Date]])=2023,B444,0)+IF(ROW(D443)=1,0,D443)</f>
        <v>4195</v>
      </c>
      <c r="E444">
        <f>MAX(Table8[Cumulative 2023 Q4])</f>
        <v>4195</v>
      </c>
      <c r="F444">
        <f>IF(YEAR(Table8[[#This Row],[Date]])=2024,B444,0)+IF(ROW(F443)=1,0,F443)</f>
        <v>5831</v>
      </c>
      <c r="G444">
        <f>MAX(Table8[Cumulative 2024])</f>
        <v>5831</v>
      </c>
      <c r="H444">
        <f>IF(YEAR(Table8[[#This Row],[Date]])=2025,B444,0)+IF(ROW(H443)=1,0,H443)</f>
        <v>0</v>
      </c>
      <c r="I444">
        <f>MAX(Table8[Cumulative 2025])</f>
        <v>1377</v>
      </c>
      <c r="J444">
        <f>IF(YEAR(Table8[[#This Row],[Date]])=2026,B444,0)+IF(ROW(J443)=1,0,J443)</f>
        <v>0</v>
      </c>
      <c r="K444">
        <f>MAX(Table8[Cumulative 2026])</f>
        <v>3102</v>
      </c>
    </row>
    <row r="445" spans="1:47" hidden="1" x14ac:dyDescent="0.25">
      <c r="A445" s="1">
        <v>45654</v>
      </c>
      <c r="B445">
        <f>SUM(_xlfn.CHOOSEROWS(Table8[[The Golden Compass]:[end]],ROW()-1))</f>
        <v>0</v>
      </c>
      <c r="C445">
        <f>Table8[[#This Row],[Cumulative 2023 Q4]]+Table8[[#This Row],[Cumulative 2024]]+Table8[[#This Row],[Cumulative 2025]]+Table8[[#This Row],[Cumulative 2026]]</f>
        <v>10026</v>
      </c>
      <c r="D445">
        <f>IF(YEAR(Table8[[#This Row],[Date]])=2023,B445,0)+IF(ROW(D444)=1,0,D444)</f>
        <v>4195</v>
      </c>
      <c r="E445">
        <f>MAX(Table8[Cumulative 2023 Q4])</f>
        <v>4195</v>
      </c>
      <c r="F445">
        <f>IF(YEAR(Table8[[#This Row],[Date]])=2024,B445,0)+IF(ROW(F444)=1,0,F444)</f>
        <v>5831</v>
      </c>
      <c r="G445">
        <f>MAX(Table8[Cumulative 2024])</f>
        <v>5831</v>
      </c>
      <c r="H445">
        <f>IF(YEAR(Table8[[#This Row],[Date]])=2025,B445,0)+IF(ROW(H444)=1,0,H444)</f>
        <v>0</v>
      </c>
      <c r="I445">
        <f>MAX(Table8[Cumulative 2025])</f>
        <v>1377</v>
      </c>
      <c r="J445">
        <f>IF(YEAR(Table8[[#This Row],[Date]])=2026,B445,0)+IF(ROW(J444)=1,0,J444)</f>
        <v>0</v>
      </c>
      <c r="K445">
        <f>MAX(Table8[Cumulative 2026])</f>
        <v>3102</v>
      </c>
    </row>
    <row r="446" spans="1:47" hidden="1" x14ac:dyDescent="0.25">
      <c r="A446" s="1">
        <v>45655</v>
      </c>
      <c r="B446">
        <f>SUM(_xlfn.CHOOSEROWS(Table8[[The Golden Compass]:[end]],ROW()-1))</f>
        <v>0</v>
      </c>
      <c r="C446">
        <f>Table8[[#This Row],[Cumulative 2023 Q4]]+Table8[[#This Row],[Cumulative 2024]]+Table8[[#This Row],[Cumulative 2025]]+Table8[[#This Row],[Cumulative 2026]]</f>
        <v>10026</v>
      </c>
      <c r="D446">
        <f>IF(YEAR(Table8[[#This Row],[Date]])=2023,B446,0)+IF(ROW(D445)=1,0,D445)</f>
        <v>4195</v>
      </c>
      <c r="E446">
        <f>MAX(Table8[Cumulative 2023 Q4])</f>
        <v>4195</v>
      </c>
      <c r="F446">
        <f>IF(YEAR(Table8[[#This Row],[Date]])=2024,B446,0)+IF(ROW(F445)=1,0,F445)</f>
        <v>5831</v>
      </c>
      <c r="G446">
        <f>MAX(Table8[Cumulative 2024])</f>
        <v>5831</v>
      </c>
      <c r="H446">
        <f>IF(YEAR(Table8[[#This Row],[Date]])=2025,B446,0)+IF(ROW(H445)=1,0,H445)</f>
        <v>0</v>
      </c>
      <c r="I446">
        <f>MAX(Table8[Cumulative 2025])</f>
        <v>1377</v>
      </c>
      <c r="J446">
        <f>IF(YEAR(Table8[[#This Row],[Date]])=2026,B446,0)+IF(ROW(J445)=1,0,J445)</f>
        <v>0</v>
      </c>
      <c r="K446">
        <f>MAX(Table8[Cumulative 2026])</f>
        <v>3102</v>
      </c>
    </row>
    <row r="447" spans="1:47" hidden="1" x14ac:dyDescent="0.25">
      <c r="A447" s="1">
        <v>45656</v>
      </c>
      <c r="B447">
        <f>SUM(_xlfn.CHOOSEROWS(Table8[[The Golden Compass]:[end]],ROW()-1))</f>
        <v>0</v>
      </c>
      <c r="C447">
        <f>Table8[[#This Row],[Cumulative 2023 Q4]]+Table8[[#This Row],[Cumulative 2024]]+Table8[[#This Row],[Cumulative 2025]]+Table8[[#This Row],[Cumulative 2026]]</f>
        <v>10026</v>
      </c>
      <c r="D447">
        <f>IF(YEAR(Table8[[#This Row],[Date]])=2023,B447,0)+IF(ROW(D446)=1,0,D446)</f>
        <v>4195</v>
      </c>
      <c r="E447">
        <f>MAX(Table8[Cumulative 2023 Q4])</f>
        <v>4195</v>
      </c>
      <c r="F447">
        <f>IF(YEAR(Table8[[#This Row],[Date]])=2024,B447,0)+IF(ROW(F446)=1,0,F446)</f>
        <v>5831</v>
      </c>
      <c r="G447">
        <f>MAX(Table8[Cumulative 2024])</f>
        <v>5831</v>
      </c>
      <c r="H447">
        <f>IF(YEAR(Table8[[#This Row],[Date]])=2025,B447,0)+IF(ROW(H446)=1,0,H446)</f>
        <v>0</v>
      </c>
      <c r="I447">
        <f>MAX(Table8[Cumulative 2025])</f>
        <v>1377</v>
      </c>
      <c r="J447">
        <f>IF(YEAR(Table8[[#This Row],[Date]])=2026,B447,0)+IF(ROW(J446)=1,0,J446)</f>
        <v>0</v>
      </c>
      <c r="K447">
        <f>MAX(Table8[Cumulative 2026])</f>
        <v>3102</v>
      </c>
    </row>
    <row r="448" spans="1:47" hidden="1" x14ac:dyDescent="0.25">
      <c r="A448" s="1">
        <v>45657</v>
      </c>
      <c r="B448">
        <f>SUM(_xlfn.CHOOSEROWS(Table8[[The Golden Compass]:[end]],ROW()-1))</f>
        <v>0</v>
      </c>
      <c r="C448">
        <f>Table8[[#This Row],[Cumulative 2023 Q4]]+Table8[[#This Row],[Cumulative 2024]]+Table8[[#This Row],[Cumulative 2025]]+Table8[[#This Row],[Cumulative 2026]]</f>
        <v>10026</v>
      </c>
      <c r="D448">
        <f>IF(YEAR(Table8[[#This Row],[Date]])=2023,B448,0)+IF(ROW(D447)=1,0,D447)</f>
        <v>4195</v>
      </c>
      <c r="E448">
        <f>MAX(Table8[Cumulative 2023 Q4])</f>
        <v>4195</v>
      </c>
      <c r="F448">
        <f>IF(YEAR(Table8[[#This Row],[Date]])=2024,B448,0)+IF(ROW(F447)=1,0,F447)</f>
        <v>5831</v>
      </c>
      <c r="G448">
        <f>MAX(Table8[Cumulative 2024])</f>
        <v>5831</v>
      </c>
      <c r="H448">
        <f>IF(YEAR(Table8[[#This Row],[Date]])=2025,B448,0)+IF(ROW(H447)=1,0,H447)</f>
        <v>0</v>
      </c>
      <c r="I448">
        <f>MAX(Table8[Cumulative 2025])</f>
        <v>1377</v>
      </c>
      <c r="J448">
        <f>IF(YEAR(Table8[[#This Row],[Date]])=2026,B448,0)+IF(ROW(J447)=1,0,J447)</f>
        <v>0</v>
      </c>
      <c r="K448">
        <f>MAX(Table8[Cumulative 2026])</f>
        <v>3102</v>
      </c>
    </row>
    <row r="449" spans="1:63" hidden="1" x14ac:dyDescent="0.25">
      <c r="A449" s="1">
        <v>45658</v>
      </c>
      <c r="B449">
        <f>SUM(_xlfn.CHOOSEROWS(Table8[[The Golden Compass]:[end]],ROW()-1))</f>
        <v>0</v>
      </c>
      <c r="C449">
        <f>Table8[[#This Row],[Cumulative 2023 Q4]]+Table8[[#This Row],[Cumulative 2024]]+Table8[[#This Row],[Cumulative 2025]]+Table8[[#This Row],[Cumulative 2026]]</f>
        <v>10026</v>
      </c>
      <c r="D449">
        <f>IF(YEAR(Table8[[#This Row],[Date]])=2023,B449,0)+IF(ROW(D448)=1,0,D448)</f>
        <v>4195</v>
      </c>
      <c r="E449">
        <f>MAX(Table8[Cumulative 2023 Q4])</f>
        <v>4195</v>
      </c>
      <c r="F449">
        <f>IF(YEAR(Table8[[#This Row],[Date]])=2024,B449,0)+IF(ROW(F448)=1,0,F448)</f>
        <v>5831</v>
      </c>
      <c r="G449">
        <f>MAX(Table8[Cumulative 2024])</f>
        <v>5831</v>
      </c>
      <c r="H449">
        <f>IF(YEAR(Table8[[#This Row],[Date]])=2025,B449,0)+IF(ROW(H448)=1,0,H448)</f>
        <v>0</v>
      </c>
      <c r="I449">
        <f>MAX(Table8[Cumulative 2025])</f>
        <v>1377</v>
      </c>
      <c r="J449">
        <f>IF(YEAR(Table8[[#This Row],[Date]])=2026,B449,0)+IF(ROW(J448)=1,0,J448)</f>
        <v>0</v>
      </c>
      <c r="K449">
        <f>MAX(Table8[Cumulative 2026])</f>
        <v>3102</v>
      </c>
    </row>
    <row r="450" spans="1:63" hidden="1" x14ac:dyDescent="0.25">
      <c r="A450" s="1">
        <v>45659</v>
      </c>
      <c r="B450">
        <f>SUM(_xlfn.CHOOSEROWS(Table8[[The Golden Compass]:[end]],ROW()-1))</f>
        <v>0</v>
      </c>
      <c r="C450">
        <f>Table8[[#This Row],[Cumulative 2023 Q4]]+Table8[[#This Row],[Cumulative 2024]]+Table8[[#This Row],[Cumulative 2025]]+Table8[[#This Row],[Cumulative 2026]]</f>
        <v>10026</v>
      </c>
      <c r="D450">
        <f>IF(YEAR(Table8[[#This Row],[Date]])=2023,B450,0)+IF(ROW(D449)=1,0,D449)</f>
        <v>4195</v>
      </c>
      <c r="E450">
        <f>MAX(Table8[Cumulative 2023 Q4])</f>
        <v>4195</v>
      </c>
      <c r="F450">
        <f>IF(YEAR(Table8[[#This Row],[Date]])=2024,B450,0)+IF(ROW(F449)=1,0,F449)</f>
        <v>5831</v>
      </c>
      <c r="G450">
        <f>MAX(Table8[Cumulative 2024])</f>
        <v>5831</v>
      </c>
      <c r="H450">
        <f>IF(YEAR(Table8[[#This Row],[Date]])=2025,B450,0)+IF(ROW(H449)=1,0,H449)</f>
        <v>0</v>
      </c>
      <c r="I450">
        <f>MAX(Table8[Cumulative 2025])</f>
        <v>1377</v>
      </c>
      <c r="J450">
        <f>IF(YEAR(Table8[[#This Row],[Date]])=2026,B450,0)+IF(ROW(J449)=1,0,J449)</f>
        <v>0</v>
      </c>
      <c r="K450">
        <f>MAX(Table8[Cumulative 2026])</f>
        <v>3102</v>
      </c>
    </row>
    <row r="451" spans="1:63" hidden="1" x14ac:dyDescent="0.25">
      <c r="A451" s="1">
        <v>45660</v>
      </c>
      <c r="B451">
        <f>SUM(_xlfn.CHOOSEROWS(Table8[[The Golden Compass]:[end]],ROW()-1))</f>
        <v>0</v>
      </c>
      <c r="C451">
        <f>Table8[[#This Row],[Cumulative 2023 Q4]]+Table8[[#This Row],[Cumulative 2024]]+Table8[[#This Row],[Cumulative 2025]]+Table8[[#This Row],[Cumulative 2026]]</f>
        <v>10026</v>
      </c>
      <c r="D451">
        <f>IF(YEAR(Table8[[#This Row],[Date]])=2023,B451,0)+IF(ROW(D450)=1,0,D450)</f>
        <v>4195</v>
      </c>
      <c r="E451">
        <f>MAX(Table8[Cumulative 2023 Q4])</f>
        <v>4195</v>
      </c>
      <c r="F451">
        <f>IF(YEAR(Table8[[#This Row],[Date]])=2024,B451,0)+IF(ROW(F450)=1,0,F450)</f>
        <v>5831</v>
      </c>
      <c r="G451">
        <f>MAX(Table8[Cumulative 2024])</f>
        <v>5831</v>
      </c>
      <c r="H451">
        <f>IF(YEAR(Table8[[#This Row],[Date]])=2025,B451,0)+IF(ROW(H450)=1,0,H450)</f>
        <v>0</v>
      </c>
      <c r="I451">
        <f>MAX(Table8[Cumulative 2025])</f>
        <v>1377</v>
      </c>
      <c r="J451">
        <f>IF(YEAR(Table8[[#This Row],[Date]])=2026,B451,0)+IF(ROW(J450)=1,0,J450)</f>
        <v>0</v>
      </c>
      <c r="K451">
        <f>MAX(Table8[Cumulative 2026])</f>
        <v>3102</v>
      </c>
    </row>
    <row r="452" spans="1:63" hidden="1" x14ac:dyDescent="0.25">
      <c r="A452" s="1">
        <v>45661</v>
      </c>
      <c r="B452">
        <f>SUM(_xlfn.CHOOSEROWS(Table8[[The Golden Compass]:[end]],ROW()-1))</f>
        <v>0</v>
      </c>
      <c r="C452">
        <f>Table8[[#This Row],[Cumulative 2023 Q4]]+Table8[[#This Row],[Cumulative 2024]]+Table8[[#This Row],[Cumulative 2025]]+Table8[[#This Row],[Cumulative 2026]]</f>
        <v>10026</v>
      </c>
      <c r="D452">
        <f>IF(YEAR(Table8[[#This Row],[Date]])=2023,B452,0)+IF(ROW(D451)=1,0,D451)</f>
        <v>4195</v>
      </c>
      <c r="E452">
        <f>MAX(Table8[Cumulative 2023 Q4])</f>
        <v>4195</v>
      </c>
      <c r="F452">
        <f>IF(YEAR(Table8[[#This Row],[Date]])=2024,B452,0)+IF(ROW(F451)=1,0,F451)</f>
        <v>5831</v>
      </c>
      <c r="G452">
        <f>MAX(Table8[Cumulative 2024])</f>
        <v>5831</v>
      </c>
      <c r="H452">
        <f>IF(YEAR(Table8[[#This Row],[Date]])=2025,B452,0)+IF(ROW(H451)=1,0,H451)</f>
        <v>0</v>
      </c>
      <c r="I452">
        <f>MAX(Table8[Cumulative 2025])</f>
        <v>1377</v>
      </c>
      <c r="J452">
        <f>IF(YEAR(Table8[[#This Row],[Date]])=2026,B452,0)+IF(ROW(J451)=1,0,J451)</f>
        <v>0</v>
      </c>
      <c r="K452">
        <f>MAX(Table8[Cumulative 2026])</f>
        <v>3102</v>
      </c>
    </row>
    <row r="453" spans="1:63" hidden="1" x14ac:dyDescent="0.25">
      <c r="A453" s="1">
        <v>45662</v>
      </c>
      <c r="B453">
        <f>SUM(_xlfn.CHOOSEROWS(Table8[[The Golden Compass]:[end]],ROW()-1))</f>
        <v>0</v>
      </c>
      <c r="C453">
        <f>Table8[[#This Row],[Cumulative 2023 Q4]]+Table8[[#This Row],[Cumulative 2024]]+Table8[[#This Row],[Cumulative 2025]]+Table8[[#This Row],[Cumulative 2026]]</f>
        <v>10026</v>
      </c>
      <c r="D453">
        <f>IF(YEAR(Table8[[#This Row],[Date]])=2023,B453,0)+IF(ROW(D452)=1,0,D452)</f>
        <v>4195</v>
      </c>
      <c r="E453">
        <f>MAX(Table8[Cumulative 2023 Q4])</f>
        <v>4195</v>
      </c>
      <c r="F453">
        <f>IF(YEAR(Table8[[#This Row],[Date]])=2024,B453,0)+IF(ROW(F452)=1,0,F452)</f>
        <v>5831</v>
      </c>
      <c r="G453">
        <f>MAX(Table8[Cumulative 2024])</f>
        <v>5831</v>
      </c>
      <c r="H453">
        <f>IF(YEAR(Table8[[#This Row],[Date]])=2025,B453,0)+IF(ROW(H452)=1,0,H452)</f>
        <v>0</v>
      </c>
      <c r="I453">
        <f>MAX(Table8[Cumulative 2025])</f>
        <v>1377</v>
      </c>
      <c r="J453">
        <f>IF(YEAR(Table8[[#This Row],[Date]])=2026,B453,0)+IF(ROW(J452)=1,0,J452)</f>
        <v>0</v>
      </c>
      <c r="K453">
        <f>MAX(Table8[Cumulative 2026])</f>
        <v>3102</v>
      </c>
    </row>
    <row r="454" spans="1:63" hidden="1" x14ac:dyDescent="0.25">
      <c r="A454" s="1">
        <v>45663</v>
      </c>
      <c r="B454">
        <f>SUM(_xlfn.CHOOSEROWS(Table8[[The Golden Compass]:[end]],ROW()-1))</f>
        <v>0</v>
      </c>
      <c r="C454">
        <f>Table8[[#This Row],[Cumulative 2023 Q4]]+Table8[[#This Row],[Cumulative 2024]]+Table8[[#This Row],[Cumulative 2025]]+Table8[[#This Row],[Cumulative 2026]]</f>
        <v>10026</v>
      </c>
      <c r="D454">
        <f>IF(YEAR(Table8[[#This Row],[Date]])=2023,B454,0)+IF(ROW(D453)=1,0,D453)</f>
        <v>4195</v>
      </c>
      <c r="E454">
        <f>MAX(Table8[Cumulative 2023 Q4])</f>
        <v>4195</v>
      </c>
      <c r="F454">
        <f>IF(YEAR(Table8[[#This Row],[Date]])=2024,B454,0)+IF(ROW(F453)=1,0,F453)</f>
        <v>5831</v>
      </c>
      <c r="G454">
        <f>MAX(Table8[Cumulative 2024])</f>
        <v>5831</v>
      </c>
      <c r="H454">
        <f>IF(YEAR(Table8[[#This Row],[Date]])=2025,B454,0)+IF(ROW(H453)=1,0,H453)</f>
        <v>0</v>
      </c>
      <c r="I454">
        <f>MAX(Table8[Cumulative 2025])</f>
        <v>1377</v>
      </c>
      <c r="J454">
        <f>IF(YEAR(Table8[[#This Row],[Date]])=2026,B454,0)+IF(ROW(J453)=1,0,J453)</f>
        <v>0</v>
      </c>
      <c r="K454">
        <f>MAX(Table8[Cumulative 2026])</f>
        <v>3102</v>
      </c>
    </row>
    <row r="455" spans="1:63" hidden="1" x14ac:dyDescent="0.25">
      <c r="A455" s="1">
        <v>45664</v>
      </c>
      <c r="B455">
        <f>SUM(_xlfn.CHOOSEROWS(Table8[[The Golden Compass]:[end]],ROW()-1))</f>
        <v>0</v>
      </c>
      <c r="C455">
        <f>Table8[[#This Row],[Cumulative 2023 Q4]]+Table8[[#This Row],[Cumulative 2024]]+Table8[[#This Row],[Cumulative 2025]]+Table8[[#This Row],[Cumulative 2026]]</f>
        <v>10026</v>
      </c>
      <c r="D455">
        <f>IF(YEAR(Table8[[#This Row],[Date]])=2023,B455,0)+IF(ROW(D454)=1,0,D454)</f>
        <v>4195</v>
      </c>
      <c r="E455">
        <f>MAX(Table8[Cumulative 2023 Q4])</f>
        <v>4195</v>
      </c>
      <c r="F455">
        <f>IF(YEAR(Table8[[#This Row],[Date]])=2024,B455,0)+IF(ROW(F454)=1,0,F454)</f>
        <v>5831</v>
      </c>
      <c r="G455">
        <f>MAX(Table8[Cumulative 2024])</f>
        <v>5831</v>
      </c>
      <c r="H455">
        <f>IF(YEAR(Table8[[#This Row],[Date]])=2025,B455,0)+IF(ROW(H454)=1,0,H454)</f>
        <v>0</v>
      </c>
      <c r="I455">
        <f>MAX(Table8[Cumulative 2025])</f>
        <v>1377</v>
      </c>
      <c r="J455">
        <f>IF(YEAR(Table8[[#This Row],[Date]])=2026,B455,0)+IF(ROW(J454)=1,0,J454)</f>
        <v>0</v>
      </c>
      <c r="K455">
        <f>MAX(Table8[Cumulative 2026])</f>
        <v>3102</v>
      </c>
    </row>
    <row r="456" spans="1:63" hidden="1" x14ac:dyDescent="0.25">
      <c r="A456" s="1">
        <v>45665</v>
      </c>
      <c r="B456">
        <f>SUM(_xlfn.CHOOSEROWS(Table8[[The Golden Compass]:[end]],ROW()-1))</f>
        <v>0</v>
      </c>
      <c r="C456">
        <f>Table8[[#This Row],[Cumulative 2023 Q4]]+Table8[[#This Row],[Cumulative 2024]]+Table8[[#This Row],[Cumulative 2025]]+Table8[[#This Row],[Cumulative 2026]]</f>
        <v>10026</v>
      </c>
      <c r="D456">
        <f>IF(YEAR(Table8[[#This Row],[Date]])=2023,B456,0)+IF(ROW(D455)=1,0,D455)</f>
        <v>4195</v>
      </c>
      <c r="E456">
        <f>MAX(Table8[Cumulative 2023 Q4])</f>
        <v>4195</v>
      </c>
      <c r="F456">
        <f>IF(YEAR(Table8[[#This Row],[Date]])=2024,B456,0)+IF(ROW(F455)=1,0,F455)</f>
        <v>5831</v>
      </c>
      <c r="G456">
        <f>MAX(Table8[Cumulative 2024])</f>
        <v>5831</v>
      </c>
      <c r="H456">
        <f>IF(YEAR(Table8[[#This Row],[Date]])=2025,B456,0)+IF(ROW(H455)=1,0,H455)</f>
        <v>0</v>
      </c>
      <c r="I456">
        <f>MAX(Table8[Cumulative 2025])</f>
        <v>1377</v>
      </c>
      <c r="J456">
        <f>IF(YEAR(Table8[[#This Row],[Date]])=2026,B456,0)+IF(ROW(J455)=1,0,J455)</f>
        <v>0</v>
      </c>
      <c r="K456">
        <f>MAX(Table8[Cumulative 2026])</f>
        <v>3102</v>
      </c>
    </row>
    <row r="457" spans="1:63" hidden="1" x14ac:dyDescent="0.25">
      <c r="A457" s="1">
        <v>45666</v>
      </c>
      <c r="B457">
        <f>SUM(_xlfn.CHOOSEROWS(Table8[[The Golden Compass]:[end]],ROW()-1))</f>
        <v>0</v>
      </c>
      <c r="C457">
        <f>Table8[[#This Row],[Cumulative 2023 Q4]]+Table8[[#This Row],[Cumulative 2024]]+Table8[[#This Row],[Cumulative 2025]]+Table8[[#This Row],[Cumulative 2026]]</f>
        <v>10026</v>
      </c>
      <c r="D457">
        <f>IF(YEAR(Table8[[#This Row],[Date]])=2023,B457,0)+IF(ROW(D456)=1,0,D456)</f>
        <v>4195</v>
      </c>
      <c r="E457">
        <f>MAX(Table8[Cumulative 2023 Q4])</f>
        <v>4195</v>
      </c>
      <c r="F457">
        <f>IF(YEAR(Table8[[#This Row],[Date]])=2024,B457,0)+IF(ROW(F456)=1,0,F456)</f>
        <v>5831</v>
      </c>
      <c r="G457">
        <f>MAX(Table8[Cumulative 2024])</f>
        <v>5831</v>
      </c>
      <c r="H457">
        <f>IF(YEAR(Table8[[#This Row],[Date]])=2025,B457,0)+IF(ROW(H456)=1,0,H456)</f>
        <v>0</v>
      </c>
      <c r="I457">
        <f>MAX(Table8[Cumulative 2025])</f>
        <v>1377</v>
      </c>
      <c r="J457">
        <f>IF(YEAR(Table8[[#This Row],[Date]])=2026,B457,0)+IF(ROW(J456)=1,0,J456)</f>
        <v>0</v>
      </c>
      <c r="K457">
        <f>MAX(Table8[Cumulative 2026])</f>
        <v>3102</v>
      </c>
    </row>
    <row r="458" spans="1:63" hidden="1" x14ac:dyDescent="0.25">
      <c r="A458" s="1">
        <v>45667</v>
      </c>
      <c r="B458">
        <f>SUM(_xlfn.CHOOSEROWS(Table8[[The Golden Compass]:[end]],ROW()-1))</f>
        <v>30</v>
      </c>
      <c r="C458">
        <f>Table8[[#This Row],[Cumulative 2023 Q4]]+Table8[[#This Row],[Cumulative 2024]]+Table8[[#This Row],[Cumulative 2025]]+Table8[[#This Row],[Cumulative 2026]]</f>
        <v>10056</v>
      </c>
      <c r="D458">
        <f>IF(YEAR(Table8[[#This Row],[Date]])=2023,B458,0)+IF(ROW(D457)=1,0,D457)</f>
        <v>4195</v>
      </c>
      <c r="E458">
        <f>MAX(Table8[Cumulative 2023 Q4])</f>
        <v>4195</v>
      </c>
      <c r="F458">
        <f>IF(YEAR(Table8[[#This Row],[Date]])=2024,B458,0)+IF(ROW(F457)=1,0,F457)</f>
        <v>5831</v>
      </c>
      <c r="G458">
        <f>MAX(Table8[Cumulative 2024])</f>
        <v>5831</v>
      </c>
      <c r="H458">
        <f>IF(YEAR(Table8[[#This Row],[Date]])=2025,B458,0)+IF(ROW(H457)=1,0,H457)</f>
        <v>30</v>
      </c>
      <c r="I458">
        <f>MAX(Table8[Cumulative 2025])</f>
        <v>1377</v>
      </c>
      <c r="J458">
        <f>IF(YEAR(Table8[[#This Row],[Date]])=2026,B458,0)+IF(ROW(J457)=1,0,J457)</f>
        <v>0</v>
      </c>
      <c r="K458">
        <f>MAX(Table8[Cumulative 2026])</f>
        <v>3102</v>
      </c>
      <c r="AU458">
        <v>30</v>
      </c>
    </row>
    <row r="459" spans="1:63" hidden="1" x14ac:dyDescent="0.25">
      <c r="A459" s="1">
        <v>45668</v>
      </c>
      <c r="B459">
        <f>SUM(_xlfn.CHOOSEROWS(Table8[[The Golden Compass]:[end]],ROW()-1))</f>
        <v>23</v>
      </c>
      <c r="C459">
        <f>Table8[[#This Row],[Cumulative 2023 Q4]]+Table8[[#This Row],[Cumulative 2024]]+Table8[[#This Row],[Cumulative 2025]]+Table8[[#This Row],[Cumulative 2026]]</f>
        <v>10079</v>
      </c>
      <c r="D459">
        <f>IF(YEAR(Table8[[#This Row],[Date]])=2023,B459,0)+IF(ROW(D458)=1,0,D458)</f>
        <v>4195</v>
      </c>
      <c r="E459">
        <f>MAX(Table8[Cumulative 2023 Q4])</f>
        <v>4195</v>
      </c>
      <c r="F459">
        <f>IF(YEAR(Table8[[#This Row],[Date]])=2024,B459,0)+IF(ROW(F458)=1,0,F458)</f>
        <v>5831</v>
      </c>
      <c r="G459">
        <f>MAX(Table8[Cumulative 2024])</f>
        <v>5831</v>
      </c>
      <c r="H459">
        <f>IF(YEAR(Table8[[#This Row],[Date]])=2025,B459,0)+IF(ROW(H458)=1,0,H458)</f>
        <v>53</v>
      </c>
      <c r="I459">
        <f>MAX(Table8[Cumulative 2025])</f>
        <v>1377</v>
      </c>
      <c r="J459">
        <f>IF(YEAR(Table8[[#This Row],[Date]])=2026,B459,0)+IF(ROW(J458)=1,0,J458)</f>
        <v>0</v>
      </c>
      <c r="K459">
        <f>MAX(Table8[Cumulative 2026])</f>
        <v>3102</v>
      </c>
      <c r="AU459">
        <v>23</v>
      </c>
    </row>
    <row r="460" spans="1:63" hidden="1" x14ac:dyDescent="0.25">
      <c r="A460" s="1">
        <v>45669</v>
      </c>
      <c r="B460">
        <f>SUM(_xlfn.CHOOSEROWS(Table8[[The Golden Compass]:[end]],ROW()-1))</f>
        <v>32</v>
      </c>
      <c r="C460">
        <f>Table8[[#This Row],[Cumulative 2023 Q4]]+Table8[[#This Row],[Cumulative 2024]]+Table8[[#This Row],[Cumulative 2025]]+Table8[[#This Row],[Cumulative 2026]]</f>
        <v>10111</v>
      </c>
      <c r="D460">
        <f>IF(YEAR(Table8[[#This Row],[Date]])=2023,B460,0)+IF(ROW(D459)=1,0,D459)</f>
        <v>4195</v>
      </c>
      <c r="E460">
        <f>MAX(Table8[Cumulative 2023 Q4])</f>
        <v>4195</v>
      </c>
      <c r="F460">
        <f>IF(YEAR(Table8[[#This Row],[Date]])=2024,B460,0)+IF(ROW(F459)=1,0,F459)</f>
        <v>5831</v>
      </c>
      <c r="G460">
        <f>MAX(Table8[Cumulative 2024])</f>
        <v>5831</v>
      </c>
      <c r="H460">
        <f>IF(YEAR(Table8[[#This Row],[Date]])=2025,B460,0)+IF(ROW(H459)=1,0,H459)</f>
        <v>85</v>
      </c>
      <c r="I460">
        <f>MAX(Table8[Cumulative 2025])</f>
        <v>1377</v>
      </c>
      <c r="J460">
        <f>IF(YEAR(Table8[[#This Row],[Date]])=2026,B460,0)+IF(ROW(J459)=1,0,J459)</f>
        <v>0</v>
      </c>
      <c r="K460">
        <f>MAX(Table8[Cumulative 2026])</f>
        <v>3102</v>
      </c>
      <c r="AU460">
        <v>30</v>
      </c>
      <c r="BK460">
        <v>2</v>
      </c>
    </row>
    <row r="461" spans="1:63" hidden="1" x14ac:dyDescent="0.25">
      <c r="A461" s="1">
        <v>45670</v>
      </c>
      <c r="B461">
        <f>SUM(_xlfn.CHOOSEROWS(Table8[[The Golden Compass]:[end]],ROW()-1))</f>
        <v>0</v>
      </c>
      <c r="C461">
        <f>Table8[[#This Row],[Cumulative 2023 Q4]]+Table8[[#This Row],[Cumulative 2024]]+Table8[[#This Row],[Cumulative 2025]]+Table8[[#This Row],[Cumulative 2026]]</f>
        <v>10111</v>
      </c>
      <c r="D461">
        <f>IF(YEAR(Table8[[#This Row],[Date]])=2023,B461,0)+IF(ROW(D460)=1,0,D460)</f>
        <v>4195</v>
      </c>
      <c r="E461">
        <f>MAX(Table8[Cumulative 2023 Q4])</f>
        <v>4195</v>
      </c>
      <c r="F461">
        <f>IF(YEAR(Table8[[#This Row],[Date]])=2024,B461,0)+IF(ROW(F460)=1,0,F460)</f>
        <v>5831</v>
      </c>
      <c r="G461">
        <f>MAX(Table8[Cumulative 2024])</f>
        <v>5831</v>
      </c>
      <c r="H461">
        <f>IF(YEAR(Table8[[#This Row],[Date]])=2025,B461,0)+IF(ROW(H460)=1,0,H460)</f>
        <v>85</v>
      </c>
      <c r="I461">
        <f>MAX(Table8[Cumulative 2025])</f>
        <v>1377</v>
      </c>
      <c r="J461">
        <f>IF(YEAR(Table8[[#This Row],[Date]])=2026,B461,0)+IF(ROW(J460)=1,0,J460)</f>
        <v>0</v>
      </c>
      <c r="K461">
        <f>MAX(Table8[Cumulative 2026])</f>
        <v>3102</v>
      </c>
    </row>
    <row r="462" spans="1:63" hidden="1" x14ac:dyDescent="0.25">
      <c r="A462" s="1">
        <v>45671</v>
      </c>
      <c r="B462">
        <f>SUM(_xlfn.CHOOSEROWS(Table8[[The Golden Compass]:[end]],ROW()-1))</f>
        <v>0</v>
      </c>
      <c r="C462">
        <f>Table8[[#This Row],[Cumulative 2023 Q4]]+Table8[[#This Row],[Cumulative 2024]]+Table8[[#This Row],[Cumulative 2025]]+Table8[[#This Row],[Cumulative 2026]]</f>
        <v>10111</v>
      </c>
      <c r="D462">
        <f>IF(YEAR(Table8[[#This Row],[Date]])=2023,B462,0)+IF(ROW(D461)=1,0,D461)</f>
        <v>4195</v>
      </c>
      <c r="E462">
        <f>MAX(Table8[Cumulative 2023 Q4])</f>
        <v>4195</v>
      </c>
      <c r="F462">
        <f>IF(YEAR(Table8[[#This Row],[Date]])=2024,B462,0)+IF(ROW(F461)=1,0,F461)</f>
        <v>5831</v>
      </c>
      <c r="G462">
        <f>MAX(Table8[Cumulative 2024])</f>
        <v>5831</v>
      </c>
      <c r="H462">
        <f>IF(YEAR(Table8[[#This Row],[Date]])=2025,B462,0)+IF(ROW(H461)=1,0,H461)</f>
        <v>85</v>
      </c>
      <c r="I462">
        <f>MAX(Table8[Cumulative 2025])</f>
        <v>1377</v>
      </c>
      <c r="J462">
        <f>IF(YEAR(Table8[[#This Row],[Date]])=2026,B462,0)+IF(ROW(J461)=1,0,J461)</f>
        <v>0</v>
      </c>
      <c r="K462">
        <f>MAX(Table8[Cumulative 2026])</f>
        <v>3102</v>
      </c>
    </row>
    <row r="463" spans="1:63" hidden="1" x14ac:dyDescent="0.25">
      <c r="A463" s="1">
        <v>45672</v>
      </c>
      <c r="B463">
        <f>SUM(_xlfn.CHOOSEROWS(Table8[[The Golden Compass]:[end]],ROW()-1))</f>
        <v>0</v>
      </c>
      <c r="C463">
        <f>Table8[[#This Row],[Cumulative 2023 Q4]]+Table8[[#This Row],[Cumulative 2024]]+Table8[[#This Row],[Cumulative 2025]]+Table8[[#This Row],[Cumulative 2026]]</f>
        <v>10111</v>
      </c>
      <c r="D463">
        <f>IF(YEAR(Table8[[#This Row],[Date]])=2023,B463,0)+IF(ROW(D462)=1,0,D462)</f>
        <v>4195</v>
      </c>
      <c r="E463">
        <f>MAX(Table8[Cumulative 2023 Q4])</f>
        <v>4195</v>
      </c>
      <c r="F463">
        <f>IF(YEAR(Table8[[#This Row],[Date]])=2024,B463,0)+IF(ROW(F462)=1,0,F462)</f>
        <v>5831</v>
      </c>
      <c r="G463">
        <f>MAX(Table8[Cumulative 2024])</f>
        <v>5831</v>
      </c>
      <c r="H463">
        <f>IF(YEAR(Table8[[#This Row],[Date]])=2025,B463,0)+IF(ROW(H462)=1,0,H462)</f>
        <v>85</v>
      </c>
      <c r="I463">
        <f>MAX(Table8[Cumulative 2025])</f>
        <v>1377</v>
      </c>
      <c r="J463">
        <f>IF(YEAR(Table8[[#This Row],[Date]])=2026,B463,0)+IF(ROW(J462)=1,0,J462)</f>
        <v>0</v>
      </c>
      <c r="K463">
        <f>MAX(Table8[Cumulative 2026])</f>
        <v>3102</v>
      </c>
    </row>
    <row r="464" spans="1:63" hidden="1" x14ac:dyDescent="0.25">
      <c r="A464" s="1">
        <v>45673</v>
      </c>
      <c r="B464">
        <f>SUM(_xlfn.CHOOSEROWS(Table8[[The Golden Compass]:[end]],ROW()-1))</f>
        <v>0</v>
      </c>
      <c r="C464">
        <f>Table8[[#This Row],[Cumulative 2023 Q4]]+Table8[[#This Row],[Cumulative 2024]]+Table8[[#This Row],[Cumulative 2025]]+Table8[[#This Row],[Cumulative 2026]]</f>
        <v>10111</v>
      </c>
      <c r="D464">
        <f>IF(YEAR(Table8[[#This Row],[Date]])=2023,B464,0)+IF(ROW(D463)=1,0,D463)</f>
        <v>4195</v>
      </c>
      <c r="E464">
        <f>MAX(Table8[Cumulative 2023 Q4])</f>
        <v>4195</v>
      </c>
      <c r="F464">
        <f>IF(YEAR(Table8[[#This Row],[Date]])=2024,B464,0)+IF(ROW(F463)=1,0,F463)</f>
        <v>5831</v>
      </c>
      <c r="G464">
        <f>MAX(Table8[Cumulative 2024])</f>
        <v>5831</v>
      </c>
      <c r="H464">
        <f>IF(YEAR(Table8[[#This Row],[Date]])=2025,B464,0)+IF(ROW(H463)=1,0,H463)</f>
        <v>85</v>
      </c>
      <c r="I464">
        <f>MAX(Table8[Cumulative 2025])</f>
        <v>1377</v>
      </c>
      <c r="J464">
        <f>IF(YEAR(Table8[[#This Row],[Date]])=2026,B464,0)+IF(ROW(J463)=1,0,J463)</f>
        <v>0</v>
      </c>
      <c r="K464">
        <f>MAX(Table8[Cumulative 2026])</f>
        <v>3102</v>
      </c>
    </row>
    <row r="465" spans="1:48" hidden="1" x14ac:dyDescent="0.25">
      <c r="A465" s="1">
        <v>45674</v>
      </c>
      <c r="B465">
        <f>SUM(_xlfn.CHOOSEROWS(Table8[[The Golden Compass]:[end]],ROW()-1))</f>
        <v>0</v>
      </c>
      <c r="C465">
        <f>Table8[[#This Row],[Cumulative 2023 Q4]]+Table8[[#This Row],[Cumulative 2024]]+Table8[[#This Row],[Cumulative 2025]]+Table8[[#This Row],[Cumulative 2026]]</f>
        <v>10111</v>
      </c>
      <c r="D465">
        <f>IF(YEAR(Table8[[#This Row],[Date]])=2023,B465,0)+IF(ROW(D464)=1,0,D464)</f>
        <v>4195</v>
      </c>
      <c r="E465">
        <f>MAX(Table8[Cumulative 2023 Q4])</f>
        <v>4195</v>
      </c>
      <c r="F465">
        <f>IF(YEAR(Table8[[#This Row],[Date]])=2024,B465,0)+IF(ROW(F464)=1,0,F464)</f>
        <v>5831</v>
      </c>
      <c r="G465">
        <f>MAX(Table8[Cumulative 2024])</f>
        <v>5831</v>
      </c>
      <c r="H465">
        <f>IF(YEAR(Table8[[#This Row],[Date]])=2025,B465,0)+IF(ROW(H464)=1,0,H464)</f>
        <v>85</v>
      </c>
      <c r="I465">
        <f>MAX(Table8[Cumulative 2025])</f>
        <v>1377</v>
      </c>
      <c r="J465">
        <f>IF(YEAR(Table8[[#This Row],[Date]])=2026,B465,0)+IF(ROW(J464)=1,0,J464)</f>
        <v>0</v>
      </c>
      <c r="K465">
        <f>MAX(Table8[Cumulative 2026])</f>
        <v>3102</v>
      </c>
    </row>
    <row r="466" spans="1:48" hidden="1" x14ac:dyDescent="0.25">
      <c r="A466" s="1">
        <v>45675</v>
      </c>
      <c r="B466">
        <f>SUM(_xlfn.CHOOSEROWS(Table8[[The Golden Compass]:[end]],ROW()-1))</f>
        <v>0</v>
      </c>
      <c r="C466">
        <f>Table8[[#This Row],[Cumulative 2023 Q4]]+Table8[[#This Row],[Cumulative 2024]]+Table8[[#This Row],[Cumulative 2025]]+Table8[[#This Row],[Cumulative 2026]]</f>
        <v>10111</v>
      </c>
      <c r="D466">
        <f>IF(YEAR(Table8[[#This Row],[Date]])=2023,B466,0)+IF(ROW(D465)=1,0,D465)</f>
        <v>4195</v>
      </c>
      <c r="E466">
        <f>MAX(Table8[Cumulative 2023 Q4])</f>
        <v>4195</v>
      </c>
      <c r="F466">
        <f>IF(YEAR(Table8[[#This Row],[Date]])=2024,B466,0)+IF(ROW(F465)=1,0,F465)</f>
        <v>5831</v>
      </c>
      <c r="G466">
        <f>MAX(Table8[Cumulative 2024])</f>
        <v>5831</v>
      </c>
      <c r="H466">
        <f>IF(YEAR(Table8[[#This Row],[Date]])=2025,B466,0)+IF(ROW(H465)=1,0,H465)</f>
        <v>85</v>
      </c>
      <c r="I466">
        <f>MAX(Table8[Cumulative 2025])</f>
        <v>1377</v>
      </c>
      <c r="J466">
        <f>IF(YEAR(Table8[[#This Row],[Date]])=2026,B466,0)+IF(ROW(J465)=1,0,J465)</f>
        <v>0</v>
      </c>
      <c r="K466">
        <f>MAX(Table8[Cumulative 2026])</f>
        <v>3102</v>
      </c>
    </row>
    <row r="467" spans="1:48" hidden="1" x14ac:dyDescent="0.25">
      <c r="A467" s="1">
        <v>45676</v>
      </c>
      <c r="B467">
        <f>SUM(_xlfn.CHOOSEROWS(Table8[[The Golden Compass]:[end]],ROW()-1))</f>
        <v>0</v>
      </c>
      <c r="C467">
        <f>Table8[[#This Row],[Cumulative 2023 Q4]]+Table8[[#This Row],[Cumulative 2024]]+Table8[[#This Row],[Cumulative 2025]]+Table8[[#This Row],[Cumulative 2026]]</f>
        <v>10111</v>
      </c>
      <c r="D467">
        <f>IF(YEAR(Table8[[#This Row],[Date]])=2023,B467,0)+IF(ROW(D466)=1,0,D466)</f>
        <v>4195</v>
      </c>
      <c r="E467">
        <f>MAX(Table8[Cumulative 2023 Q4])</f>
        <v>4195</v>
      </c>
      <c r="F467">
        <f>IF(YEAR(Table8[[#This Row],[Date]])=2024,B467,0)+IF(ROW(F466)=1,0,F466)</f>
        <v>5831</v>
      </c>
      <c r="G467">
        <f>MAX(Table8[Cumulative 2024])</f>
        <v>5831</v>
      </c>
      <c r="H467">
        <f>IF(YEAR(Table8[[#This Row],[Date]])=2025,B467,0)+IF(ROW(H466)=1,0,H466)</f>
        <v>85</v>
      </c>
      <c r="I467">
        <f>MAX(Table8[Cumulative 2025])</f>
        <v>1377</v>
      </c>
      <c r="J467">
        <f>IF(YEAR(Table8[[#This Row],[Date]])=2026,B467,0)+IF(ROW(J466)=1,0,J466)</f>
        <v>0</v>
      </c>
      <c r="K467">
        <f>MAX(Table8[Cumulative 2026])</f>
        <v>3102</v>
      </c>
    </row>
    <row r="468" spans="1:48" hidden="1" x14ac:dyDescent="0.25">
      <c r="A468" s="1">
        <v>45677</v>
      </c>
      <c r="B468">
        <f>SUM(_xlfn.CHOOSEROWS(Table8[[The Golden Compass]:[end]],ROW()-1))</f>
        <v>0</v>
      </c>
      <c r="C468">
        <f>Table8[[#This Row],[Cumulative 2023 Q4]]+Table8[[#This Row],[Cumulative 2024]]+Table8[[#This Row],[Cumulative 2025]]+Table8[[#This Row],[Cumulative 2026]]</f>
        <v>10111</v>
      </c>
      <c r="D468">
        <f>IF(YEAR(Table8[[#This Row],[Date]])=2023,B468,0)+IF(ROW(D467)=1,0,D467)</f>
        <v>4195</v>
      </c>
      <c r="E468">
        <f>MAX(Table8[Cumulative 2023 Q4])</f>
        <v>4195</v>
      </c>
      <c r="F468">
        <f>IF(YEAR(Table8[[#This Row],[Date]])=2024,B468,0)+IF(ROW(F467)=1,0,F467)</f>
        <v>5831</v>
      </c>
      <c r="G468">
        <f>MAX(Table8[Cumulative 2024])</f>
        <v>5831</v>
      </c>
      <c r="H468">
        <f>IF(YEAR(Table8[[#This Row],[Date]])=2025,B468,0)+IF(ROW(H467)=1,0,H467)</f>
        <v>85</v>
      </c>
      <c r="I468">
        <f>MAX(Table8[Cumulative 2025])</f>
        <v>1377</v>
      </c>
      <c r="J468">
        <f>IF(YEAR(Table8[[#This Row],[Date]])=2026,B468,0)+IF(ROW(J467)=1,0,J467)</f>
        <v>0</v>
      </c>
      <c r="K468">
        <f>MAX(Table8[Cumulative 2026])</f>
        <v>3102</v>
      </c>
    </row>
    <row r="469" spans="1:48" hidden="1" x14ac:dyDescent="0.25">
      <c r="A469" s="1">
        <v>45678</v>
      </c>
      <c r="B469">
        <f>SUM(_xlfn.CHOOSEROWS(Table8[[The Golden Compass]:[end]],ROW()-1))</f>
        <v>0</v>
      </c>
      <c r="C469">
        <f>Table8[[#This Row],[Cumulative 2023 Q4]]+Table8[[#This Row],[Cumulative 2024]]+Table8[[#This Row],[Cumulative 2025]]+Table8[[#This Row],[Cumulative 2026]]</f>
        <v>10111</v>
      </c>
      <c r="D469">
        <f>IF(YEAR(Table8[[#This Row],[Date]])=2023,B469,0)+IF(ROW(D468)=1,0,D468)</f>
        <v>4195</v>
      </c>
      <c r="E469">
        <f>MAX(Table8[Cumulative 2023 Q4])</f>
        <v>4195</v>
      </c>
      <c r="F469">
        <f>IF(YEAR(Table8[[#This Row],[Date]])=2024,B469,0)+IF(ROW(F468)=1,0,F468)</f>
        <v>5831</v>
      </c>
      <c r="G469">
        <f>MAX(Table8[Cumulative 2024])</f>
        <v>5831</v>
      </c>
      <c r="H469">
        <f>IF(YEAR(Table8[[#This Row],[Date]])=2025,B469,0)+IF(ROW(H468)=1,0,H468)</f>
        <v>85</v>
      </c>
      <c r="I469">
        <f>MAX(Table8[Cumulative 2025])</f>
        <v>1377</v>
      </c>
      <c r="J469">
        <f>IF(YEAR(Table8[[#This Row],[Date]])=2026,B469,0)+IF(ROW(J468)=1,0,J468)</f>
        <v>0</v>
      </c>
      <c r="K469">
        <f>MAX(Table8[Cumulative 2026])</f>
        <v>3102</v>
      </c>
    </row>
    <row r="470" spans="1:48" hidden="1" x14ac:dyDescent="0.25">
      <c r="A470" s="1">
        <v>45679</v>
      </c>
      <c r="B470">
        <f>SUM(_xlfn.CHOOSEROWS(Table8[[The Golden Compass]:[end]],ROW()-1))</f>
        <v>0</v>
      </c>
      <c r="C470">
        <f>Table8[[#This Row],[Cumulative 2023 Q4]]+Table8[[#This Row],[Cumulative 2024]]+Table8[[#This Row],[Cumulative 2025]]+Table8[[#This Row],[Cumulative 2026]]</f>
        <v>10111</v>
      </c>
      <c r="D470">
        <f>IF(YEAR(Table8[[#This Row],[Date]])=2023,B470,0)+IF(ROW(D469)=1,0,D469)</f>
        <v>4195</v>
      </c>
      <c r="E470">
        <f>MAX(Table8[Cumulative 2023 Q4])</f>
        <v>4195</v>
      </c>
      <c r="F470">
        <f>IF(YEAR(Table8[[#This Row],[Date]])=2024,B470,0)+IF(ROW(F469)=1,0,F469)</f>
        <v>5831</v>
      </c>
      <c r="G470">
        <f>MAX(Table8[Cumulative 2024])</f>
        <v>5831</v>
      </c>
      <c r="H470">
        <f>IF(YEAR(Table8[[#This Row],[Date]])=2025,B470,0)+IF(ROW(H469)=1,0,H469)</f>
        <v>85</v>
      </c>
      <c r="I470">
        <f>MAX(Table8[Cumulative 2025])</f>
        <v>1377</v>
      </c>
      <c r="J470">
        <f>IF(YEAR(Table8[[#This Row],[Date]])=2026,B470,0)+IF(ROW(J469)=1,0,J469)</f>
        <v>0</v>
      </c>
      <c r="K470">
        <f>MAX(Table8[Cumulative 2026])</f>
        <v>3102</v>
      </c>
    </row>
    <row r="471" spans="1:48" hidden="1" x14ac:dyDescent="0.25">
      <c r="A471" s="1">
        <v>45680</v>
      </c>
      <c r="B471">
        <f>SUM(_xlfn.CHOOSEROWS(Table8[[The Golden Compass]:[end]],ROW()-1))</f>
        <v>22</v>
      </c>
      <c r="C471">
        <f>Table8[[#This Row],[Cumulative 2023 Q4]]+Table8[[#This Row],[Cumulative 2024]]+Table8[[#This Row],[Cumulative 2025]]+Table8[[#This Row],[Cumulative 2026]]</f>
        <v>10133</v>
      </c>
      <c r="D471">
        <f>IF(YEAR(Table8[[#This Row],[Date]])=2023,B471,0)+IF(ROW(D470)=1,0,D470)</f>
        <v>4195</v>
      </c>
      <c r="E471">
        <f>MAX(Table8[Cumulative 2023 Q4])</f>
        <v>4195</v>
      </c>
      <c r="F471">
        <f>IF(YEAR(Table8[[#This Row],[Date]])=2024,B471,0)+IF(ROW(F470)=1,0,F470)</f>
        <v>5831</v>
      </c>
      <c r="G471">
        <f>MAX(Table8[Cumulative 2024])</f>
        <v>5831</v>
      </c>
      <c r="H471">
        <f>IF(YEAR(Table8[[#This Row],[Date]])=2025,B471,0)+IF(ROW(H470)=1,0,H470)</f>
        <v>107</v>
      </c>
      <c r="I471">
        <f>MAX(Table8[Cumulative 2025])</f>
        <v>1377</v>
      </c>
      <c r="J471">
        <f>IF(YEAR(Table8[[#This Row],[Date]])=2026,B471,0)+IF(ROW(J470)=1,0,J470)</f>
        <v>0</v>
      </c>
      <c r="K471">
        <f>MAX(Table8[Cumulative 2026])</f>
        <v>3102</v>
      </c>
      <c r="AV471">
        <v>22</v>
      </c>
    </row>
    <row r="472" spans="1:48" hidden="1" x14ac:dyDescent="0.25">
      <c r="A472" s="1">
        <v>45681</v>
      </c>
      <c r="B472">
        <f>SUM(_xlfn.CHOOSEROWS(Table8[[The Golden Compass]:[end]],ROW()-1))</f>
        <v>15</v>
      </c>
      <c r="C472">
        <f>Table8[[#This Row],[Cumulative 2023 Q4]]+Table8[[#This Row],[Cumulative 2024]]+Table8[[#This Row],[Cumulative 2025]]+Table8[[#This Row],[Cumulative 2026]]</f>
        <v>10148</v>
      </c>
      <c r="D472">
        <f>IF(YEAR(Table8[[#This Row],[Date]])=2023,B472,0)+IF(ROW(D471)=1,0,D471)</f>
        <v>4195</v>
      </c>
      <c r="E472">
        <f>MAX(Table8[Cumulative 2023 Q4])</f>
        <v>4195</v>
      </c>
      <c r="F472">
        <f>IF(YEAR(Table8[[#This Row],[Date]])=2024,B472,0)+IF(ROW(F471)=1,0,F471)</f>
        <v>5831</v>
      </c>
      <c r="G472">
        <f>MAX(Table8[Cumulative 2024])</f>
        <v>5831</v>
      </c>
      <c r="H472">
        <f>IF(YEAR(Table8[[#This Row],[Date]])=2025,B472,0)+IF(ROW(H471)=1,0,H471)</f>
        <v>122</v>
      </c>
      <c r="I472">
        <f>MAX(Table8[Cumulative 2025])</f>
        <v>1377</v>
      </c>
      <c r="J472">
        <f>IF(YEAR(Table8[[#This Row],[Date]])=2026,B472,0)+IF(ROW(J471)=1,0,J471)</f>
        <v>0</v>
      </c>
      <c r="K472">
        <f>MAX(Table8[Cumulative 2026])</f>
        <v>3102</v>
      </c>
      <c r="AV472">
        <v>15</v>
      </c>
    </row>
    <row r="473" spans="1:48" hidden="1" x14ac:dyDescent="0.25">
      <c r="A473" s="1">
        <v>45682</v>
      </c>
      <c r="B473">
        <f>SUM(_xlfn.CHOOSEROWS(Table8[[The Golden Compass]:[end]],ROW()-1))</f>
        <v>0</v>
      </c>
      <c r="C473">
        <f>Table8[[#This Row],[Cumulative 2023 Q4]]+Table8[[#This Row],[Cumulative 2024]]+Table8[[#This Row],[Cumulative 2025]]+Table8[[#This Row],[Cumulative 2026]]</f>
        <v>10148</v>
      </c>
      <c r="D473">
        <f>IF(YEAR(Table8[[#This Row],[Date]])=2023,B473,0)+IF(ROW(D472)=1,0,D472)</f>
        <v>4195</v>
      </c>
      <c r="E473">
        <f>MAX(Table8[Cumulative 2023 Q4])</f>
        <v>4195</v>
      </c>
      <c r="F473">
        <f>IF(YEAR(Table8[[#This Row],[Date]])=2024,B473,0)+IF(ROW(F472)=1,0,F472)</f>
        <v>5831</v>
      </c>
      <c r="G473">
        <f>MAX(Table8[Cumulative 2024])</f>
        <v>5831</v>
      </c>
      <c r="H473">
        <f>IF(YEAR(Table8[[#This Row],[Date]])=2025,B473,0)+IF(ROW(H472)=1,0,H472)</f>
        <v>122</v>
      </c>
      <c r="I473">
        <f>MAX(Table8[Cumulative 2025])</f>
        <v>1377</v>
      </c>
      <c r="J473">
        <f>IF(YEAR(Table8[[#This Row],[Date]])=2026,B473,0)+IF(ROW(J472)=1,0,J472)</f>
        <v>0</v>
      </c>
      <c r="K473">
        <f>MAX(Table8[Cumulative 2026])</f>
        <v>3102</v>
      </c>
    </row>
    <row r="474" spans="1:48" hidden="1" x14ac:dyDescent="0.25">
      <c r="A474" s="1">
        <v>45683</v>
      </c>
      <c r="B474">
        <f>SUM(_xlfn.CHOOSEROWS(Table8[[The Golden Compass]:[end]],ROW()-1))</f>
        <v>34</v>
      </c>
      <c r="C474">
        <f>Table8[[#This Row],[Cumulative 2023 Q4]]+Table8[[#This Row],[Cumulative 2024]]+Table8[[#This Row],[Cumulative 2025]]+Table8[[#This Row],[Cumulative 2026]]</f>
        <v>10182</v>
      </c>
      <c r="D474">
        <f>IF(YEAR(Table8[[#This Row],[Date]])=2023,B474,0)+IF(ROW(D473)=1,0,D473)</f>
        <v>4195</v>
      </c>
      <c r="E474">
        <f>MAX(Table8[Cumulative 2023 Q4])</f>
        <v>4195</v>
      </c>
      <c r="F474">
        <f>IF(YEAR(Table8[[#This Row],[Date]])=2024,B474,0)+IF(ROW(F473)=1,0,F473)</f>
        <v>5831</v>
      </c>
      <c r="G474">
        <f>MAX(Table8[Cumulative 2024])</f>
        <v>5831</v>
      </c>
      <c r="H474">
        <f>IF(YEAR(Table8[[#This Row],[Date]])=2025,B474,0)+IF(ROW(H473)=1,0,H473)</f>
        <v>156</v>
      </c>
      <c r="I474">
        <f>MAX(Table8[Cumulative 2025])</f>
        <v>1377</v>
      </c>
      <c r="J474">
        <f>IF(YEAR(Table8[[#This Row],[Date]])=2026,B474,0)+IF(ROW(J473)=1,0,J473)</f>
        <v>0</v>
      </c>
      <c r="K474">
        <f>MAX(Table8[Cumulative 2026])</f>
        <v>3102</v>
      </c>
      <c r="AV474">
        <v>34</v>
      </c>
    </row>
    <row r="475" spans="1:48" hidden="1" x14ac:dyDescent="0.25">
      <c r="A475" s="1">
        <v>45684</v>
      </c>
      <c r="B475">
        <f>SUM(_xlfn.CHOOSEROWS(Table8[[The Golden Compass]:[end]],ROW()-1))</f>
        <v>0</v>
      </c>
      <c r="C475">
        <f>Table8[[#This Row],[Cumulative 2023 Q4]]+Table8[[#This Row],[Cumulative 2024]]+Table8[[#This Row],[Cumulative 2025]]+Table8[[#This Row],[Cumulative 2026]]</f>
        <v>10182</v>
      </c>
      <c r="D475">
        <f>IF(YEAR(Table8[[#This Row],[Date]])=2023,B475,0)+IF(ROW(D474)=1,0,D474)</f>
        <v>4195</v>
      </c>
      <c r="E475">
        <f>MAX(Table8[Cumulative 2023 Q4])</f>
        <v>4195</v>
      </c>
      <c r="F475">
        <f>IF(YEAR(Table8[[#This Row],[Date]])=2024,B475,0)+IF(ROW(F474)=1,0,F474)</f>
        <v>5831</v>
      </c>
      <c r="G475">
        <f>MAX(Table8[Cumulative 2024])</f>
        <v>5831</v>
      </c>
      <c r="H475">
        <f>IF(YEAR(Table8[[#This Row],[Date]])=2025,B475,0)+IF(ROW(H474)=1,0,H474)</f>
        <v>156</v>
      </c>
      <c r="I475">
        <f>MAX(Table8[Cumulative 2025])</f>
        <v>1377</v>
      </c>
      <c r="J475">
        <f>IF(YEAR(Table8[[#This Row],[Date]])=2026,B475,0)+IF(ROW(J474)=1,0,J474)</f>
        <v>0</v>
      </c>
      <c r="K475">
        <f>MAX(Table8[Cumulative 2026])</f>
        <v>3102</v>
      </c>
    </row>
    <row r="476" spans="1:48" hidden="1" x14ac:dyDescent="0.25">
      <c r="A476" s="1">
        <v>45685</v>
      </c>
      <c r="B476">
        <f>SUM(_xlfn.CHOOSEROWS(Table8[[The Golden Compass]:[end]],ROW()-1))</f>
        <v>0</v>
      </c>
      <c r="C476">
        <f>Table8[[#This Row],[Cumulative 2023 Q4]]+Table8[[#This Row],[Cumulative 2024]]+Table8[[#This Row],[Cumulative 2025]]+Table8[[#This Row],[Cumulative 2026]]</f>
        <v>10182</v>
      </c>
      <c r="D476">
        <f>IF(YEAR(Table8[[#This Row],[Date]])=2023,B476,0)+IF(ROW(D475)=1,0,D475)</f>
        <v>4195</v>
      </c>
      <c r="E476">
        <f>MAX(Table8[Cumulative 2023 Q4])</f>
        <v>4195</v>
      </c>
      <c r="F476">
        <f>IF(YEAR(Table8[[#This Row],[Date]])=2024,B476,0)+IF(ROW(F475)=1,0,F475)</f>
        <v>5831</v>
      </c>
      <c r="G476">
        <f>MAX(Table8[Cumulative 2024])</f>
        <v>5831</v>
      </c>
      <c r="H476">
        <f>IF(YEAR(Table8[[#This Row],[Date]])=2025,B476,0)+IF(ROW(H475)=1,0,H475)</f>
        <v>156</v>
      </c>
      <c r="I476">
        <f>MAX(Table8[Cumulative 2025])</f>
        <v>1377</v>
      </c>
      <c r="J476">
        <f>IF(YEAR(Table8[[#This Row],[Date]])=2026,B476,0)+IF(ROW(J475)=1,0,J475)</f>
        <v>0</v>
      </c>
      <c r="K476">
        <f>MAX(Table8[Cumulative 2026])</f>
        <v>3102</v>
      </c>
    </row>
    <row r="477" spans="1:48" hidden="1" x14ac:dyDescent="0.25">
      <c r="A477" s="1">
        <v>45686</v>
      </c>
      <c r="B477">
        <f>SUM(_xlfn.CHOOSEROWS(Table8[[The Golden Compass]:[end]],ROW()-1))</f>
        <v>0</v>
      </c>
      <c r="C477">
        <f>Table8[[#This Row],[Cumulative 2023 Q4]]+Table8[[#This Row],[Cumulative 2024]]+Table8[[#This Row],[Cumulative 2025]]+Table8[[#This Row],[Cumulative 2026]]</f>
        <v>10182</v>
      </c>
      <c r="D477">
        <f>IF(YEAR(Table8[[#This Row],[Date]])=2023,B477,0)+IF(ROW(D476)=1,0,D476)</f>
        <v>4195</v>
      </c>
      <c r="E477">
        <f>MAX(Table8[Cumulative 2023 Q4])</f>
        <v>4195</v>
      </c>
      <c r="F477">
        <f>IF(YEAR(Table8[[#This Row],[Date]])=2024,B477,0)+IF(ROW(F476)=1,0,F476)</f>
        <v>5831</v>
      </c>
      <c r="G477">
        <f>MAX(Table8[Cumulative 2024])</f>
        <v>5831</v>
      </c>
      <c r="H477">
        <f>IF(YEAR(Table8[[#This Row],[Date]])=2025,B477,0)+IF(ROW(H476)=1,0,H476)</f>
        <v>156</v>
      </c>
      <c r="I477">
        <f>MAX(Table8[Cumulative 2025])</f>
        <v>1377</v>
      </c>
      <c r="J477">
        <f>IF(YEAR(Table8[[#This Row],[Date]])=2026,B477,0)+IF(ROW(J476)=1,0,J476)</f>
        <v>0</v>
      </c>
      <c r="K477">
        <f>MAX(Table8[Cumulative 2026])</f>
        <v>3102</v>
      </c>
    </row>
    <row r="478" spans="1:48" hidden="1" x14ac:dyDescent="0.25">
      <c r="A478" s="1">
        <v>45687</v>
      </c>
      <c r="B478">
        <f>SUM(_xlfn.CHOOSEROWS(Table8[[The Golden Compass]:[end]],ROW()-1))</f>
        <v>0</v>
      </c>
      <c r="C478">
        <f>Table8[[#This Row],[Cumulative 2023 Q4]]+Table8[[#This Row],[Cumulative 2024]]+Table8[[#This Row],[Cumulative 2025]]+Table8[[#This Row],[Cumulative 2026]]</f>
        <v>10182</v>
      </c>
      <c r="D478">
        <f>IF(YEAR(Table8[[#This Row],[Date]])=2023,B478,0)+IF(ROW(D477)=1,0,D477)</f>
        <v>4195</v>
      </c>
      <c r="E478">
        <f>MAX(Table8[Cumulative 2023 Q4])</f>
        <v>4195</v>
      </c>
      <c r="F478">
        <f>IF(YEAR(Table8[[#This Row],[Date]])=2024,B478,0)+IF(ROW(F477)=1,0,F477)</f>
        <v>5831</v>
      </c>
      <c r="G478">
        <f>MAX(Table8[Cumulative 2024])</f>
        <v>5831</v>
      </c>
      <c r="H478">
        <f>IF(YEAR(Table8[[#This Row],[Date]])=2025,B478,0)+IF(ROW(H477)=1,0,H477)</f>
        <v>156</v>
      </c>
      <c r="I478">
        <f>MAX(Table8[Cumulative 2025])</f>
        <v>1377</v>
      </c>
      <c r="J478">
        <f>IF(YEAR(Table8[[#This Row],[Date]])=2026,B478,0)+IF(ROW(J477)=1,0,J477)</f>
        <v>0</v>
      </c>
      <c r="K478">
        <f>MAX(Table8[Cumulative 2026])</f>
        <v>3102</v>
      </c>
    </row>
    <row r="479" spans="1:48" hidden="1" x14ac:dyDescent="0.25">
      <c r="A479" s="1">
        <v>45688</v>
      </c>
      <c r="B479">
        <f>SUM(_xlfn.CHOOSEROWS(Table8[[The Golden Compass]:[end]],ROW()-1))</f>
        <v>0</v>
      </c>
      <c r="C479">
        <f>Table8[[#This Row],[Cumulative 2023 Q4]]+Table8[[#This Row],[Cumulative 2024]]+Table8[[#This Row],[Cumulative 2025]]+Table8[[#This Row],[Cumulative 2026]]</f>
        <v>10182</v>
      </c>
      <c r="D479">
        <f>IF(YEAR(Table8[[#This Row],[Date]])=2023,B479,0)+IF(ROW(D478)=1,0,D478)</f>
        <v>4195</v>
      </c>
      <c r="E479">
        <f>MAX(Table8[Cumulative 2023 Q4])</f>
        <v>4195</v>
      </c>
      <c r="F479">
        <f>IF(YEAR(Table8[[#This Row],[Date]])=2024,B479,0)+IF(ROW(F478)=1,0,F478)</f>
        <v>5831</v>
      </c>
      <c r="G479">
        <f>MAX(Table8[Cumulative 2024])</f>
        <v>5831</v>
      </c>
      <c r="H479">
        <f>IF(YEAR(Table8[[#This Row],[Date]])=2025,B479,0)+IF(ROW(H478)=1,0,H478)</f>
        <v>156</v>
      </c>
      <c r="I479">
        <f>MAX(Table8[Cumulative 2025])</f>
        <v>1377</v>
      </c>
      <c r="J479">
        <f>IF(YEAR(Table8[[#This Row],[Date]])=2026,B479,0)+IF(ROW(J478)=1,0,J478)</f>
        <v>0</v>
      </c>
      <c r="K479">
        <f>MAX(Table8[Cumulative 2026])</f>
        <v>3102</v>
      </c>
    </row>
    <row r="480" spans="1:48" hidden="1" x14ac:dyDescent="0.25">
      <c r="A480" s="1">
        <v>45689</v>
      </c>
      <c r="B480">
        <f>SUM(_xlfn.CHOOSEROWS(Table8[[The Golden Compass]:[end]],ROW()-1))</f>
        <v>0</v>
      </c>
      <c r="C480">
        <f>Table8[[#This Row],[Cumulative 2023 Q4]]+Table8[[#This Row],[Cumulative 2024]]+Table8[[#This Row],[Cumulative 2025]]+Table8[[#This Row],[Cumulative 2026]]</f>
        <v>10182</v>
      </c>
      <c r="D480">
        <f>IF(YEAR(Table8[[#This Row],[Date]])=2023,B480,0)+IF(ROW(D479)=1,0,D479)</f>
        <v>4195</v>
      </c>
      <c r="E480">
        <f>MAX(Table8[Cumulative 2023 Q4])</f>
        <v>4195</v>
      </c>
      <c r="F480">
        <f>IF(YEAR(Table8[[#This Row],[Date]])=2024,B480,0)+IF(ROW(F479)=1,0,F479)</f>
        <v>5831</v>
      </c>
      <c r="G480">
        <f>MAX(Table8[Cumulative 2024])</f>
        <v>5831</v>
      </c>
      <c r="H480">
        <f>IF(YEAR(Table8[[#This Row],[Date]])=2025,B480,0)+IF(ROW(H479)=1,0,H479)</f>
        <v>156</v>
      </c>
      <c r="I480">
        <f>MAX(Table8[Cumulative 2025])</f>
        <v>1377</v>
      </c>
      <c r="J480">
        <f>IF(YEAR(Table8[[#This Row],[Date]])=2026,B480,0)+IF(ROW(J479)=1,0,J479)</f>
        <v>0</v>
      </c>
      <c r="K480">
        <f>MAX(Table8[Cumulative 2026])</f>
        <v>3102</v>
      </c>
    </row>
    <row r="481" spans="1:50" hidden="1" x14ac:dyDescent="0.25">
      <c r="A481" s="1">
        <v>45690</v>
      </c>
      <c r="B481">
        <f>SUM(_xlfn.CHOOSEROWS(Table8[[The Golden Compass]:[end]],ROW()-1))</f>
        <v>0</v>
      </c>
      <c r="C481">
        <f>Table8[[#This Row],[Cumulative 2023 Q4]]+Table8[[#This Row],[Cumulative 2024]]+Table8[[#This Row],[Cumulative 2025]]+Table8[[#This Row],[Cumulative 2026]]</f>
        <v>10182</v>
      </c>
      <c r="D481">
        <f>IF(YEAR(Table8[[#This Row],[Date]])=2023,B481,0)+IF(ROW(D480)=1,0,D480)</f>
        <v>4195</v>
      </c>
      <c r="E481">
        <f>MAX(Table8[Cumulative 2023 Q4])</f>
        <v>4195</v>
      </c>
      <c r="F481">
        <f>IF(YEAR(Table8[[#This Row],[Date]])=2024,B481,0)+IF(ROW(F480)=1,0,F480)</f>
        <v>5831</v>
      </c>
      <c r="G481">
        <f>MAX(Table8[Cumulative 2024])</f>
        <v>5831</v>
      </c>
      <c r="H481">
        <f>IF(YEAR(Table8[[#This Row],[Date]])=2025,B481,0)+IF(ROW(H480)=1,0,H480)</f>
        <v>156</v>
      </c>
      <c r="I481">
        <f>MAX(Table8[Cumulative 2025])</f>
        <v>1377</v>
      </c>
      <c r="J481">
        <f>IF(YEAR(Table8[[#This Row],[Date]])=2026,B481,0)+IF(ROW(J480)=1,0,J480)</f>
        <v>0</v>
      </c>
      <c r="K481">
        <f>MAX(Table8[Cumulative 2026])</f>
        <v>3102</v>
      </c>
    </row>
    <row r="482" spans="1:50" hidden="1" x14ac:dyDescent="0.25">
      <c r="A482" s="1">
        <v>45691</v>
      </c>
      <c r="B482">
        <f>SUM(_xlfn.CHOOSEROWS(Table8[[The Golden Compass]:[end]],ROW()-1))</f>
        <v>0</v>
      </c>
      <c r="C482">
        <f>Table8[[#This Row],[Cumulative 2023 Q4]]+Table8[[#This Row],[Cumulative 2024]]+Table8[[#This Row],[Cumulative 2025]]+Table8[[#This Row],[Cumulative 2026]]</f>
        <v>10182</v>
      </c>
      <c r="D482">
        <f>IF(YEAR(Table8[[#This Row],[Date]])=2023,B482,0)+IF(ROW(D481)=1,0,D481)</f>
        <v>4195</v>
      </c>
      <c r="E482">
        <f>MAX(Table8[Cumulative 2023 Q4])</f>
        <v>4195</v>
      </c>
      <c r="F482">
        <f>IF(YEAR(Table8[[#This Row],[Date]])=2024,B482,0)+IF(ROW(F481)=1,0,F481)</f>
        <v>5831</v>
      </c>
      <c r="G482">
        <f>MAX(Table8[Cumulative 2024])</f>
        <v>5831</v>
      </c>
      <c r="H482">
        <f>IF(YEAR(Table8[[#This Row],[Date]])=2025,B482,0)+IF(ROW(H481)=1,0,H481)</f>
        <v>156</v>
      </c>
      <c r="I482">
        <f>MAX(Table8[Cumulative 2025])</f>
        <v>1377</v>
      </c>
      <c r="J482">
        <f>IF(YEAR(Table8[[#This Row],[Date]])=2026,B482,0)+IF(ROW(J481)=1,0,J481)</f>
        <v>0</v>
      </c>
      <c r="K482">
        <f>MAX(Table8[Cumulative 2026])</f>
        <v>3102</v>
      </c>
    </row>
    <row r="483" spans="1:50" hidden="1" x14ac:dyDescent="0.25">
      <c r="A483" s="1">
        <v>45692</v>
      </c>
      <c r="B483">
        <f>SUM(_xlfn.CHOOSEROWS(Table8[[The Golden Compass]:[end]],ROW()-1))</f>
        <v>0</v>
      </c>
      <c r="C483">
        <f>Table8[[#This Row],[Cumulative 2023 Q4]]+Table8[[#This Row],[Cumulative 2024]]+Table8[[#This Row],[Cumulative 2025]]+Table8[[#This Row],[Cumulative 2026]]</f>
        <v>10182</v>
      </c>
      <c r="D483">
        <f>IF(YEAR(Table8[[#This Row],[Date]])=2023,B483,0)+IF(ROW(D482)=1,0,D482)</f>
        <v>4195</v>
      </c>
      <c r="E483">
        <f>MAX(Table8[Cumulative 2023 Q4])</f>
        <v>4195</v>
      </c>
      <c r="F483">
        <f>IF(YEAR(Table8[[#This Row],[Date]])=2024,B483,0)+IF(ROW(F482)=1,0,F482)</f>
        <v>5831</v>
      </c>
      <c r="G483">
        <f>MAX(Table8[Cumulative 2024])</f>
        <v>5831</v>
      </c>
      <c r="H483">
        <f>IF(YEAR(Table8[[#This Row],[Date]])=2025,B483,0)+IF(ROW(H482)=1,0,H482)</f>
        <v>156</v>
      </c>
      <c r="I483">
        <f>MAX(Table8[Cumulative 2025])</f>
        <v>1377</v>
      </c>
      <c r="J483">
        <f>IF(YEAR(Table8[[#This Row],[Date]])=2026,B483,0)+IF(ROW(J482)=1,0,J482)</f>
        <v>0</v>
      </c>
      <c r="K483">
        <f>MAX(Table8[Cumulative 2026])</f>
        <v>3102</v>
      </c>
    </row>
    <row r="484" spans="1:50" hidden="1" x14ac:dyDescent="0.25">
      <c r="A484" s="1">
        <v>45693</v>
      </c>
      <c r="B484">
        <f>SUM(_xlfn.CHOOSEROWS(Table8[[The Golden Compass]:[end]],ROW()-1))</f>
        <v>0</v>
      </c>
      <c r="C484">
        <f>Table8[[#This Row],[Cumulative 2023 Q4]]+Table8[[#This Row],[Cumulative 2024]]+Table8[[#This Row],[Cumulative 2025]]+Table8[[#This Row],[Cumulative 2026]]</f>
        <v>10182</v>
      </c>
      <c r="D484">
        <f>IF(YEAR(Table8[[#This Row],[Date]])=2023,B484,0)+IF(ROW(D483)=1,0,D483)</f>
        <v>4195</v>
      </c>
      <c r="E484">
        <f>MAX(Table8[Cumulative 2023 Q4])</f>
        <v>4195</v>
      </c>
      <c r="F484">
        <f>IF(YEAR(Table8[[#This Row],[Date]])=2024,B484,0)+IF(ROW(F483)=1,0,F483)</f>
        <v>5831</v>
      </c>
      <c r="G484">
        <f>MAX(Table8[Cumulative 2024])</f>
        <v>5831</v>
      </c>
      <c r="H484">
        <f>IF(YEAR(Table8[[#This Row],[Date]])=2025,B484,0)+IF(ROW(H483)=1,0,H483)</f>
        <v>156</v>
      </c>
      <c r="I484">
        <f>MAX(Table8[Cumulative 2025])</f>
        <v>1377</v>
      </c>
      <c r="J484">
        <f>IF(YEAR(Table8[[#This Row],[Date]])=2026,B484,0)+IF(ROW(J483)=1,0,J483)</f>
        <v>0</v>
      </c>
      <c r="K484">
        <f>MAX(Table8[Cumulative 2026])</f>
        <v>3102</v>
      </c>
    </row>
    <row r="485" spans="1:50" hidden="1" x14ac:dyDescent="0.25">
      <c r="A485" s="1">
        <v>45694</v>
      </c>
      <c r="B485">
        <f>SUM(_xlfn.CHOOSEROWS(Table8[[The Golden Compass]:[end]],ROW()-1))</f>
        <v>0</v>
      </c>
      <c r="C485">
        <f>Table8[[#This Row],[Cumulative 2023 Q4]]+Table8[[#This Row],[Cumulative 2024]]+Table8[[#This Row],[Cumulative 2025]]+Table8[[#This Row],[Cumulative 2026]]</f>
        <v>10182</v>
      </c>
      <c r="D485">
        <f>IF(YEAR(Table8[[#This Row],[Date]])=2023,B485,0)+IF(ROW(D484)=1,0,D484)</f>
        <v>4195</v>
      </c>
      <c r="E485">
        <f>MAX(Table8[Cumulative 2023 Q4])</f>
        <v>4195</v>
      </c>
      <c r="F485">
        <f>IF(YEAR(Table8[[#This Row],[Date]])=2024,B485,0)+IF(ROW(F484)=1,0,F484)</f>
        <v>5831</v>
      </c>
      <c r="G485">
        <f>MAX(Table8[Cumulative 2024])</f>
        <v>5831</v>
      </c>
      <c r="H485">
        <f>IF(YEAR(Table8[[#This Row],[Date]])=2025,B485,0)+IF(ROW(H484)=1,0,H484)</f>
        <v>156</v>
      </c>
      <c r="I485">
        <f>MAX(Table8[Cumulative 2025])</f>
        <v>1377</v>
      </c>
      <c r="J485">
        <f>IF(YEAR(Table8[[#This Row],[Date]])=2026,B485,0)+IF(ROW(J484)=1,0,J484)</f>
        <v>0</v>
      </c>
      <c r="K485">
        <f>MAX(Table8[Cumulative 2026])</f>
        <v>3102</v>
      </c>
    </row>
    <row r="486" spans="1:50" hidden="1" x14ac:dyDescent="0.25">
      <c r="A486" s="1">
        <v>45695</v>
      </c>
      <c r="B486">
        <f>SUM(_xlfn.CHOOSEROWS(Table8[[The Golden Compass]:[end]],ROW()-1))</f>
        <v>33</v>
      </c>
      <c r="C486">
        <f>Table8[[#This Row],[Cumulative 2023 Q4]]+Table8[[#This Row],[Cumulative 2024]]+Table8[[#This Row],[Cumulative 2025]]+Table8[[#This Row],[Cumulative 2026]]</f>
        <v>10215</v>
      </c>
      <c r="D486">
        <f>IF(YEAR(Table8[[#This Row],[Date]])=2023,B486,0)+IF(ROW(D485)=1,0,D485)</f>
        <v>4195</v>
      </c>
      <c r="E486">
        <f>MAX(Table8[Cumulative 2023 Q4])</f>
        <v>4195</v>
      </c>
      <c r="F486">
        <f>IF(YEAR(Table8[[#This Row],[Date]])=2024,B486,0)+IF(ROW(F485)=1,0,F485)</f>
        <v>5831</v>
      </c>
      <c r="G486">
        <f>MAX(Table8[Cumulative 2024])</f>
        <v>5831</v>
      </c>
      <c r="H486">
        <f>IF(YEAR(Table8[[#This Row],[Date]])=2025,B486,0)+IF(ROW(H485)=1,0,H485)</f>
        <v>189</v>
      </c>
      <c r="I486">
        <f>MAX(Table8[Cumulative 2025])</f>
        <v>1377</v>
      </c>
      <c r="J486">
        <f>IF(YEAR(Table8[[#This Row],[Date]])=2026,B486,0)+IF(ROW(J485)=1,0,J485)</f>
        <v>0</v>
      </c>
      <c r="K486">
        <f>MAX(Table8[Cumulative 2026])</f>
        <v>3102</v>
      </c>
      <c r="AV486">
        <v>33</v>
      </c>
    </row>
    <row r="487" spans="1:50" hidden="1" x14ac:dyDescent="0.25">
      <c r="A487" s="1">
        <v>45696</v>
      </c>
      <c r="B487">
        <f>SUM(_xlfn.CHOOSEROWS(Table8[[The Golden Compass]:[end]],ROW()-1))</f>
        <v>88</v>
      </c>
      <c r="C487">
        <f>Table8[[#This Row],[Cumulative 2023 Q4]]+Table8[[#This Row],[Cumulative 2024]]+Table8[[#This Row],[Cumulative 2025]]+Table8[[#This Row],[Cumulative 2026]]</f>
        <v>10303</v>
      </c>
      <c r="D487">
        <f>IF(YEAR(Table8[[#This Row],[Date]])=2023,B487,0)+IF(ROW(D486)=1,0,D486)</f>
        <v>4195</v>
      </c>
      <c r="E487">
        <f>MAX(Table8[Cumulative 2023 Q4])</f>
        <v>4195</v>
      </c>
      <c r="F487">
        <f>IF(YEAR(Table8[[#This Row],[Date]])=2024,B487,0)+IF(ROW(F486)=1,0,F486)</f>
        <v>5831</v>
      </c>
      <c r="G487">
        <f>MAX(Table8[Cumulative 2024])</f>
        <v>5831</v>
      </c>
      <c r="H487">
        <f>IF(YEAR(Table8[[#This Row],[Date]])=2025,B487,0)+IF(ROW(H486)=1,0,H486)</f>
        <v>277</v>
      </c>
      <c r="I487">
        <f>MAX(Table8[Cumulative 2025])</f>
        <v>1377</v>
      </c>
      <c r="J487">
        <f>IF(YEAR(Table8[[#This Row],[Date]])=2026,B487,0)+IF(ROW(J486)=1,0,J486)</f>
        <v>0</v>
      </c>
      <c r="K487">
        <f>MAX(Table8[Cumulative 2026])</f>
        <v>3102</v>
      </c>
      <c r="AW487">
        <v>88</v>
      </c>
    </row>
    <row r="488" spans="1:50" hidden="1" x14ac:dyDescent="0.25">
      <c r="A488" s="1">
        <v>45697</v>
      </c>
      <c r="B488">
        <f>SUM(_xlfn.CHOOSEROWS(Table8[[The Golden Compass]:[end]],ROW()-1))</f>
        <v>0</v>
      </c>
      <c r="C488">
        <f>Table8[[#This Row],[Cumulative 2023 Q4]]+Table8[[#This Row],[Cumulative 2024]]+Table8[[#This Row],[Cumulative 2025]]+Table8[[#This Row],[Cumulative 2026]]</f>
        <v>10303</v>
      </c>
      <c r="D488">
        <f>IF(YEAR(Table8[[#This Row],[Date]])=2023,B488,0)+IF(ROW(D487)=1,0,D487)</f>
        <v>4195</v>
      </c>
      <c r="E488">
        <f>MAX(Table8[Cumulative 2023 Q4])</f>
        <v>4195</v>
      </c>
      <c r="F488">
        <f>IF(YEAR(Table8[[#This Row],[Date]])=2024,B488,0)+IF(ROW(F487)=1,0,F487)</f>
        <v>5831</v>
      </c>
      <c r="G488">
        <f>MAX(Table8[Cumulative 2024])</f>
        <v>5831</v>
      </c>
      <c r="H488">
        <f>IF(YEAR(Table8[[#This Row],[Date]])=2025,B488,0)+IF(ROW(H487)=1,0,H487)</f>
        <v>277</v>
      </c>
      <c r="I488">
        <f>MAX(Table8[Cumulative 2025])</f>
        <v>1377</v>
      </c>
      <c r="J488">
        <f>IF(YEAR(Table8[[#This Row],[Date]])=2026,B488,0)+IF(ROW(J487)=1,0,J487)</f>
        <v>0</v>
      </c>
      <c r="K488">
        <f>MAX(Table8[Cumulative 2026])</f>
        <v>3102</v>
      </c>
    </row>
    <row r="489" spans="1:50" hidden="1" x14ac:dyDescent="0.25">
      <c r="A489" s="1">
        <v>45698</v>
      </c>
      <c r="B489">
        <f>SUM(_xlfn.CHOOSEROWS(Table8[[The Golden Compass]:[end]],ROW()-1))</f>
        <v>38</v>
      </c>
      <c r="C489">
        <f>Table8[[#This Row],[Cumulative 2023 Q4]]+Table8[[#This Row],[Cumulative 2024]]+Table8[[#This Row],[Cumulative 2025]]+Table8[[#This Row],[Cumulative 2026]]</f>
        <v>10341</v>
      </c>
      <c r="D489">
        <f>IF(YEAR(Table8[[#This Row],[Date]])=2023,B489,0)+IF(ROW(D488)=1,0,D488)</f>
        <v>4195</v>
      </c>
      <c r="E489">
        <f>MAX(Table8[Cumulative 2023 Q4])</f>
        <v>4195</v>
      </c>
      <c r="F489">
        <f>IF(YEAR(Table8[[#This Row],[Date]])=2024,B489,0)+IF(ROW(F488)=1,0,F488)</f>
        <v>5831</v>
      </c>
      <c r="G489">
        <f>MAX(Table8[Cumulative 2024])</f>
        <v>5831</v>
      </c>
      <c r="H489">
        <f>IF(YEAR(Table8[[#This Row],[Date]])=2025,B489,0)+IF(ROW(H488)=1,0,H488)</f>
        <v>315</v>
      </c>
      <c r="I489">
        <f>MAX(Table8[Cumulative 2025])</f>
        <v>1377</v>
      </c>
      <c r="J489">
        <f>IF(YEAR(Table8[[#This Row],[Date]])=2026,B489,0)+IF(ROW(J488)=1,0,J488)</f>
        <v>0</v>
      </c>
      <c r="K489">
        <f>MAX(Table8[Cumulative 2026])</f>
        <v>3102</v>
      </c>
      <c r="AW489">
        <v>38</v>
      </c>
    </row>
    <row r="490" spans="1:50" hidden="1" x14ac:dyDescent="0.25">
      <c r="A490" s="1">
        <v>45699</v>
      </c>
      <c r="B490">
        <f>SUM(_xlfn.CHOOSEROWS(Table8[[The Golden Compass]:[end]],ROW()-1))</f>
        <v>0</v>
      </c>
      <c r="C490">
        <f>Table8[[#This Row],[Cumulative 2023 Q4]]+Table8[[#This Row],[Cumulative 2024]]+Table8[[#This Row],[Cumulative 2025]]+Table8[[#This Row],[Cumulative 2026]]</f>
        <v>10341</v>
      </c>
      <c r="D490">
        <f>IF(YEAR(Table8[[#This Row],[Date]])=2023,B490,0)+IF(ROW(D489)=1,0,D489)</f>
        <v>4195</v>
      </c>
      <c r="E490">
        <f>MAX(Table8[Cumulative 2023 Q4])</f>
        <v>4195</v>
      </c>
      <c r="F490">
        <f>IF(YEAR(Table8[[#This Row],[Date]])=2024,B490,0)+IF(ROW(F489)=1,0,F489)</f>
        <v>5831</v>
      </c>
      <c r="G490">
        <f>MAX(Table8[Cumulative 2024])</f>
        <v>5831</v>
      </c>
      <c r="H490">
        <f>IF(YEAR(Table8[[#This Row],[Date]])=2025,B490,0)+IF(ROW(H489)=1,0,H489)</f>
        <v>315</v>
      </c>
      <c r="I490">
        <f>MAX(Table8[Cumulative 2025])</f>
        <v>1377</v>
      </c>
      <c r="J490">
        <f>IF(YEAR(Table8[[#This Row],[Date]])=2026,B490,0)+IF(ROW(J489)=1,0,J489)</f>
        <v>0</v>
      </c>
      <c r="K490">
        <f>MAX(Table8[Cumulative 2026])</f>
        <v>3102</v>
      </c>
    </row>
    <row r="491" spans="1:50" hidden="1" x14ac:dyDescent="0.25">
      <c r="A491" s="1">
        <v>45700</v>
      </c>
      <c r="B491">
        <f>SUM(_xlfn.CHOOSEROWS(Table8[[The Golden Compass]:[end]],ROW()-1))</f>
        <v>34</v>
      </c>
      <c r="C491">
        <f>Table8[[#This Row],[Cumulative 2023 Q4]]+Table8[[#This Row],[Cumulative 2024]]+Table8[[#This Row],[Cumulative 2025]]+Table8[[#This Row],[Cumulative 2026]]</f>
        <v>10375</v>
      </c>
      <c r="D491">
        <f>IF(YEAR(Table8[[#This Row],[Date]])=2023,B491,0)+IF(ROW(D490)=1,0,D490)</f>
        <v>4195</v>
      </c>
      <c r="E491">
        <f>MAX(Table8[Cumulative 2023 Q4])</f>
        <v>4195</v>
      </c>
      <c r="F491">
        <f>IF(YEAR(Table8[[#This Row],[Date]])=2024,B491,0)+IF(ROW(F490)=1,0,F490)</f>
        <v>5831</v>
      </c>
      <c r="G491">
        <f>MAX(Table8[Cumulative 2024])</f>
        <v>5831</v>
      </c>
      <c r="H491">
        <f>IF(YEAR(Table8[[#This Row],[Date]])=2025,B491,0)+IF(ROW(H490)=1,0,H490)</f>
        <v>349</v>
      </c>
      <c r="I491">
        <f>MAX(Table8[Cumulative 2025])</f>
        <v>1377</v>
      </c>
      <c r="J491">
        <f>IF(YEAR(Table8[[#This Row],[Date]])=2026,B491,0)+IF(ROW(J490)=1,0,J490)</f>
        <v>0</v>
      </c>
      <c r="K491">
        <f>MAX(Table8[Cumulative 2026])</f>
        <v>3102</v>
      </c>
      <c r="AW491">
        <v>34</v>
      </c>
    </row>
    <row r="492" spans="1:50" hidden="1" x14ac:dyDescent="0.25">
      <c r="A492" s="1">
        <v>45701</v>
      </c>
      <c r="B492">
        <f>SUM(_xlfn.CHOOSEROWS(Table8[[The Golden Compass]:[end]],ROW()-1))</f>
        <v>0</v>
      </c>
      <c r="C492">
        <f>Table8[[#This Row],[Cumulative 2023 Q4]]+Table8[[#This Row],[Cumulative 2024]]+Table8[[#This Row],[Cumulative 2025]]+Table8[[#This Row],[Cumulative 2026]]</f>
        <v>10375</v>
      </c>
      <c r="D492">
        <f>IF(YEAR(Table8[[#This Row],[Date]])=2023,B492,0)+IF(ROW(D491)=1,0,D491)</f>
        <v>4195</v>
      </c>
      <c r="E492">
        <f>MAX(Table8[Cumulative 2023 Q4])</f>
        <v>4195</v>
      </c>
      <c r="F492">
        <f>IF(YEAR(Table8[[#This Row],[Date]])=2024,B492,0)+IF(ROW(F491)=1,0,F491)</f>
        <v>5831</v>
      </c>
      <c r="G492">
        <f>MAX(Table8[Cumulative 2024])</f>
        <v>5831</v>
      </c>
      <c r="H492">
        <f>IF(YEAR(Table8[[#This Row],[Date]])=2025,B492,0)+IF(ROW(H491)=1,0,H491)</f>
        <v>349</v>
      </c>
      <c r="I492">
        <f>MAX(Table8[Cumulative 2025])</f>
        <v>1377</v>
      </c>
      <c r="J492">
        <f>IF(YEAR(Table8[[#This Row],[Date]])=2026,B492,0)+IF(ROW(J491)=1,0,J491)</f>
        <v>0</v>
      </c>
      <c r="K492">
        <f>MAX(Table8[Cumulative 2026])</f>
        <v>3102</v>
      </c>
    </row>
    <row r="493" spans="1:50" hidden="1" x14ac:dyDescent="0.25">
      <c r="A493" s="1">
        <v>45702</v>
      </c>
      <c r="B493">
        <f>SUM(_xlfn.CHOOSEROWS(Table8[[The Golden Compass]:[end]],ROW()-1))</f>
        <v>0</v>
      </c>
      <c r="C493">
        <f>Table8[[#This Row],[Cumulative 2023 Q4]]+Table8[[#This Row],[Cumulative 2024]]+Table8[[#This Row],[Cumulative 2025]]+Table8[[#This Row],[Cumulative 2026]]</f>
        <v>10375</v>
      </c>
      <c r="D493">
        <f>IF(YEAR(Table8[[#This Row],[Date]])=2023,B493,0)+IF(ROW(D492)=1,0,D492)</f>
        <v>4195</v>
      </c>
      <c r="E493">
        <f>MAX(Table8[Cumulative 2023 Q4])</f>
        <v>4195</v>
      </c>
      <c r="F493">
        <f>IF(YEAR(Table8[[#This Row],[Date]])=2024,B493,0)+IF(ROW(F492)=1,0,F492)</f>
        <v>5831</v>
      </c>
      <c r="G493">
        <f>MAX(Table8[Cumulative 2024])</f>
        <v>5831</v>
      </c>
      <c r="H493">
        <f>IF(YEAR(Table8[[#This Row],[Date]])=2025,B493,0)+IF(ROW(H492)=1,0,H492)</f>
        <v>349</v>
      </c>
      <c r="I493">
        <f>MAX(Table8[Cumulative 2025])</f>
        <v>1377</v>
      </c>
      <c r="J493">
        <f>IF(YEAR(Table8[[#This Row],[Date]])=2026,B493,0)+IF(ROW(J492)=1,0,J492)</f>
        <v>0</v>
      </c>
      <c r="K493">
        <f>MAX(Table8[Cumulative 2026])</f>
        <v>3102</v>
      </c>
    </row>
    <row r="494" spans="1:50" hidden="1" x14ac:dyDescent="0.25">
      <c r="A494" s="1">
        <v>45703</v>
      </c>
      <c r="B494">
        <f>SUM(_xlfn.CHOOSEROWS(Table8[[The Golden Compass]:[end]],ROW()-1))</f>
        <v>129</v>
      </c>
      <c r="C494">
        <f>Table8[[#This Row],[Cumulative 2023 Q4]]+Table8[[#This Row],[Cumulative 2024]]+Table8[[#This Row],[Cumulative 2025]]+Table8[[#This Row],[Cumulative 2026]]</f>
        <v>10504</v>
      </c>
      <c r="D494">
        <f>IF(YEAR(Table8[[#This Row],[Date]])=2023,B494,0)+IF(ROW(D493)=1,0,D493)</f>
        <v>4195</v>
      </c>
      <c r="E494">
        <f>MAX(Table8[Cumulative 2023 Q4])</f>
        <v>4195</v>
      </c>
      <c r="F494">
        <f>IF(YEAR(Table8[[#This Row],[Date]])=2024,B494,0)+IF(ROW(F493)=1,0,F493)</f>
        <v>5831</v>
      </c>
      <c r="G494">
        <f>MAX(Table8[Cumulative 2024])</f>
        <v>5831</v>
      </c>
      <c r="H494">
        <f>IF(YEAR(Table8[[#This Row],[Date]])=2025,B494,0)+IF(ROW(H493)=1,0,H493)</f>
        <v>478</v>
      </c>
      <c r="I494">
        <f>MAX(Table8[Cumulative 2025])</f>
        <v>1377</v>
      </c>
      <c r="J494">
        <f>IF(YEAR(Table8[[#This Row],[Date]])=2026,B494,0)+IF(ROW(J493)=1,0,J493)</f>
        <v>0</v>
      </c>
      <c r="K494">
        <f>MAX(Table8[Cumulative 2026])</f>
        <v>3102</v>
      </c>
      <c r="AW494">
        <v>30</v>
      </c>
      <c r="AX494">
        <v>99</v>
      </c>
    </row>
    <row r="495" spans="1:50" hidden="1" x14ac:dyDescent="0.25">
      <c r="A495" s="1">
        <v>45704</v>
      </c>
      <c r="B495">
        <f>SUM(_xlfn.CHOOSEROWS(Table8[[The Golden Compass]:[end]],ROW()-1))</f>
        <v>0</v>
      </c>
      <c r="C495">
        <f>Table8[[#This Row],[Cumulative 2023 Q4]]+Table8[[#This Row],[Cumulative 2024]]+Table8[[#This Row],[Cumulative 2025]]+Table8[[#This Row],[Cumulative 2026]]</f>
        <v>10504</v>
      </c>
      <c r="D495">
        <f>IF(YEAR(Table8[[#This Row],[Date]])=2023,B495,0)+IF(ROW(D494)=1,0,D494)</f>
        <v>4195</v>
      </c>
      <c r="E495">
        <f>MAX(Table8[Cumulative 2023 Q4])</f>
        <v>4195</v>
      </c>
      <c r="F495">
        <f>IF(YEAR(Table8[[#This Row],[Date]])=2024,B495,0)+IF(ROW(F494)=1,0,F494)</f>
        <v>5831</v>
      </c>
      <c r="G495">
        <f>MAX(Table8[Cumulative 2024])</f>
        <v>5831</v>
      </c>
      <c r="H495">
        <f>IF(YEAR(Table8[[#This Row],[Date]])=2025,B495,0)+IF(ROW(H494)=1,0,H494)</f>
        <v>478</v>
      </c>
      <c r="I495">
        <f>MAX(Table8[Cumulative 2025])</f>
        <v>1377</v>
      </c>
      <c r="J495">
        <f>IF(YEAR(Table8[[#This Row],[Date]])=2026,B495,0)+IF(ROW(J494)=1,0,J494)</f>
        <v>0</v>
      </c>
      <c r="K495">
        <f>MAX(Table8[Cumulative 2026])</f>
        <v>3102</v>
      </c>
    </row>
    <row r="496" spans="1:50" hidden="1" x14ac:dyDescent="0.25">
      <c r="A496" s="1">
        <v>45705</v>
      </c>
      <c r="B496">
        <f>SUM(_xlfn.CHOOSEROWS(Table8[[The Golden Compass]:[end]],ROW()-1))</f>
        <v>0</v>
      </c>
      <c r="C496">
        <f>Table8[[#This Row],[Cumulative 2023 Q4]]+Table8[[#This Row],[Cumulative 2024]]+Table8[[#This Row],[Cumulative 2025]]+Table8[[#This Row],[Cumulative 2026]]</f>
        <v>10504</v>
      </c>
      <c r="D496">
        <f>IF(YEAR(Table8[[#This Row],[Date]])=2023,B496,0)+IF(ROW(D495)=1,0,D495)</f>
        <v>4195</v>
      </c>
      <c r="E496">
        <f>MAX(Table8[Cumulative 2023 Q4])</f>
        <v>4195</v>
      </c>
      <c r="F496">
        <f>IF(YEAR(Table8[[#This Row],[Date]])=2024,B496,0)+IF(ROW(F495)=1,0,F495)</f>
        <v>5831</v>
      </c>
      <c r="G496">
        <f>MAX(Table8[Cumulative 2024])</f>
        <v>5831</v>
      </c>
      <c r="H496">
        <f>IF(YEAR(Table8[[#This Row],[Date]])=2025,B496,0)+IF(ROW(H495)=1,0,H495)</f>
        <v>478</v>
      </c>
      <c r="I496">
        <f>MAX(Table8[Cumulative 2025])</f>
        <v>1377</v>
      </c>
      <c r="J496">
        <f>IF(YEAR(Table8[[#This Row],[Date]])=2026,B496,0)+IF(ROW(J495)=1,0,J495)</f>
        <v>0</v>
      </c>
      <c r="K496">
        <f>MAX(Table8[Cumulative 2026])</f>
        <v>3102</v>
      </c>
    </row>
    <row r="497" spans="1:50" hidden="1" x14ac:dyDescent="0.25">
      <c r="A497" s="1">
        <v>45706</v>
      </c>
      <c r="B497">
        <f>SUM(_xlfn.CHOOSEROWS(Table8[[The Golden Compass]:[end]],ROW()-1))</f>
        <v>19</v>
      </c>
      <c r="C497">
        <f>Table8[[#This Row],[Cumulative 2023 Q4]]+Table8[[#This Row],[Cumulative 2024]]+Table8[[#This Row],[Cumulative 2025]]+Table8[[#This Row],[Cumulative 2026]]</f>
        <v>10523</v>
      </c>
      <c r="D497">
        <f>IF(YEAR(Table8[[#This Row],[Date]])=2023,B497,0)+IF(ROW(D496)=1,0,D496)</f>
        <v>4195</v>
      </c>
      <c r="E497">
        <f>MAX(Table8[Cumulative 2023 Q4])</f>
        <v>4195</v>
      </c>
      <c r="F497">
        <f>IF(YEAR(Table8[[#This Row],[Date]])=2024,B497,0)+IF(ROW(F496)=1,0,F496)</f>
        <v>5831</v>
      </c>
      <c r="G497">
        <f>MAX(Table8[Cumulative 2024])</f>
        <v>5831</v>
      </c>
      <c r="H497">
        <f>IF(YEAR(Table8[[#This Row],[Date]])=2025,B497,0)+IF(ROW(H496)=1,0,H496)</f>
        <v>497</v>
      </c>
      <c r="I497">
        <f>MAX(Table8[Cumulative 2025])</f>
        <v>1377</v>
      </c>
      <c r="J497">
        <f>IF(YEAR(Table8[[#This Row],[Date]])=2026,B497,0)+IF(ROW(J496)=1,0,J496)</f>
        <v>0</v>
      </c>
      <c r="K497">
        <f>MAX(Table8[Cumulative 2026])</f>
        <v>3102</v>
      </c>
      <c r="AX497">
        <v>19</v>
      </c>
    </row>
    <row r="498" spans="1:50" hidden="1" x14ac:dyDescent="0.25">
      <c r="A498" s="1">
        <v>45707</v>
      </c>
      <c r="B498">
        <f>SUM(_xlfn.CHOOSEROWS(Table8[[The Golden Compass]:[end]],ROW()-1))</f>
        <v>25</v>
      </c>
      <c r="C498">
        <f>Table8[[#This Row],[Cumulative 2023 Q4]]+Table8[[#This Row],[Cumulative 2024]]+Table8[[#This Row],[Cumulative 2025]]+Table8[[#This Row],[Cumulative 2026]]</f>
        <v>10548</v>
      </c>
      <c r="D498">
        <f>IF(YEAR(Table8[[#This Row],[Date]])=2023,B498,0)+IF(ROW(D497)=1,0,D497)</f>
        <v>4195</v>
      </c>
      <c r="E498">
        <f>MAX(Table8[Cumulative 2023 Q4])</f>
        <v>4195</v>
      </c>
      <c r="F498">
        <f>IF(YEAR(Table8[[#This Row],[Date]])=2024,B498,0)+IF(ROW(F497)=1,0,F497)</f>
        <v>5831</v>
      </c>
      <c r="G498">
        <f>MAX(Table8[Cumulative 2024])</f>
        <v>5831</v>
      </c>
      <c r="H498">
        <f>IF(YEAR(Table8[[#This Row],[Date]])=2025,B498,0)+IF(ROW(H497)=1,0,H497)</f>
        <v>522</v>
      </c>
      <c r="I498">
        <f>MAX(Table8[Cumulative 2025])</f>
        <v>1377</v>
      </c>
      <c r="J498">
        <f>IF(YEAR(Table8[[#This Row],[Date]])=2026,B498,0)+IF(ROW(J497)=1,0,J497)</f>
        <v>0</v>
      </c>
      <c r="K498">
        <f>MAX(Table8[Cumulative 2026])</f>
        <v>3102</v>
      </c>
      <c r="AX498">
        <v>25</v>
      </c>
    </row>
    <row r="499" spans="1:50" hidden="1" x14ac:dyDescent="0.25">
      <c r="A499" s="1">
        <v>45708</v>
      </c>
      <c r="B499">
        <f>SUM(_xlfn.CHOOSEROWS(Table8[[The Golden Compass]:[end]],ROW()-1))</f>
        <v>23</v>
      </c>
      <c r="C499">
        <f>Table8[[#This Row],[Cumulative 2023 Q4]]+Table8[[#This Row],[Cumulative 2024]]+Table8[[#This Row],[Cumulative 2025]]+Table8[[#This Row],[Cumulative 2026]]</f>
        <v>10571</v>
      </c>
      <c r="D499">
        <f>IF(YEAR(Table8[[#This Row],[Date]])=2023,B499,0)+IF(ROW(D498)=1,0,D498)</f>
        <v>4195</v>
      </c>
      <c r="E499">
        <f>MAX(Table8[Cumulative 2023 Q4])</f>
        <v>4195</v>
      </c>
      <c r="F499">
        <f>IF(YEAR(Table8[[#This Row],[Date]])=2024,B499,0)+IF(ROW(F498)=1,0,F498)</f>
        <v>5831</v>
      </c>
      <c r="G499">
        <f>MAX(Table8[Cumulative 2024])</f>
        <v>5831</v>
      </c>
      <c r="H499">
        <f>IF(YEAR(Table8[[#This Row],[Date]])=2025,B499,0)+IF(ROW(H498)=1,0,H498)</f>
        <v>545</v>
      </c>
      <c r="I499">
        <f>MAX(Table8[Cumulative 2025])</f>
        <v>1377</v>
      </c>
      <c r="J499">
        <f>IF(YEAR(Table8[[#This Row],[Date]])=2026,B499,0)+IF(ROW(J498)=1,0,J498)</f>
        <v>0</v>
      </c>
      <c r="K499">
        <f>MAX(Table8[Cumulative 2026])</f>
        <v>3102</v>
      </c>
      <c r="AX499">
        <v>23</v>
      </c>
    </row>
    <row r="500" spans="1:50" hidden="1" x14ac:dyDescent="0.25">
      <c r="A500" s="1">
        <v>45709</v>
      </c>
      <c r="B500">
        <f>SUM(_xlfn.CHOOSEROWS(Table8[[The Golden Compass]:[end]],ROW()-1))</f>
        <v>0</v>
      </c>
      <c r="C500">
        <f>Table8[[#This Row],[Cumulative 2023 Q4]]+Table8[[#This Row],[Cumulative 2024]]+Table8[[#This Row],[Cumulative 2025]]+Table8[[#This Row],[Cumulative 2026]]</f>
        <v>10571</v>
      </c>
      <c r="D500">
        <f>IF(YEAR(Table8[[#This Row],[Date]])=2023,B500,0)+IF(ROW(D499)=1,0,D499)</f>
        <v>4195</v>
      </c>
      <c r="E500">
        <f>MAX(Table8[Cumulative 2023 Q4])</f>
        <v>4195</v>
      </c>
      <c r="F500">
        <f>IF(YEAR(Table8[[#This Row],[Date]])=2024,B500,0)+IF(ROW(F499)=1,0,F499)</f>
        <v>5831</v>
      </c>
      <c r="G500">
        <f>MAX(Table8[Cumulative 2024])</f>
        <v>5831</v>
      </c>
      <c r="H500">
        <f>IF(YEAR(Table8[[#This Row],[Date]])=2025,B500,0)+IF(ROW(H499)=1,0,H499)</f>
        <v>545</v>
      </c>
      <c r="I500">
        <f>MAX(Table8[Cumulative 2025])</f>
        <v>1377</v>
      </c>
      <c r="J500">
        <f>IF(YEAR(Table8[[#This Row],[Date]])=2026,B500,0)+IF(ROW(J499)=1,0,J499)</f>
        <v>0</v>
      </c>
      <c r="K500">
        <f>MAX(Table8[Cumulative 2026])</f>
        <v>3102</v>
      </c>
    </row>
    <row r="501" spans="1:50" hidden="1" x14ac:dyDescent="0.25">
      <c r="A501" s="1">
        <v>45710</v>
      </c>
      <c r="B501">
        <f>SUM(_xlfn.CHOOSEROWS(Table8[[The Golden Compass]:[end]],ROW()-1))</f>
        <v>72</v>
      </c>
      <c r="C501">
        <f>Table8[[#This Row],[Cumulative 2023 Q4]]+Table8[[#This Row],[Cumulative 2024]]+Table8[[#This Row],[Cumulative 2025]]+Table8[[#This Row],[Cumulative 2026]]</f>
        <v>10643</v>
      </c>
      <c r="D501">
        <f>IF(YEAR(Table8[[#This Row],[Date]])=2023,B501,0)+IF(ROW(D500)=1,0,D500)</f>
        <v>4195</v>
      </c>
      <c r="E501">
        <f>MAX(Table8[Cumulative 2023 Q4])</f>
        <v>4195</v>
      </c>
      <c r="F501">
        <f>IF(YEAR(Table8[[#This Row],[Date]])=2024,B501,0)+IF(ROW(F500)=1,0,F500)</f>
        <v>5831</v>
      </c>
      <c r="G501">
        <f>MAX(Table8[Cumulative 2024])</f>
        <v>5831</v>
      </c>
      <c r="H501">
        <f>IF(YEAR(Table8[[#This Row],[Date]])=2025,B501,0)+IF(ROW(H500)=1,0,H500)</f>
        <v>617</v>
      </c>
      <c r="I501">
        <f>MAX(Table8[Cumulative 2025])</f>
        <v>1377</v>
      </c>
      <c r="J501">
        <f>IF(YEAR(Table8[[#This Row],[Date]])=2026,B501,0)+IF(ROW(J500)=1,0,J500)</f>
        <v>0</v>
      </c>
      <c r="K501">
        <f>MAX(Table8[Cumulative 2026])</f>
        <v>3102</v>
      </c>
      <c r="AX501">
        <v>72</v>
      </c>
    </row>
    <row r="502" spans="1:50" hidden="1" x14ac:dyDescent="0.25">
      <c r="A502" s="1">
        <v>45711</v>
      </c>
      <c r="B502">
        <f>SUM(_xlfn.CHOOSEROWS(Table8[[The Golden Compass]:[end]],ROW()-1))</f>
        <v>46</v>
      </c>
      <c r="C502">
        <f>Table8[[#This Row],[Cumulative 2023 Q4]]+Table8[[#This Row],[Cumulative 2024]]+Table8[[#This Row],[Cumulative 2025]]+Table8[[#This Row],[Cumulative 2026]]</f>
        <v>10689</v>
      </c>
      <c r="D502">
        <f>IF(YEAR(Table8[[#This Row],[Date]])=2023,B502,0)+IF(ROW(D501)=1,0,D501)</f>
        <v>4195</v>
      </c>
      <c r="E502">
        <f>MAX(Table8[Cumulative 2023 Q4])</f>
        <v>4195</v>
      </c>
      <c r="F502">
        <f>IF(YEAR(Table8[[#This Row],[Date]])=2024,B502,0)+IF(ROW(F501)=1,0,F501)</f>
        <v>5831</v>
      </c>
      <c r="G502">
        <f>MAX(Table8[Cumulative 2024])</f>
        <v>5831</v>
      </c>
      <c r="H502">
        <f>IF(YEAR(Table8[[#This Row],[Date]])=2025,B502,0)+IF(ROW(H501)=1,0,H501)</f>
        <v>663</v>
      </c>
      <c r="I502">
        <f>MAX(Table8[Cumulative 2025])</f>
        <v>1377</v>
      </c>
      <c r="J502">
        <f>IF(YEAR(Table8[[#This Row],[Date]])=2026,B502,0)+IF(ROW(J501)=1,0,J501)</f>
        <v>0</v>
      </c>
      <c r="K502">
        <f>MAX(Table8[Cumulative 2026])</f>
        <v>3102</v>
      </c>
      <c r="AX502">
        <v>46</v>
      </c>
    </row>
    <row r="503" spans="1:50" hidden="1" x14ac:dyDescent="0.25">
      <c r="A503" s="1">
        <v>45712</v>
      </c>
      <c r="B503">
        <f>SUM(_xlfn.CHOOSEROWS(Table8[[The Golden Compass]:[end]],ROW()-1))</f>
        <v>12</v>
      </c>
      <c r="C503">
        <f>Table8[[#This Row],[Cumulative 2023 Q4]]+Table8[[#This Row],[Cumulative 2024]]+Table8[[#This Row],[Cumulative 2025]]+Table8[[#This Row],[Cumulative 2026]]</f>
        <v>10701</v>
      </c>
      <c r="D503">
        <f>IF(YEAR(Table8[[#This Row],[Date]])=2023,B503,0)+IF(ROW(D502)=1,0,D502)</f>
        <v>4195</v>
      </c>
      <c r="E503">
        <f>MAX(Table8[Cumulative 2023 Q4])</f>
        <v>4195</v>
      </c>
      <c r="F503">
        <f>IF(YEAR(Table8[[#This Row],[Date]])=2024,B503,0)+IF(ROW(F502)=1,0,F502)</f>
        <v>5831</v>
      </c>
      <c r="G503">
        <f>MAX(Table8[Cumulative 2024])</f>
        <v>5831</v>
      </c>
      <c r="H503">
        <f>IF(YEAR(Table8[[#This Row],[Date]])=2025,B503,0)+IF(ROW(H502)=1,0,H502)</f>
        <v>675</v>
      </c>
      <c r="I503">
        <f>MAX(Table8[Cumulative 2025])</f>
        <v>1377</v>
      </c>
      <c r="J503">
        <f>IF(YEAR(Table8[[#This Row],[Date]])=2026,B503,0)+IF(ROW(J502)=1,0,J502)</f>
        <v>0</v>
      </c>
      <c r="K503">
        <f>MAX(Table8[Cumulative 2026])</f>
        <v>3102</v>
      </c>
      <c r="AX503">
        <v>12</v>
      </c>
    </row>
    <row r="504" spans="1:50" hidden="1" x14ac:dyDescent="0.25">
      <c r="A504" s="1">
        <v>45713</v>
      </c>
      <c r="B504">
        <f>SUM(_xlfn.CHOOSEROWS(Table8[[The Golden Compass]:[end]],ROW()-1))</f>
        <v>0</v>
      </c>
      <c r="C504">
        <f>Table8[[#This Row],[Cumulative 2023 Q4]]+Table8[[#This Row],[Cumulative 2024]]+Table8[[#This Row],[Cumulative 2025]]+Table8[[#This Row],[Cumulative 2026]]</f>
        <v>10701</v>
      </c>
      <c r="D504">
        <f>IF(YEAR(Table8[[#This Row],[Date]])=2023,B504,0)+IF(ROW(D503)=1,0,D503)</f>
        <v>4195</v>
      </c>
      <c r="E504">
        <f>MAX(Table8[Cumulative 2023 Q4])</f>
        <v>4195</v>
      </c>
      <c r="F504">
        <f>IF(YEAR(Table8[[#This Row],[Date]])=2024,B504,0)+IF(ROW(F503)=1,0,F503)</f>
        <v>5831</v>
      </c>
      <c r="G504">
        <f>MAX(Table8[Cumulative 2024])</f>
        <v>5831</v>
      </c>
      <c r="H504">
        <f>IF(YEAR(Table8[[#This Row],[Date]])=2025,B504,0)+IF(ROW(H503)=1,0,H503)</f>
        <v>675</v>
      </c>
      <c r="I504">
        <f>MAX(Table8[Cumulative 2025])</f>
        <v>1377</v>
      </c>
      <c r="J504">
        <f>IF(YEAR(Table8[[#This Row],[Date]])=2026,B504,0)+IF(ROW(J503)=1,0,J503)</f>
        <v>0</v>
      </c>
      <c r="K504">
        <f>MAX(Table8[Cumulative 2026])</f>
        <v>3102</v>
      </c>
    </row>
    <row r="505" spans="1:50" hidden="1" x14ac:dyDescent="0.25">
      <c r="A505" s="1">
        <v>45714</v>
      </c>
      <c r="B505">
        <f>SUM(_xlfn.CHOOSEROWS(Table8[[The Golden Compass]:[end]],ROW()-1))</f>
        <v>0</v>
      </c>
      <c r="C505">
        <f>Table8[[#This Row],[Cumulative 2023 Q4]]+Table8[[#This Row],[Cumulative 2024]]+Table8[[#This Row],[Cumulative 2025]]+Table8[[#This Row],[Cumulative 2026]]</f>
        <v>10701</v>
      </c>
      <c r="D505">
        <f>IF(YEAR(Table8[[#This Row],[Date]])=2023,B505,0)+IF(ROW(D504)=1,0,D504)</f>
        <v>4195</v>
      </c>
      <c r="E505">
        <f>MAX(Table8[Cumulative 2023 Q4])</f>
        <v>4195</v>
      </c>
      <c r="F505">
        <f>IF(YEAR(Table8[[#This Row],[Date]])=2024,B505,0)+IF(ROW(F504)=1,0,F504)</f>
        <v>5831</v>
      </c>
      <c r="G505">
        <f>MAX(Table8[Cumulative 2024])</f>
        <v>5831</v>
      </c>
      <c r="H505">
        <f>IF(YEAR(Table8[[#This Row],[Date]])=2025,B505,0)+IF(ROW(H504)=1,0,H504)</f>
        <v>675</v>
      </c>
      <c r="I505">
        <f>MAX(Table8[Cumulative 2025])</f>
        <v>1377</v>
      </c>
      <c r="J505">
        <f>IF(YEAR(Table8[[#This Row],[Date]])=2026,B505,0)+IF(ROW(J504)=1,0,J504)</f>
        <v>0</v>
      </c>
      <c r="K505">
        <f>MAX(Table8[Cumulative 2026])</f>
        <v>3102</v>
      </c>
    </row>
    <row r="506" spans="1:50" hidden="1" x14ac:dyDescent="0.25">
      <c r="A506" s="1">
        <v>45715</v>
      </c>
      <c r="B506">
        <f>SUM(_xlfn.CHOOSEROWS(Table8[[The Golden Compass]:[end]],ROW()-1))</f>
        <v>0</v>
      </c>
      <c r="C506">
        <f>Table8[[#This Row],[Cumulative 2023 Q4]]+Table8[[#This Row],[Cumulative 2024]]+Table8[[#This Row],[Cumulative 2025]]+Table8[[#This Row],[Cumulative 2026]]</f>
        <v>10701</v>
      </c>
      <c r="D506">
        <f>IF(YEAR(Table8[[#This Row],[Date]])=2023,B506,0)+IF(ROW(D505)=1,0,D505)</f>
        <v>4195</v>
      </c>
      <c r="E506">
        <f>MAX(Table8[Cumulative 2023 Q4])</f>
        <v>4195</v>
      </c>
      <c r="F506">
        <f>IF(YEAR(Table8[[#This Row],[Date]])=2024,B506,0)+IF(ROW(F505)=1,0,F505)</f>
        <v>5831</v>
      </c>
      <c r="G506">
        <f>MAX(Table8[Cumulative 2024])</f>
        <v>5831</v>
      </c>
      <c r="H506">
        <f>IF(YEAR(Table8[[#This Row],[Date]])=2025,B506,0)+IF(ROW(H505)=1,0,H505)</f>
        <v>675</v>
      </c>
      <c r="I506">
        <f>MAX(Table8[Cumulative 2025])</f>
        <v>1377</v>
      </c>
      <c r="J506">
        <f>IF(YEAR(Table8[[#This Row],[Date]])=2026,B506,0)+IF(ROW(J505)=1,0,J505)</f>
        <v>0</v>
      </c>
      <c r="K506">
        <f>MAX(Table8[Cumulative 2026])</f>
        <v>3102</v>
      </c>
    </row>
    <row r="507" spans="1:50" hidden="1" x14ac:dyDescent="0.25">
      <c r="A507" s="1">
        <v>45716</v>
      </c>
      <c r="B507">
        <f>SUM(_xlfn.CHOOSEROWS(Table8[[The Golden Compass]:[end]],ROW()-1))</f>
        <v>0</v>
      </c>
      <c r="C507">
        <f>Table8[[#This Row],[Cumulative 2023 Q4]]+Table8[[#This Row],[Cumulative 2024]]+Table8[[#This Row],[Cumulative 2025]]+Table8[[#This Row],[Cumulative 2026]]</f>
        <v>10701</v>
      </c>
      <c r="D507">
        <f>IF(YEAR(Table8[[#This Row],[Date]])=2023,B507,0)+IF(ROW(D506)=1,0,D506)</f>
        <v>4195</v>
      </c>
      <c r="E507">
        <f>MAX(Table8[Cumulative 2023 Q4])</f>
        <v>4195</v>
      </c>
      <c r="F507">
        <f>IF(YEAR(Table8[[#This Row],[Date]])=2024,B507,0)+IF(ROW(F506)=1,0,F506)</f>
        <v>5831</v>
      </c>
      <c r="G507">
        <f>MAX(Table8[Cumulative 2024])</f>
        <v>5831</v>
      </c>
      <c r="H507">
        <f>IF(YEAR(Table8[[#This Row],[Date]])=2025,B507,0)+IF(ROW(H506)=1,0,H506)</f>
        <v>675</v>
      </c>
      <c r="I507">
        <f>MAX(Table8[Cumulative 2025])</f>
        <v>1377</v>
      </c>
      <c r="J507">
        <f>IF(YEAR(Table8[[#This Row],[Date]])=2026,B507,0)+IF(ROW(J506)=1,0,J506)</f>
        <v>0</v>
      </c>
      <c r="K507">
        <f>MAX(Table8[Cumulative 2026])</f>
        <v>3102</v>
      </c>
    </row>
    <row r="508" spans="1:50" hidden="1" x14ac:dyDescent="0.25">
      <c r="A508" s="1">
        <v>45717</v>
      </c>
      <c r="B508">
        <f>SUM(_xlfn.CHOOSEROWS(Table8[[The Golden Compass]:[end]],ROW()-1))</f>
        <v>0</v>
      </c>
      <c r="C508">
        <f>Table8[[#This Row],[Cumulative 2023 Q4]]+Table8[[#This Row],[Cumulative 2024]]+Table8[[#This Row],[Cumulative 2025]]+Table8[[#This Row],[Cumulative 2026]]</f>
        <v>10701</v>
      </c>
      <c r="D508">
        <f>IF(YEAR(Table8[[#This Row],[Date]])=2023,B508,0)+IF(ROW(D507)=1,0,D507)</f>
        <v>4195</v>
      </c>
      <c r="E508">
        <f>MAX(Table8[Cumulative 2023 Q4])</f>
        <v>4195</v>
      </c>
      <c r="F508">
        <f>IF(YEAR(Table8[[#This Row],[Date]])=2024,B508,0)+IF(ROW(F507)=1,0,F507)</f>
        <v>5831</v>
      </c>
      <c r="G508">
        <f>MAX(Table8[Cumulative 2024])</f>
        <v>5831</v>
      </c>
      <c r="H508">
        <f>IF(YEAR(Table8[[#This Row],[Date]])=2025,B508,0)+IF(ROW(H507)=1,0,H507)</f>
        <v>675</v>
      </c>
      <c r="I508">
        <f>MAX(Table8[Cumulative 2025])</f>
        <v>1377</v>
      </c>
      <c r="J508">
        <f>IF(YEAR(Table8[[#This Row],[Date]])=2026,B508,0)+IF(ROW(J507)=1,0,J507)</f>
        <v>0</v>
      </c>
      <c r="K508">
        <f>MAX(Table8[Cumulative 2026])</f>
        <v>3102</v>
      </c>
    </row>
    <row r="509" spans="1:50" hidden="1" x14ac:dyDescent="0.25">
      <c r="A509" s="1">
        <v>45718</v>
      </c>
      <c r="B509">
        <f>SUM(_xlfn.CHOOSEROWS(Table8[[The Golden Compass]:[end]],ROW()-1))</f>
        <v>107</v>
      </c>
      <c r="C509">
        <f>Table8[[#This Row],[Cumulative 2023 Q4]]+Table8[[#This Row],[Cumulative 2024]]+Table8[[#This Row],[Cumulative 2025]]+Table8[[#This Row],[Cumulative 2026]]</f>
        <v>10808</v>
      </c>
      <c r="D509">
        <f>IF(YEAR(Table8[[#This Row],[Date]])=2023,B509,0)+IF(ROW(D508)=1,0,D508)</f>
        <v>4195</v>
      </c>
      <c r="E509">
        <f>MAX(Table8[Cumulative 2023 Q4])</f>
        <v>4195</v>
      </c>
      <c r="F509">
        <f>IF(YEAR(Table8[[#This Row],[Date]])=2024,B509,0)+IF(ROW(F508)=1,0,F508)</f>
        <v>5831</v>
      </c>
      <c r="G509">
        <f>MAX(Table8[Cumulative 2024])</f>
        <v>5831</v>
      </c>
      <c r="H509">
        <f>IF(YEAR(Table8[[#This Row],[Date]])=2025,B509,0)+IF(ROW(H508)=1,0,H508)</f>
        <v>782</v>
      </c>
      <c r="I509">
        <f>MAX(Table8[Cumulative 2025])</f>
        <v>1377</v>
      </c>
      <c r="J509">
        <f>IF(YEAR(Table8[[#This Row],[Date]])=2026,B509,0)+IF(ROW(J508)=1,0,J508)</f>
        <v>0</v>
      </c>
      <c r="K509">
        <f>MAX(Table8[Cumulative 2026])</f>
        <v>3102</v>
      </c>
      <c r="AX509">
        <v>107</v>
      </c>
    </row>
    <row r="510" spans="1:50" hidden="1" x14ac:dyDescent="0.25">
      <c r="A510" s="1">
        <v>45719</v>
      </c>
      <c r="B510">
        <f>SUM(_xlfn.CHOOSEROWS(Table8[[The Golden Compass]:[end]],ROW()-1))</f>
        <v>0</v>
      </c>
      <c r="C510">
        <f>Table8[[#This Row],[Cumulative 2023 Q4]]+Table8[[#This Row],[Cumulative 2024]]+Table8[[#This Row],[Cumulative 2025]]+Table8[[#This Row],[Cumulative 2026]]</f>
        <v>10808</v>
      </c>
      <c r="D510">
        <f>IF(YEAR(Table8[[#This Row],[Date]])=2023,B510,0)+IF(ROW(D509)=1,0,D509)</f>
        <v>4195</v>
      </c>
      <c r="E510">
        <f>MAX(Table8[Cumulative 2023 Q4])</f>
        <v>4195</v>
      </c>
      <c r="F510">
        <f>IF(YEAR(Table8[[#This Row],[Date]])=2024,B510,0)+IF(ROW(F509)=1,0,F509)</f>
        <v>5831</v>
      </c>
      <c r="G510">
        <f>MAX(Table8[Cumulative 2024])</f>
        <v>5831</v>
      </c>
      <c r="H510">
        <f>IF(YEAR(Table8[[#This Row],[Date]])=2025,B510,0)+IF(ROW(H509)=1,0,H509)</f>
        <v>782</v>
      </c>
      <c r="I510">
        <f>MAX(Table8[Cumulative 2025])</f>
        <v>1377</v>
      </c>
      <c r="J510">
        <f>IF(YEAR(Table8[[#This Row],[Date]])=2026,B510,0)+IF(ROW(J509)=1,0,J509)</f>
        <v>0</v>
      </c>
      <c r="K510">
        <f>MAX(Table8[Cumulative 2026])</f>
        <v>3102</v>
      </c>
    </row>
    <row r="511" spans="1:50" hidden="1" x14ac:dyDescent="0.25">
      <c r="A511" s="1">
        <v>45720</v>
      </c>
      <c r="B511">
        <f>SUM(_xlfn.CHOOSEROWS(Table8[[The Golden Compass]:[end]],ROW()-1))</f>
        <v>0</v>
      </c>
      <c r="C511">
        <f>Table8[[#This Row],[Cumulative 2023 Q4]]+Table8[[#This Row],[Cumulative 2024]]+Table8[[#This Row],[Cumulative 2025]]+Table8[[#This Row],[Cumulative 2026]]</f>
        <v>10808</v>
      </c>
      <c r="D511">
        <f>IF(YEAR(Table8[[#This Row],[Date]])=2023,B511,0)+IF(ROW(D510)=1,0,D510)</f>
        <v>4195</v>
      </c>
      <c r="E511">
        <f>MAX(Table8[Cumulative 2023 Q4])</f>
        <v>4195</v>
      </c>
      <c r="F511">
        <f>IF(YEAR(Table8[[#This Row],[Date]])=2024,B511,0)+IF(ROW(F510)=1,0,F510)</f>
        <v>5831</v>
      </c>
      <c r="G511">
        <f>MAX(Table8[Cumulative 2024])</f>
        <v>5831</v>
      </c>
      <c r="H511">
        <f>IF(YEAR(Table8[[#This Row],[Date]])=2025,B511,0)+IF(ROW(H510)=1,0,H510)</f>
        <v>782</v>
      </c>
      <c r="I511">
        <f>MAX(Table8[Cumulative 2025])</f>
        <v>1377</v>
      </c>
      <c r="J511">
        <f>IF(YEAR(Table8[[#This Row],[Date]])=2026,B511,0)+IF(ROW(J510)=1,0,J510)</f>
        <v>0</v>
      </c>
      <c r="K511">
        <f>MAX(Table8[Cumulative 2026])</f>
        <v>3102</v>
      </c>
    </row>
    <row r="512" spans="1:50" hidden="1" x14ac:dyDescent="0.25">
      <c r="A512" s="1">
        <v>45721</v>
      </c>
      <c r="B512">
        <f>SUM(_xlfn.CHOOSEROWS(Table8[[The Golden Compass]:[end]],ROW()-1))</f>
        <v>0</v>
      </c>
      <c r="C512">
        <f>Table8[[#This Row],[Cumulative 2023 Q4]]+Table8[[#This Row],[Cumulative 2024]]+Table8[[#This Row],[Cumulative 2025]]+Table8[[#This Row],[Cumulative 2026]]</f>
        <v>10808</v>
      </c>
      <c r="D512">
        <f>IF(YEAR(Table8[[#This Row],[Date]])=2023,B512,0)+IF(ROW(D511)=1,0,D511)</f>
        <v>4195</v>
      </c>
      <c r="E512">
        <f>MAX(Table8[Cumulative 2023 Q4])</f>
        <v>4195</v>
      </c>
      <c r="F512">
        <f>IF(YEAR(Table8[[#This Row],[Date]])=2024,B512,0)+IF(ROW(F511)=1,0,F511)</f>
        <v>5831</v>
      </c>
      <c r="G512">
        <f>MAX(Table8[Cumulative 2024])</f>
        <v>5831</v>
      </c>
      <c r="H512">
        <f>IF(YEAR(Table8[[#This Row],[Date]])=2025,B512,0)+IF(ROW(H511)=1,0,H511)</f>
        <v>782</v>
      </c>
      <c r="I512">
        <f>MAX(Table8[Cumulative 2025])</f>
        <v>1377</v>
      </c>
      <c r="J512">
        <f>IF(YEAR(Table8[[#This Row],[Date]])=2026,B512,0)+IF(ROW(J511)=1,0,J511)</f>
        <v>0</v>
      </c>
      <c r="K512">
        <f>MAX(Table8[Cumulative 2026])</f>
        <v>3102</v>
      </c>
    </row>
    <row r="513" spans="1:11" hidden="1" x14ac:dyDescent="0.25">
      <c r="A513" s="1">
        <v>45722</v>
      </c>
      <c r="B513">
        <f>SUM(_xlfn.CHOOSEROWS(Table8[[The Golden Compass]:[end]],ROW()-1))</f>
        <v>0</v>
      </c>
      <c r="C513">
        <f>Table8[[#This Row],[Cumulative 2023 Q4]]+Table8[[#This Row],[Cumulative 2024]]+Table8[[#This Row],[Cumulative 2025]]+Table8[[#This Row],[Cumulative 2026]]</f>
        <v>10808</v>
      </c>
      <c r="D513">
        <f>IF(YEAR(Table8[[#This Row],[Date]])=2023,B513,0)+IF(ROW(D512)=1,0,D512)</f>
        <v>4195</v>
      </c>
      <c r="E513">
        <f>MAX(Table8[Cumulative 2023 Q4])</f>
        <v>4195</v>
      </c>
      <c r="F513">
        <f>IF(YEAR(Table8[[#This Row],[Date]])=2024,B513,0)+IF(ROW(F512)=1,0,F512)</f>
        <v>5831</v>
      </c>
      <c r="G513">
        <f>MAX(Table8[Cumulative 2024])</f>
        <v>5831</v>
      </c>
      <c r="H513">
        <f>IF(YEAR(Table8[[#This Row],[Date]])=2025,B513,0)+IF(ROW(H512)=1,0,H512)</f>
        <v>782</v>
      </c>
      <c r="I513">
        <f>MAX(Table8[Cumulative 2025])</f>
        <v>1377</v>
      </c>
      <c r="J513">
        <f>IF(YEAR(Table8[[#This Row],[Date]])=2026,B513,0)+IF(ROW(J512)=1,0,J512)</f>
        <v>0</v>
      </c>
      <c r="K513">
        <f>MAX(Table8[Cumulative 2026])</f>
        <v>3102</v>
      </c>
    </row>
    <row r="514" spans="1:11" hidden="1" x14ac:dyDescent="0.25">
      <c r="A514" s="1">
        <v>45723</v>
      </c>
      <c r="B514">
        <f>SUM(_xlfn.CHOOSEROWS(Table8[[The Golden Compass]:[end]],ROW()-1))</f>
        <v>0</v>
      </c>
      <c r="C514">
        <f>Table8[[#This Row],[Cumulative 2023 Q4]]+Table8[[#This Row],[Cumulative 2024]]+Table8[[#This Row],[Cumulative 2025]]+Table8[[#This Row],[Cumulative 2026]]</f>
        <v>10808</v>
      </c>
      <c r="D514">
        <f>IF(YEAR(Table8[[#This Row],[Date]])=2023,B514,0)+IF(ROW(D513)=1,0,D513)</f>
        <v>4195</v>
      </c>
      <c r="E514">
        <f>MAX(Table8[Cumulative 2023 Q4])</f>
        <v>4195</v>
      </c>
      <c r="F514">
        <f>IF(YEAR(Table8[[#This Row],[Date]])=2024,B514,0)+IF(ROW(F513)=1,0,F513)</f>
        <v>5831</v>
      </c>
      <c r="G514">
        <f>MAX(Table8[Cumulative 2024])</f>
        <v>5831</v>
      </c>
      <c r="H514">
        <f>IF(YEAR(Table8[[#This Row],[Date]])=2025,B514,0)+IF(ROW(H513)=1,0,H513)</f>
        <v>782</v>
      </c>
      <c r="I514">
        <f>MAX(Table8[Cumulative 2025])</f>
        <v>1377</v>
      </c>
      <c r="J514">
        <f>IF(YEAR(Table8[[#This Row],[Date]])=2026,B514,0)+IF(ROW(J513)=1,0,J513)</f>
        <v>0</v>
      </c>
      <c r="K514">
        <f>MAX(Table8[Cumulative 2026])</f>
        <v>3102</v>
      </c>
    </row>
    <row r="515" spans="1:11" hidden="1" x14ac:dyDescent="0.25">
      <c r="A515" s="1">
        <v>45724</v>
      </c>
      <c r="B515">
        <f>SUM(_xlfn.CHOOSEROWS(Table8[[The Golden Compass]:[end]],ROW()-1))</f>
        <v>0</v>
      </c>
      <c r="C515">
        <f>Table8[[#This Row],[Cumulative 2023 Q4]]+Table8[[#This Row],[Cumulative 2024]]+Table8[[#This Row],[Cumulative 2025]]+Table8[[#This Row],[Cumulative 2026]]</f>
        <v>10808</v>
      </c>
      <c r="D515">
        <f>IF(YEAR(Table8[[#This Row],[Date]])=2023,B515,0)+IF(ROW(D514)=1,0,D514)</f>
        <v>4195</v>
      </c>
      <c r="E515">
        <f>MAX(Table8[Cumulative 2023 Q4])</f>
        <v>4195</v>
      </c>
      <c r="F515">
        <f>IF(YEAR(Table8[[#This Row],[Date]])=2024,B515,0)+IF(ROW(F514)=1,0,F514)</f>
        <v>5831</v>
      </c>
      <c r="G515">
        <f>MAX(Table8[Cumulative 2024])</f>
        <v>5831</v>
      </c>
      <c r="H515">
        <f>IF(YEAR(Table8[[#This Row],[Date]])=2025,B515,0)+IF(ROW(H514)=1,0,H514)</f>
        <v>782</v>
      </c>
      <c r="I515">
        <f>MAX(Table8[Cumulative 2025])</f>
        <v>1377</v>
      </c>
      <c r="J515">
        <f>IF(YEAR(Table8[[#This Row],[Date]])=2026,B515,0)+IF(ROW(J514)=1,0,J514)</f>
        <v>0</v>
      </c>
      <c r="K515">
        <f>MAX(Table8[Cumulative 2026])</f>
        <v>3102</v>
      </c>
    </row>
    <row r="516" spans="1:11" hidden="1" x14ac:dyDescent="0.25">
      <c r="A516" s="1">
        <v>45725</v>
      </c>
      <c r="B516">
        <f>SUM(_xlfn.CHOOSEROWS(Table8[[The Golden Compass]:[end]],ROW()-1))</f>
        <v>0</v>
      </c>
      <c r="C516">
        <f>Table8[[#This Row],[Cumulative 2023 Q4]]+Table8[[#This Row],[Cumulative 2024]]+Table8[[#This Row],[Cumulative 2025]]+Table8[[#This Row],[Cumulative 2026]]</f>
        <v>10808</v>
      </c>
      <c r="D516">
        <f>IF(YEAR(Table8[[#This Row],[Date]])=2023,B516,0)+IF(ROW(D515)=1,0,D515)</f>
        <v>4195</v>
      </c>
      <c r="E516">
        <f>MAX(Table8[Cumulative 2023 Q4])</f>
        <v>4195</v>
      </c>
      <c r="F516">
        <f>IF(YEAR(Table8[[#This Row],[Date]])=2024,B516,0)+IF(ROW(F515)=1,0,F515)</f>
        <v>5831</v>
      </c>
      <c r="G516">
        <f>MAX(Table8[Cumulative 2024])</f>
        <v>5831</v>
      </c>
      <c r="H516">
        <f>IF(YEAR(Table8[[#This Row],[Date]])=2025,B516,0)+IF(ROW(H515)=1,0,H515)</f>
        <v>782</v>
      </c>
      <c r="I516">
        <f>MAX(Table8[Cumulative 2025])</f>
        <v>1377</v>
      </c>
      <c r="J516">
        <f>IF(YEAR(Table8[[#This Row],[Date]])=2026,B516,0)+IF(ROW(J515)=1,0,J515)</f>
        <v>0</v>
      </c>
      <c r="K516">
        <f>MAX(Table8[Cumulative 2026])</f>
        <v>3102</v>
      </c>
    </row>
    <row r="517" spans="1:11" hidden="1" x14ac:dyDescent="0.25">
      <c r="A517" s="1">
        <v>45726</v>
      </c>
      <c r="B517">
        <f>SUM(_xlfn.CHOOSEROWS(Table8[[The Golden Compass]:[end]],ROW()-1))</f>
        <v>0</v>
      </c>
      <c r="C517">
        <f>Table8[[#This Row],[Cumulative 2023 Q4]]+Table8[[#This Row],[Cumulative 2024]]+Table8[[#This Row],[Cumulative 2025]]+Table8[[#This Row],[Cumulative 2026]]</f>
        <v>10808</v>
      </c>
      <c r="D517">
        <f>IF(YEAR(Table8[[#This Row],[Date]])=2023,B517,0)+IF(ROW(D516)=1,0,D516)</f>
        <v>4195</v>
      </c>
      <c r="E517">
        <f>MAX(Table8[Cumulative 2023 Q4])</f>
        <v>4195</v>
      </c>
      <c r="F517">
        <f>IF(YEAR(Table8[[#This Row],[Date]])=2024,B517,0)+IF(ROW(F516)=1,0,F516)</f>
        <v>5831</v>
      </c>
      <c r="G517">
        <f>MAX(Table8[Cumulative 2024])</f>
        <v>5831</v>
      </c>
      <c r="H517">
        <f>IF(YEAR(Table8[[#This Row],[Date]])=2025,B517,0)+IF(ROW(H516)=1,0,H516)</f>
        <v>782</v>
      </c>
      <c r="I517">
        <f>MAX(Table8[Cumulative 2025])</f>
        <v>1377</v>
      </c>
      <c r="J517">
        <f>IF(YEAR(Table8[[#This Row],[Date]])=2026,B517,0)+IF(ROW(J516)=1,0,J516)</f>
        <v>0</v>
      </c>
      <c r="K517">
        <f>MAX(Table8[Cumulative 2026])</f>
        <v>3102</v>
      </c>
    </row>
    <row r="518" spans="1:11" hidden="1" x14ac:dyDescent="0.25">
      <c r="A518" s="1">
        <v>45727</v>
      </c>
      <c r="B518">
        <f>SUM(_xlfn.CHOOSEROWS(Table8[[The Golden Compass]:[end]],ROW()-1))</f>
        <v>0</v>
      </c>
      <c r="C518">
        <f>Table8[[#This Row],[Cumulative 2023 Q4]]+Table8[[#This Row],[Cumulative 2024]]+Table8[[#This Row],[Cumulative 2025]]+Table8[[#This Row],[Cumulative 2026]]</f>
        <v>10808</v>
      </c>
      <c r="D518">
        <f>IF(YEAR(Table8[[#This Row],[Date]])=2023,B518,0)+IF(ROW(D517)=1,0,D517)</f>
        <v>4195</v>
      </c>
      <c r="E518">
        <f>MAX(Table8[Cumulative 2023 Q4])</f>
        <v>4195</v>
      </c>
      <c r="F518">
        <f>IF(YEAR(Table8[[#This Row],[Date]])=2024,B518,0)+IF(ROW(F517)=1,0,F517)</f>
        <v>5831</v>
      </c>
      <c r="G518">
        <f>MAX(Table8[Cumulative 2024])</f>
        <v>5831</v>
      </c>
      <c r="H518">
        <f>IF(YEAR(Table8[[#This Row],[Date]])=2025,B518,0)+IF(ROW(H517)=1,0,H517)</f>
        <v>782</v>
      </c>
      <c r="I518">
        <f>MAX(Table8[Cumulative 2025])</f>
        <v>1377</v>
      </c>
      <c r="J518">
        <f>IF(YEAR(Table8[[#This Row],[Date]])=2026,B518,0)+IF(ROW(J517)=1,0,J517)</f>
        <v>0</v>
      </c>
      <c r="K518">
        <f>MAX(Table8[Cumulative 2026])</f>
        <v>3102</v>
      </c>
    </row>
    <row r="519" spans="1:11" hidden="1" x14ac:dyDescent="0.25">
      <c r="A519" s="1">
        <v>45728</v>
      </c>
      <c r="B519">
        <f>SUM(_xlfn.CHOOSEROWS(Table8[[The Golden Compass]:[end]],ROW()-1))</f>
        <v>0</v>
      </c>
      <c r="C519">
        <f>Table8[[#This Row],[Cumulative 2023 Q4]]+Table8[[#This Row],[Cumulative 2024]]+Table8[[#This Row],[Cumulative 2025]]+Table8[[#This Row],[Cumulative 2026]]</f>
        <v>10808</v>
      </c>
      <c r="D519">
        <f>IF(YEAR(Table8[[#This Row],[Date]])=2023,B519,0)+IF(ROW(D518)=1,0,D518)</f>
        <v>4195</v>
      </c>
      <c r="E519">
        <f>MAX(Table8[Cumulative 2023 Q4])</f>
        <v>4195</v>
      </c>
      <c r="F519">
        <f>IF(YEAR(Table8[[#This Row],[Date]])=2024,B519,0)+IF(ROW(F518)=1,0,F518)</f>
        <v>5831</v>
      </c>
      <c r="G519">
        <f>MAX(Table8[Cumulative 2024])</f>
        <v>5831</v>
      </c>
      <c r="H519">
        <f>IF(YEAR(Table8[[#This Row],[Date]])=2025,B519,0)+IF(ROW(H518)=1,0,H518)</f>
        <v>782</v>
      </c>
      <c r="I519">
        <f>MAX(Table8[Cumulative 2025])</f>
        <v>1377</v>
      </c>
      <c r="J519">
        <f>IF(YEAR(Table8[[#This Row],[Date]])=2026,B519,0)+IF(ROW(J518)=1,0,J518)</f>
        <v>0</v>
      </c>
      <c r="K519">
        <f>MAX(Table8[Cumulative 2026])</f>
        <v>3102</v>
      </c>
    </row>
    <row r="520" spans="1:11" hidden="1" x14ac:dyDescent="0.25">
      <c r="A520" s="1">
        <v>45729</v>
      </c>
      <c r="B520">
        <f>SUM(_xlfn.CHOOSEROWS(Table8[[The Golden Compass]:[end]],ROW()-1))</f>
        <v>0</v>
      </c>
      <c r="C520">
        <f>Table8[[#This Row],[Cumulative 2023 Q4]]+Table8[[#This Row],[Cumulative 2024]]+Table8[[#This Row],[Cumulative 2025]]+Table8[[#This Row],[Cumulative 2026]]</f>
        <v>10808</v>
      </c>
      <c r="D520">
        <f>IF(YEAR(Table8[[#This Row],[Date]])=2023,B520,0)+IF(ROW(D519)=1,0,D519)</f>
        <v>4195</v>
      </c>
      <c r="E520">
        <f>MAX(Table8[Cumulative 2023 Q4])</f>
        <v>4195</v>
      </c>
      <c r="F520">
        <f>IF(YEAR(Table8[[#This Row],[Date]])=2024,B520,0)+IF(ROW(F519)=1,0,F519)</f>
        <v>5831</v>
      </c>
      <c r="G520">
        <f>MAX(Table8[Cumulative 2024])</f>
        <v>5831</v>
      </c>
      <c r="H520">
        <f>IF(YEAR(Table8[[#This Row],[Date]])=2025,B520,0)+IF(ROW(H519)=1,0,H519)</f>
        <v>782</v>
      </c>
      <c r="I520">
        <f>MAX(Table8[Cumulative 2025])</f>
        <v>1377</v>
      </c>
      <c r="J520">
        <f>IF(YEAR(Table8[[#This Row],[Date]])=2026,B520,0)+IF(ROW(J519)=1,0,J519)</f>
        <v>0</v>
      </c>
      <c r="K520">
        <f>MAX(Table8[Cumulative 2026])</f>
        <v>3102</v>
      </c>
    </row>
    <row r="521" spans="1:11" hidden="1" x14ac:dyDescent="0.25">
      <c r="A521" s="1">
        <v>45730</v>
      </c>
      <c r="B521">
        <f>SUM(_xlfn.CHOOSEROWS(Table8[[The Golden Compass]:[end]],ROW()-1))</f>
        <v>0</v>
      </c>
      <c r="C521">
        <f>Table8[[#This Row],[Cumulative 2023 Q4]]+Table8[[#This Row],[Cumulative 2024]]+Table8[[#This Row],[Cumulative 2025]]+Table8[[#This Row],[Cumulative 2026]]</f>
        <v>10808</v>
      </c>
      <c r="D521">
        <f>IF(YEAR(Table8[[#This Row],[Date]])=2023,B521,0)+IF(ROW(D520)=1,0,D520)</f>
        <v>4195</v>
      </c>
      <c r="E521">
        <f>MAX(Table8[Cumulative 2023 Q4])</f>
        <v>4195</v>
      </c>
      <c r="F521">
        <f>IF(YEAR(Table8[[#This Row],[Date]])=2024,B521,0)+IF(ROW(F520)=1,0,F520)</f>
        <v>5831</v>
      </c>
      <c r="G521">
        <f>MAX(Table8[Cumulative 2024])</f>
        <v>5831</v>
      </c>
      <c r="H521">
        <f>IF(YEAR(Table8[[#This Row],[Date]])=2025,B521,0)+IF(ROW(H520)=1,0,H520)</f>
        <v>782</v>
      </c>
      <c r="I521">
        <f>MAX(Table8[Cumulative 2025])</f>
        <v>1377</v>
      </c>
      <c r="J521">
        <f>IF(YEAR(Table8[[#This Row],[Date]])=2026,B521,0)+IF(ROW(J520)=1,0,J520)</f>
        <v>0</v>
      </c>
      <c r="K521">
        <f>MAX(Table8[Cumulative 2026])</f>
        <v>3102</v>
      </c>
    </row>
    <row r="522" spans="1:11" hidden="1" x14ac:dyDescent="0.25">
      <c r="A522" s="1">
        <v>45731</v>
      </c>
      <c r="B522">
        <f>SUM(_xlfn.CHOOSEROWS(Table8[[The Golden Compass]:[end]],ROW()-1))</f>
        <v>0</v>
      </c>
      <c r="C522">
        <f>Table8[[#This Row],[Cumulative 2023 Q4]]+Table8[[#This Row],[Cumulative 2024]]+Table8[[#This Row],[Cumulative 2025]]+Table8[[#This Row],[Cumulative 2026]]</f>
        <v>10808</v>
      </c>
      <c r="D522">
        <f>IF(YEAR(Table8[[#This Row],[Date]])=2023,B522,0)+IF(ROW(D521)=1,0,D521)</f>
        <v>4195</v>
      </c>
      <c r="E522">
        <f>MAX(Table8[Cumulative 2023 Q4])</f>
        <v>4195</v>
      </c>
      <c r="F522">
        <f>IF(YEAR(Table8[[#This Row],[Date]])=2024,B522,0)+IF(ROW(F521)=1,0,F521)</f>
        <v>5831</v>
      </c>
      <c r="G522">
        <f>MAX(Table8[Cumulative 2024])</f>
        <v>5831</v>
      </c>
      <c r="H522">
        <f>IF(YEAR(Table8[[#This Row],[Date]])=2025,B522,0)+IF(ROW(H521)=1,0,H521)</f>
        <v>782</v>
      </c>
      <c r="I522">
        <f>MAX(Table8[Cumulative 2025])</f>
        <v>1377</v>
      </c>
      <c r="J522">
        <f>IF(YEAR(Table8[[#This Row],[Date]])=2026,B522,0)+IF(ROW(J521)=1,0,J521)</f>
        <v>0</v>
      </c>
      <c r="K522">
        <f>MAX(Table8[Cumulative 2026])</f>
        <v>3102</v>
      </c>
    </row>
    <row r="523" spans="1:11" hidden="1" x14ac:dyDescent="0.25">
      <c r="A523" s="1">
        <v>45732</v>
      </c>
      <c r="B523">
        <f>SUM(_xlfn.CHOOSEROWS(Table8[[The Golden Compass]:[end]],ROW()-1))</f>
        <v>0</v>
      </c>
      <c r="C523">
        <f>Table8[[#This Row],[Cumulative 2023 Q4]]+Table8[[#This Row],[Cumulative 2024]]+Table8[[#This Row],[Cumulative 2025]]+Table8[[#This Row],[Cumulative 2026]]</f>
        <v>10808</v>
      </c>
      <c r="D523">
        <f>IF(YEAR(Table8[[#This Row],[Date]])=2023,B523,0)+IF(ROW(D522)=1,0,D522)</f>
        <v>4195</v>
      </c>
      <c r="E523">
        <f>MAX(Table8[Cumulative 2023 Q4])</f>
        <v>4195</v>
      </c>
      <c r="F523">
        <f>IF(YEAR(Table8[[#This Row],[Date]])=2024,B523,0)+IF(ROW(F522)=1,0,F522)</f>
        <v>5831</v>
      </c>
      <c r="G523">
        <f>MAX(Table8[Cumulative 2024])</f>
        <v>5831</v>
      </c>
      <c r="H523">
        <f>IF(YEAR(Table8[[#This Row],[Date]])=2025,B523,0)+IF(ROW(H522)=1,0,H522)</f>
        <v>782</v>
      </c>
      <c r="I523">
        <f>MAX(Table8[Cumulative 2025])</f>
        <v>1377</v>
      </c>
      <c r="J523">
        <f>IF(YEAR(Table8[[#This Row],[Date]])=2026,B523,0)+IF(ROW(J522)=1,0,J522)</f>
        <v>0</v>
      </c>
      <c r="K523">
        <f>MAX(Table8[Cumulative 2026])</f>
        <v>3102</v>
      </c>
    </row>
    <row r="524" spans="1:11" hidden="1" x14ac:dyDescent="0.25">
      <c r="A524" s="1">
        <v>45733</v>
      </c>
      <c r="B524">
        <f>SUM(_xlfn.CHOOSEROWS(Table8[[The Golden Compass]:[end]],ROW()-1))</f>
        <v>0</v>
      </c>
      <c r="C524">
        <f>Table8[[#This Row],[Cumulative 2023 Q4]]+Table8[[#This Row],[Cumulative 2024]]+Table8[[#This Row],[Cumulative 2025]]+Table8[[#This Row],[Cumulative 2026]]</f>
        <v>10808</v>
      </c>
      <c r="D524">
        <f>IF(YEAR(Table8[[#This Row],[Date]])=2023,B524,0)+IF(ROW(D523)=1,0,D523)</f>
        <v>4195</v>
      </c>
      <c r="E524">
        <f>MAX(Table8[Cumulative 2023 Q4])</f>
        <v>4195</v>
      </c>
      <c r="F524">
        <f>IF(YEAR(Table8[[#This Row],[Date]])=2024,B524,0)+IF(ROW(F523)=1,0,F523)</f>
        <v>5831</v>
      </c>
      <c r="G524">
        <f>MAX(Table8[Cumulative 2024])</f>
        <v>5831</v>
      </c>
      <c r="H524">
        <f>IF(YEAR(Table8[[#This Row],[Date]])=2025,B524,0)+IF(ROW(H523)=1,0,H523)</f>
        <v>782</v>
      </c>
      <c r="I524">
        <f>MAX(Table8[Cumulative 2025])</f>
        <v>1377</v>
      </c>
      <c r="J524">
        <f>IF(YEAR(Table8[[#This Row],[Date]])=2026,B524,0)+IF(ROW(J523)=1,0,J523)</f>
        <v>0</v>
      </c>
      <c r="K524">
        <f>MAX(Table8[Cumulative 2026])</f>
        <v>3102</v>
      </c>
    </row>
    <row r="525" spans="1:11" hidden="1" x14ac:dyDescent="0.25">
      <c r="A525" s="1">
        <v>45734</v>
      </c>
      <c r="B525">
        <f>SUM(_xlfn.CHOOSEROWS(Table8[[The Golden Compass]:[end]],ROW()-1))</f>
        <v>0</v>
      </c>
      <c r="C525">
        <f>Table8[[#This Row],[Cumulative 2023 Q4]]+Table8[[#This Row],[Cumulative 2024]]+Table8[[#This Row],[Cumulative 2025]]+Table8[[#This Row],[Cumulative 2026]]</f>
        <v>10808</v>
      </c>
      <c r="D525">
        <f>IF(YEAR(Table8[[#This Row],[Date]])=2023,B525,0)+IF(ROW(D524)=1,0,D524)</f>
        <v>4195</v>
      </c>
      <c r="E525">
        <f>MAX(Table8[Cumulative 2023 Q4])</f>
        <v>4195</v>
      </c>
      <c r="F525">
        <f>IF(YEAR(Table8[[#This Row],[Date]])=2024,B525,0)+IF(ROW(F524)=1,0,F524)</f>
        <v>5831</v>
      </c>
      <c r="G525">
        <f>MAX(Table8[Cumulative 2024])</f>
        <v>5831</v>
      </c>
      <c r="H525">
        <f>IF(YEAR(Table8[[#This Row],[Date]])=2025,B525,0)+IF(ROW(H524)=1,0,H524)</f>
        <v>782</v>
      </c>
      <c r="I525">
        <f>MAX(Table8[Cumulative 2025])</f>
        <v>1377</v>
      </c>
      <c r="J525">
        <f>IF(YEAR(Table8[[#This Row],[Date]])=2026,B525,0)+IF(ROW(J524)=1,0,J524)</f>
        <v>0</v>
      </c>
      <c r="K525">
        <f>MAX(Table8[Cumulative 2026])</f>
        <v>3102</v>
      </c>
    </row>
    <row r="526" spans="1:11" hidden="1" x14ac:dyDescent="0.25">
      <c r="A526" s="1">
        <v>45735</v>
      </c>
      <c r="B526">
        <f>SUM(_xlfn.CHOOSEROWS(Table8[[The Golden Compass]:[end]],ROW()-1))</f>
        <v>0</v>
      </c>
      <c r="C526">
        <f>Table8[[#This Row],[Cumulative 2023 Q4]]+Table8[[#This Row],[Cumulative 2024]]+Table8[[#This Row],[Cumulative 2025]]+Table8[[#This Row],[Cumulative 2026]]</f>
        <v>10808</v>
      </c>
      <c r="D526">
        <f>IF(YEAR(Table8[[#This Row],[Date]])=2023,B526,0)+IF(ROW(D525)=1,0,D525)</f>
        <v>4195</v>
      </c>
      <c r="E526">
        <f>MAX(Table8[Cumulative 2023 Q4])</f>
        <v>4195</v>
      </c>
      <c r="F526">
        <f>IF(YEAR(Table8[[#This Row],[Date]])=2024,B526,0)+IF(ROW(F525)=1,0,F525)</f>
        <v>5831</v>
      </c>
      <c r="G526">
        <f>MAX(Table8[Cumulative 2024])</f>
        <v>5831</v>
      </c>
      <c r="H526">
        <f>IF(YEAR(Table8[[#This Row],[Date]])=2025,B526,0)+IF(ROW(H525)=1,0,H525)</f>
        <v>782</v>
      </c>
      <c r="I526">
        <f>MAX(Table8[Cumulative 2025])</f>
        <v>1377</v>
      </c>
      <c r="J526">
        <f>IF(YEAR(Table8[[#This Row],[Date]])=2026,B526,0)+IF(ROW(J525)=1,0,J525)</f>
        <v>0</v>
      </c>
      <c r="K526">
        <f>MAX(Table8[Cumulative 2026])</f>
        <v>3102</v>
      </c>
    </row>
    <row r="527" spans="1:11" hidden="1" x14ac:dyDescent="0.25">
      <c r="A527" s="1">
        <v>45736</v>
      </c>
      <c r="B527">
        <f>SUM(_xlfn.CHOOSEROWS(Table8[[The Golden Compass]:[end]],ROW()-1))</f>
        <v>0</v>
      </c>
      <c r="C527">
        <f>Table8[[#This Row],[Cumulative 2023 Q4]]+Table8[[#This Row],[Cumulative 2024]]+Table8[[#This Row],[Cumulative 2025]]+Table8[[#This Row],[Cumulative 2026]]</f>
        <v>10808</v>
      </c>
      <c r="D527">
        <f>IF(YEAR(Table8[[#This Row],[Date]])=2023,B527,0)+IF(ROW(D526)=1,0,D526)</f>
        <v>4195</v>
      </c>
      <c r="E527">
        <f>MAX(Table8[Cumulative 2023 Q4])</f>
        <v>4195</v>
      </c>
      <c r="F527">
        <f>IF(YEAR(Table8[[#This Row],[Date]])=2024,B527,0)+IF(ROW(F526)=1,0,F526)</f>
        <v>5831</v>
      </c>
      <c r="G527">
        <f>MAX(Table8[Cumulative 2024])</f>
        <v>5831</v>
      </c>
      <c r="H527">
        <f>IF(YEAR(Table8[[#This Row],[Date]])=2025,B527,0)+IF(ROW(H526)=1,0,H526)</f>
        <v>782</v>
      </c>
      <c r="I527">
        <f>MAX(Table8[Cumulative 2025])</f>
        <v>1377</v>
      </c>
      <c r="J527">
        <f>IF(YEAR(Table8[[#This Row],[Date]])=2026,B527,0)+IF(ROW(J526)=1,0,J526)</f>
        <v>0</v>
      </c>
      <c r="K527">
        <f>MAX(Table8[Cumulative 2026])</f>
        <v>3102</v>
      </c>
    </row>
    <row r="528" spans="1:11" hidden="1" x14ac:dyDescent="0.25">
      <c r="A528" s="1">
        <v>45737</v>
      </c>
      <c r="B528">
        <f>SUM(_xlfn.CHOOSEROWS(Table8[[The Golden Compass]:[end]],ROW()-1))</f>
        <v>0</v>
      </c>
      <c r="C528">
        <f>Table8[[#This Row],[Cumulative 2023 Q4]]+Table8[[#This Row],[Cumulative 2024]]+Table8[[#This Row],[Cumulative 2025]]+Table8[[#This Row],[Cumulative 2026]]</f>
        <v>10808</v>
      </c>
      <c r="D528">
        <f>IF(YEAR(Table8[[#This Row],[Date]])=2023,B528,0)+IF(ROW(D527)=1,0,D527)</f>
        <v>4195</v>
      </c>
      <c r="E528">
        <f>MAX(Table8[Cumulative 2023 Q4])</f>
        <v>4195</v>
      </c>
      <c r="F528">
        <f>IF(YEAR(Table8[[#This Row],[Date]])=2024,B528,0)+IF(ROW(F527)=1,0,F527)</f>
        <v>5831</v>
      </c>
      <c r="G528">
        <f>MAX(Table8[Cumulative 2024])</f>
        <v>5831</v>
      </c>
      <c r="H528">
        <f>IF(YEAR(Table8[[#This Row],[Date]])=2025,B528,0)+IF(ROW(H527)=1,0,H527)</f>
        <v>782</v>
      </c>
      <c r="I528">
        <f>MAX(Table8[Cumulative 2025])</f>
        <v>1377</v>
      </c>
      <c r="J528">
        <f>IF(YEAR(Table8[[#This Row],[Date]])=2026,B528,0)+IF(ROW(J527)=1,0,J527)</f>
        <v>0</v>
      </c>
      <c r="K528">
        <f>MAX(Table8[Cumulative 2026])</f>
        <v>3102</v>
      </c>
    </row>
    <row r="529" spans="1:11" hidden="1" x14ac:dyDescent="0.25">
      <c r="A529" s="1">
        <v>45738</v>
      </c>
      <c r="B529">
        <f>SUM(_xlfn.CHOOSEROWS(Table8[[The Golden Compass]:[end]],ROW()-1))</f>
        <v>0</v>
      </c>
      <c r="C529">
        <f>Table8[[#This Row],[Cumulative 2023 Q4]]+Table8[[#This Row],[Cumulative 2024]]+Table8[[#This Row],[Cumulative 2025]]+Table8[[#This Row],[Cumulative 2026]]</f>
        <v>10808</v>
      </c>
      <c r="D529">
        <f>IF(YEAR(Table8[[#This Row],[Date]])=2023,B529,0)+IF(ROW(D528)=1,0,D528)</f>
        <v>4195</v>
      </c>
      <c r="E529">
        <f>MAX(Table8[Cumulative 2023 Q4])</f>
        <v>4195</v>
      </c>
      <c r="F529">
        <f>IF(YEAR(Table8[[#This Row],[Date]])=2024,B529,0)+IF(ROW(F528)=1,0,F528)</f>
        <v>5831</v>
      </c>
      <c r="G529">
        <f>MAX(Table8[Cumulative 2024])</f>
        <v>5831</v>
      </c>
      <c r="H529">
        <f>IF(YEAR(Table8[[#This Row],[Date]])=2025,B529,0)+IF(ROW(H528)=1,0,H528)</f>
        <v>782</v>
      </c>
      <c r="I529">
        <f>MAX(Table8[Cumulative 2025])</f>
        <v>1377</v>
      </c>
      <c r="J529">
        <f>IF(YEAR(Table8[[#This Row],[Date]])=2026,B529,0)+IF(ROW(J528)=1,0,J528)</f>
        <v>0</v>
      </c>
      <c r="K529">
        <f>MAX(Table8[Cumulative 2026])</f>
        <v>3102</v>
      </c>
    </row>
    <row r="530" spans="1:11" hidden="1" x14ac:dyDescent="0.25">
      <c r="A530" s="1">
        <v>45739</v>
      </c>
      <c r="B530">
        <f>SUM(_xlfn.CHOOSEROWS(Table8[[The Golden Compass]:[end]],ROW()-1))</f>
        <v>0</v>
      </c>
      <c r="C530">
        <f>Table8[[#This Row],[Cumulative 2023 Q4]]+Table8[[#This Row],[Cumulative 2024]]+Table8[[#This Row],[Cumulative 2025]]+Table8[[#This Row],[Cumulative 2026]]</f>
        <v>10808</v>
      </c>
      <c r="D530">
        <f>IF(YEAR(Table8[[#This Row],[Date]])=2023,B530,0)+IF(ROW(D529)=1,0,D529)</f>
        <v>4195</v>
      </c>
      <c r="E530">
        <f>MAX(Table8[Cumulative 2023 Q4])</f>
        <v>4195</v>
      </c>
      <c r="F530">
        <f>IF(YEAR(Table8[[#This Row],[Date]])=2024,B530,0)+IF(ROW(F529)=1,0,F529)</f>
        <v>5831</v>
      </c>
      <c r="G530">
        <f>MAX(Table8[Cumulative 2024])</f>
        <v>5831</v>
      </c>
      <c r="H530">
        <f>IF(YEAR(Table8[[#This Row],[Date]])=2025,B530,0)+IF(ROW(H529)=1,0,H529)</f>
        <v>782</v>
      </c>
      <c r="I530">
        <f>MAX(Table8[Cumulative 2025])</f>
        <v>1377</v>
      </c>
      <c r="J530">
        <f>IF(YEAR(Table8[[#This Row],[Date]])=2026,B530,0)+IF(ROW(J529)=1,0,J529)</f>
        <v>0</v>
      </c>
      <c r="K530">
        <f>MAX(Table8[Cumulative 2026])</f>
        <v>3102</v>
      </c>
    </row>
    <row r="531" spans="1:11" hidden="1" x14ac:dyDescent="0.25">
      <c r="A531" s="1">
        <v>45740</v>
      </c>
      <c r="B531">
        <f>SUM(_xlfn.CHOOSEROWS(Table8[[The Golden Compass]:[end]],ROW()-1))</f>
        <v>0</v>
      </c>
      <c r="C531">
        <f>Table8[[#This Row],[Cumulative 2023 Q4]]+Table8[[#This Row],[Cumulative 2024]]+Table8[[#This Row],[Cumulative 2025]]+Table8[[#This Row],[Cumulative 2026]]</f>
        <v>10808</v>
      </c>
      <c r="D531">
        <f>IF(YEAR(Table8[[#This Row],[Date]])=2023,B531,0)+IF(ROW(D530)=1,0,D530)</f>
        <v>4195</v>
      </c>
      <c r="E531">
        <f>MAX(Table8[Cumulative 2023 Q4])</f>
        <v>4195</v>
      </c>
      <c r="F531">
        <f>IF(YEAR(Table8[[#This Row],[Date]])=2024,B531,0)+IF(ROW(F530)=1,0,F530)</f>
        <v>5831</v>
      </c>
      <c r="G531">
        <f>MAX(Table8[Cumulative 2024])</f>
        <v>5831</v>
      </c>
      <c r="H531">
        <f>IF(YEAR(Table8[[#This Row],[Date]])=2025,B531,0)+IF(ROW(H530)=1,0,H530)</f>
        <v>782</v>
      </c>
      <c r="I531">
        <f>MAX(Table8[Cumulative 2025])</f>
        <v>1377</v>
      </c>
      <c r="J531">
        <f>IF(YEAR(Table8[[#This Row],[Date]])=2026,B531,0)+IF(ROW(J530)=1,0,J530)</f>
        <v>0</v>
      </c>
      <c r="K531">
        <f>MAX(Table8[Cumulative 2026])</f>
        <v>3102</v>
      </c>
    </row>
    <row r="532" spans="1:11" hidden="1" x14ac:dyDescent="0.25">
      <c r="A532" s="1">
        <v>45741</v>
      </c>
      <c r="B532">
        <f>SUM(_xlfn.CHOOSEROWS(Table8[[The Golden Compass]:[end]],ROW()-1))</f>
        <v>0</v>
      </c>
      <c r="C532">
        <f>Table8[[#This Row],[Cumulative 2023 Q4]]+Table8[[#This Row],[Cumulative 2024]]+Table8[[#This Row],[Cumulative 2025]]+Table8[[#This Row],[Cumulative 2026]]</f>
        <v>10808</v>
      </c>
      <c r="D532">
        <f>IF(YEAR(Table8[[#This Row],[Date]])=2023,B532,0)+IF(ROW(D531)=1,0,D531)</f>
        <v>4195</v>
      </c>
      <c r="E532">
        <f>MAX(Table8[Cumulative 2023 Q4])</f>
        <v>4195</v>
      </c>
      <c r="F532">
        <f>IF(YEAR(Table8[[#This Row],[Date]])=2024,B532,0)+IF(ROW(F531)=1,0,F531)</f>
        <v>5831</v>
      </c>
      <c r="G532">
        <f>MAX(Table8[Cumulative 2024])</f>
        <v>5831</v>
      </c>
      <c r="H532">
        <f>IF(YEAR(Table8[[#This Row],[Date]])=2025,B532,0)+IF(ROW(H531)=1,0,H531)</f>
        <v>782</v>
      </c>
      <c r="I532">
        <f>MAX(Table8[Cumulative 2025])</f>
        <v>1377</v>
      </c>
      <c r="J532">
        <f>IF(YEAR(Table8[[#This Row],[Date]])=2026,B532,0)+IF(ROW(J531)=1,0,J531)</f>
        <v>0</v>
      </c>
      <c r="K532">
        <f>MAX(Table8[Cumulative 2026])</f>
        <v>3102</v>
      </c>
    </row>
    <row r="533" spans="1:11" hidden="1" x14ac:dyDescent="0.25">
      <c r="A533" s="1">
        <v>45742</v>
      </c>
      <c r="B533">
        <f>SUM(_xlfn.CHOOSEROWS(Table8[[The Golden Compass]:[end]],ROW()-1))</f>
        <v>0</v>
      </c>
      <c r="C533">
        <f>Table8[[#This Row],[Cumulative 2023 Q4]]+Table8[[#This Row],[Cumulative 2024]]+Table8[[#This Row],[Cumulative 2025]]+Table8[[#This Row],[Cumulative 2026]]</f>
        <v>10808</v>
      </c>
      <c r="D533">
        <f>IF(YEAR(Table8[[#This Row],[Date]])=2023,B533,0)+IF(ROW(D532)=1,0,D532)</f>
        <v>4195</v>
      </c>
      <c r="E533">
        <f>MAX(Table8[Cumulative 2023 Q4])</f>
        <v>4195</v>
      </c>
      <c r="F533">
        <f>IF(YEAR(Table8[[#This Row],[Date]])=2024,B533,0)+IF(ROW(F532)=1,0,F532)</f>
        <v>5831</v>
      </c>
      <c r="G533">
        <f>MAX(Table8[Cumulative 2024])</f>
        <v>5831</v>
      </c>
      <c r="H533">
        <f>IF(YEAR(Table8[[#This Row],[Date]])=2025,B533,0)+IF(ROW(H532)=1,0,H532)</f>
        <v>782</v>
      </c>
      <c r="I533">
        <f>MAX(Table8[Cumulative 2025])</f>
        <v>1377</v>
      </c>
      <c r="J533">
        <f>IF(YEAR(Table8[[#This Row],[Date]])=2026,B533,0)+IF(ROW(J532)=1,0,J532)</f>
        <v>0</v>
      </c>
      <c r="K533">
        <f>MAX(Table8[Cumulative 2026])</f>
        <v>3102</v>
      </c>
    </row>
    <row r="534" spans="1:11" hidden="1" x14ac:dyDescent="0.25">
      <c r="A534" s="1">
        <v>45743</v>
      </c>
      <c r="B534">
        <f>SUM(_xlfn.CHOOSEROWS(Table8[[The Golden Compass]:[end]],ROW()-1))</f>
        <v>0</v>
      </c>
      <c r="C534">
        <f>Table8[[#This Row],[Cumulative 2023 Q4]]+Table8[[#This Row],[Cumulative 2024]]+Table8[[#This Row],[Cumulative 2025]]+Table8[[#This Row],[Cumulative 2026]]</f>
        <v>10808</v>
      </c>
      <c r="D534">
        <f>IF(YEAR(Table8[[#This Row],[Date]])=2023,B534,0)+IF(ROW(D533)=1,0,D533)</f>
        <v>4195</v>
      </c>
      <c r="E534">
        <f>MAX(Table8[Cumulative 2023 Q4])</f>
        <v>4195</v>
      </c>
      <c r="F534">
        <f>IF(YEAR(Table8[[#This Row],[Date]])=2024,B534,0)+IF(ROW(F533)=1,0,F533)</f>
        <v>5831</v>
      </c>
      <c r="G534">
        <f>MAX(Table8[Cumulative 2024])</f>
        <v>5831</v>
      </c>
      <c r="H534">
        <f>IF(YEAR(Table8[[#This Row],[Date]])=2025,B534,0)+IF(ROW(H533)=1,0,H533)</f>
        <v>782</v>
      </c>
      <c r="I534">
        <f>MAX(Table8[Cumulative 2025])</f>
        <v>1377</v>
      </c>
      <c r="J534">
        <f>IF(YEAR(Table8[[#This Row],[Date]])=2026,B534,0)+IF(ROW(J533)=1,0,J533)</f>
        <v>0</v>
      </c>
      <c r="K534">
        <f>MAX(Table8[Cumulative 2026])</f>
        <v>3102</v>
      </c>
    </row>
    <row r="535" spans="1:11" hidden="1" x14ac:dyDescent="0.25">
      <c r="A535" s="1">
        <v>45744</v>
      </c>
      <c r="B535">
        <f>SUM(_xlfn.CHOOSEROWS(Table8[[The Golden Compass]:[end]],ROW()-1))</f>
        <v>0</v>
      </c>
      <c r="C535">
        <f>Table8[[#This Row],[Cumulative 2023 Q4]]+Table8[[#This Row],[Cumulative 2024]]+Table8[[#This Row],[Cumulative 2025]]+Table8[[#This Row],[Cumulative 2026]]</f>
        <v>10808</v>
      </c>
      <c r="D535">
        <f>IF(YEAR(Table8[[#This Row],[Date]])=2023,B535,0)+IF(ROW(D534)=1,0,D534)</f>
        <v>4195</v>
      </c>
      <c r="E535">
        <f>MAX(Table8[Cumulative 2023 Q4])</f>
        <v>4195</v>
      </c>
      <c r="F535">
        <f>IF(YEAR(Table8[[#This Row],[Date]])=2024,B535,0)+IF(ROW(F534)=1,0,F534)</f>
        <v>5831</v>
      </c>
      <c r="G535">
        <f>MAX(Table8[Cumulative 2024])</f>
        <v>5831</v>
      </c>
      <c r="H535">
        <f>IF(YEAR(Table8[[#This Row],[Date]])=2025,B535,0)+IF(ROW(H534)=1,0,H534)</f>
        <v>782</v>
      </c>
      <c r="I535">
        <f>MAX(Table8[Cumulative 2025])</f>
        <v>1377</v>
      </c>
      <c r="J535">
        <f>IF(YEAR(Table8[[#This Row],[Date]])=2026,B535,0)+IF(ROW(J534)=1,0,J534)</f>
        <v>0</v>
      </c>
      <c r="K535">
        <f>MAX(Table8[Cumulative 2026])</f>
        <v>3102</v>
      </c>
    </row>
    <row r="536" spans="1:11" hidden="1" x14ac:dyDescent="0.25">
      <c r="A536" s="1">
        <v>45745</v>
      </c>
      <c r="B536">
        <f>SUM(_xlfn.CHOOSEROWS(Table8[[The Golden Compass]:[end]],ROW()-1))</f>
        <v>0</v>
      </c>
      <c r="C536">
        <f>Table8[[#This Row],[Cumulative 2023 Q4]]+Table8[[#This Row],[Cumulative 2024]]+Table8[[#This Row],[Cumulative 2025]]+Table8[[#This Row],[Cumulative 2026]]</f>
        <v>10808</v>
      </c>
      <c r="D536">
        <f>IF(YEAR(Table8[[#This Row],[Date]])=2023,B536,0)+IF(ROW(D535)=1,0,D535)</f>
        <v>4195</v>
      </c>
      <c r="E536">
        <f>MAX(Table8[Cumulative 2023 Q4])</f>
        <v>4195</v>
      </c>
      <c r="F536">
        <f>IF(YEAR(Table8[[#This Row],[Date]])=2024,B536,0)+IF(ROW(F535)=1,0,F535)</f>
        <v>5831</v>
      </c>
      <c r="G536">
        <f>MAX(Table8[Cumulative 2024])</f>
        <v>5831</v>
      </c>
      <c r="H536">
        <f>IF(YEAR(Table8[[#This Row],[Date]])=2025,B536,0)+IF(ROW(H535)=1,0,H535)</f>
        <v>782</v>
      </c>
      <c r="I536">
        <f>MAX(Table8[Cumulative 2025])</f>
        <v>1377</v>
      </c>
      <c r="J536">
        <f>IF(YEAR(Table8[[#This Row],[Date]])=2026,B536,0)+IF(ROW(J535)=1,0,J535)</f>
        <v>0</v>
      </c>
      <c r="K536">
        <f>MAX(Table8[Cumulative 2026])</f>
        <v>3102</v>
      </c>
    </row>
    <row r="537" spans="1:11" hidden="1" x14ac:dyDescent="0.25">
      <c r="A537" s="1">
        <v>45746</v>
      </c>
      <c r="B537">
        <f>SUM(_xlfn.CHOOSEROWS(Table8[[The Golden Compass]:[end]],ROW()-1))</f>
        <v>0</v>
      </c>
      <c r="C537">
        <f>Table8[[#This Row],[Cumulative 2023 Q4]]+Table8[[#This Row],[Cumulative 2024]]+Table8[[#This Row],[Cumulative 2025]]+Table8[[#This Row],[Cumulative 2026]]</f>
        <v>10808</v>
      </c>
      <c r="D537">
        <f>IF(YEAR(Table8[[#This Row],[Date]])=2023,B537,0)+IF(ROW(D536)=1,0,D536)</f>
        <v>4195</v>
      </c>
      <c r="E537">
        <f>MAX(Table8[Cumulative 2023 Q4])</f>
        <v>4195</v>
      </c>
      <c r="F537">
        <f>IF(YEAR(Table8[[#This Row],[Date]])=2024,B537,0)+IF(ROW(F536)=1,0,F536)</f>
        <v>5831</v>
      </c>
      <c r="G537">
        <f>MAX(Table8[Cumulative 2024])</f>
        <v>5831</v>
      </c>
      <c r="H537">
        <f>IF(YEAR(Table8[[#This Row],[Date]])=2025,B537,0)+IF(ROW(H536)=1,0,H536)</f>
        <v>782</v>
      </c>
      <c r="I537">
        <f>MAX(Table8[Cumulative 2025])</f>
        <v>1377</v>
      </c>
      <c r="J537">
        <f>IF(YEAR(Table8[[#This Row],[Date]])=2026,B537,0)+IF(ROW(J536)=1,0,J536)</f>
        <v>0</v>
      </c>
      <c r="K537">
        <f>MAX(Table8[Cumulative 2026])</f>
        <v>3102</v>
      </c>
    </row>
    <row r="538" spans="1:11" hidden="1" x14ac:dyDescent="0.25">
      <c r="A538" s="1">
        <v>45747</v>
      </c>
      <c r="B538">
        <f>SUM(_xlfn.CHOOSEROWS(Table8[[The Golden Compass]:[end]],ROW()-1))</f>
        <v>0</v>
      </c>
      <c r="C538">
        <f>Table8[[#This Row],[Cumulative 2023 Q4]]+Table8[[#This Row],[Cumulative 2024]]+Table8[[#This Row],[Cumulative 2025]]+Table8[[#This Row],[Cumulative 2026]]</f>
        <v>10808</v>
      </c>
      <c r="D538">
        <f>IF(YEAR(Table8[[#This Row],[Date]])=2023,B538,0)+IF(ROW(D537)=1,0,D537)</f>
        <v>4195</v>
      </c>
      <c r="E538">
        <f>MAX(Table8[Cumulative 2023 Q4])</f>
        <v>4195</v>
      </c>
      <c r="F538">
        <f>IF(YEAR(Table8[[#This Row],[Date]])=2024,B538,0)+IF(ROW(F537)=1,0,F537)</f>
        <v>5831</v>
      </c>
      <c r="G538">
        <f>MAX(Table8[Cumulative 2024])</f>
        <v>5831</v>
      </c>
      <c r="H538">
        <f>IF(YEAR(Table8[[#This Row],[Date]])=2025,B538,0)+IF(ROW(H537)=1,0,H537)</f>
        <v>782</v>
      </c>
      <c r="I538">
        <f>MAX(Table8[Cumulative 2025])</f>
        <v>1377</v>
      </c>
      <c r="J538">
        <f>IF(YEAR(Table8[[#This Row],[Date]])=2026,B538,0)+IF(ROW(J537)=1,0,J537)</f>
        <v>0</v>
      </c>
      <c r="K538">
        <f>MAX(Table8[Cumulative 2026])</f>
        <v>3102</v>
      </c>
    </row>
    <row r="539" spans="1:11" hidden="1" x14ac:dyDescent="0.25">
      <c r="A539" s="1">
        <v>45748</v>
      </c>
      <c r="B539">
        <f>SUM(_xlfn.CHOOSEROWS(Table8[[The Golden Compass]:[end]],ROW()-1))</f>
        <v>0</v>
      </c>
      <c r="C539">
        <f>Table8[[#This Row],[Cumulative 2023 Q4]]+Table8[[#This Row],[Cumulative 2024]]+Table8[[#This Row],[Cumulative 2025]]+Table8[[#This Row],[Cumulative 2026]]</f>
        <v>10808</v>
      </c>
      <c r="D539">
        <f>IF(YEAR(Table8[[#This Row],[Date]])=2023,B539,0)+IF(ROW(D538)=1,0,D538)</f>
        <v>4195</v>
      </c>
      <c r="E539">
        <f>MAX(Table8[Cumulative 2023 Q4])</f>
        <v>4195</v>
      </c>
      <c r="F539">
        <f>IF(YEAR(Table8[[#This Row],[Date]])=2024,B539,0)+IF(ROW(F538)=1,0,F538)</f>
        <v>5831</v>
      </c>
      <c r="G539">
        <f>MAX(Table8[Cumulative 2024])</f>
        <v>5831</v>
      </c>
      <c r="H539">
        <f>IF(YEAR(Table8[[#This Row],[Date]])=2025,B539,0)+IF(ROW(H538)=1,0,H538)</f>
        <v>782</v>
      </c>
      <c r="I539">
        <f>MAX(Table8[Cumulative 2025])</f>
        <v>1377</v>
      </c>
      <c r="J539">
        <f>IF(YEAR(Table8[[#This Row],[Date]])=2026,B539,0)+IF(ROW(J538)=1,0,J538)</f>
        <v>0</v>
      </c>
      <c r="K539">
        <f>MAX(Table8[Cumulative 2026])</f>
        <v>3102</v>
      </c>
    </row>
    <row r="540" spans="1:11" hidden="1" x14ac:dyDescent="0.25">
      <c r="A540" s="1">
        <v>45749</v>
      </c>
      <c r="B540">
        <f>SUM(_xlfn.CHOOSEROWS(Table8[[The Golden Compass]:[end]],ROW()-1))</f>
        <v>0</v>
      </c>
      <c r="C540">
        <f>Table8[[#This Row],[Cumulative 2023 Q4]]+Table8[[#This Row],[Cumulative 2024]]+Table8[[#This Row],[Cumulative 2025]]+Table8[[#This Row],[Cumulative 2026]]</f>
        <v>10808</v>
      </c>
      <c r="D540">
        <f>IF(YEAR(Table8[[#This Row],[Date]])=2023,B540,0)+IF(ROW(D539)=1,0,D539)</f>
        <v>4195</v>
      </c>
      <c r="E540">
        <f>MAX(Table8[Cumulative 2023 Q4])</f>
        <v>4195</v>
      </c>
      <c r="F540">
        <f>IF(YEAR(Table8[[#This Row],[Date]])=2024,B540,0)+IF(ROW(F539)=1,0,F539)</f>
        <v>5831</v>
      </c>
      <c r="G540">
        <f>MAX(Table8[Cumulative 2024])</f>
        <v>5831</v>
      </c>
      <c r="H540">
        <f>IF(YEAR(Table8[[#This Row],[Date]])=2025,B540,0)+IF(ROW(H539)=1,0,H539)</f>
        <v>782</v>
      </c>
      <c r="I540">
        <f>MAX(Table8[Cumulative 2025])</f>
        <v>1377</v>
      </c>
      <c r="J540">
        <f>IF(YEAR(Table8[[#This Row],[Date]])=2026,B540,0)+IF(ROW(J539)=1,0,J539)</f>
        <v>0</v>
      </c>
      <c r="K540">
        <f>MAX(Table8[Cumulative 2026])</f>
        <v>3102</v>
      </c>
    </row>
    <row r="541" spans="1:11" hidden="1" x14ac:dyDescent="0.25">
      <c r="A541" s="1">
        <v>45750</v>
      </c>
      <c r="B541">
        <f>SUM(_xlfn.CHOOSEROWS(Table8[[The Golden Compass]:[end]],ROW()-1))</f>
        <v>0</v>
      </c>
      <c r="C541">
        <f>Table8[[#This Row],[Cumulative 2023 Q4]]+Table8[[#This Row],[Cumulative 2024]]+Table8[[#This Row],[Cumulative 2025]]+Table8[[#This Row],[Cumulative 2026]]</f>
        <v>10808</v>
      </c>
      <c r="D541">
        <f>IF(YEAR(Table8[[#This Row],[Date]])=2023,B541,0)+IF(ROW(D540)=1,0,D540)</f>
        <v>4195</v>
      </c>
      <c r="E541">
        <f>MAX(Table8[Cumulative 2023 Q4])</f>
        <v>4195</v>
      </c>
      <c r="F541">
        <f>IF(YEAR(Table8[[#This Row],[Date]])=2024,B541,0)+IF(ROW(F540)=1,0,F540)</f>
        <v>5831</v>
      </c>
      <c r="G541">
        <f>MAX(Table8[Cumulative 2024])</f>
        <v>5831</v>
      </c>
      <c r="H541">
        <f>IF(YEAR(Table8[[#This Row],[Date]])=2025,B541,0)+IF(ROW(H540)=1,0,H540)</f>
        <v>782</v>
      </c>
      <c r="I541">
        <f>MAX(Table8[Cumulative 2025])</f>
        <v>1377</v>
      </c>
      <c r="J541">
        <f>IF(YEAR(Table8[[#This Row],[Date]])=2026,B541,0)+IF(ROW(J540)=1,0,J540)</f>
        <v>0</v>
      </c>
      <c r="K541">
        <f>MAX(Table8[Cumulative 2026])</f>
        <v>3102</v>
      </c>
    </row>
    <row r="542" spans="1:11" hidden="1" x14ac:dyDescent="0.25">
      <c r="A542" s="1">
        <v>45751</v>
      </c>
      <c r="B542">
        <f>SUM(_xlfn.CHOOSEROWS(Table8[[The Golden Compass]:[end]],ROW()-1))</f>
        <v>0</v>
      </c>
      <c r="C542">
        <f>Table8[[#This Row],[Cumulative 2023 Q4]]+Table8[[#This Row],[Cumulative 2024]]+Table8[[#This Row],[Cumulative 2025]]+Table8[[#This Row],[Cumulative 2026]]</f>
        <v>10808</v>
      </c>
      <c r="D542">
        <f>IF(YEAR(Table8[[#This Row],[Date]])=2023,B542,0)+IF(ROW(D541)=1,0,D541)</f>
        <v>4195</v>
      </c>
      <c r="E542">
        <f>MAX(Table8[Cumulative 2023 Q4])</f>
        <v>4195</v>
      </c>
      <c r="F542">
        <f>IF(YEAR(Table8[[#This Row],[Date]])=2024,B542,0)+IF(ROW(F541)=1,0,F541)</f>
        <v>5831</v>
      </c>
      <c r="G542">
        <f>MAX(Table8[Cumulative 2024])</f>
        <v>5831</v>
      </c>
      <c r="H542">
        <f>IF(YEAR(Table8[[#This Row],[Date]])=2025,B542,0)+IF(ROW(H541)=1,0,H541)</f>
        <v>782</v>
      </c>
      <c r="I542">
        <f>MAX(Table8[Cumulative 2025])</f>
        <v>1377</v>
      </c>
      <c r="J542">
        <f>IF(YEAR(Table8[[#This Row],[Date]])=2026,B542,0)+IF(ROW(J541)=1,0,J541)</f>
        <v>0</v>
      </c>
      <c r="K542">
        <f>MAX(Table8[Cumulative 2026])</f>
        <v>3102</v>
      </c>
    </row>
    <row r="543" spans="1:11" hidden="1" x14ac:dyDescent="0.25">
      <c r="A543" s="1">
        <v>45752</v>
      </c>
      <c r="B543">
        <f>SUM(_xlfn.CHOOSEROWS(Table8[[The Golden Compass]:[end]],ROW()-1))</f>
        <v>0</v>
      </c>
      <c r="C543">
        <f>Table8[[#This Row],[Cumulative 2023 Q4]]+Table8[[#This Row],[Cumulative 2024]]+Table8[[#This Row],[Cumulative 2025]]+Table8[[#This Row],[Cumulative 2026]]</f>
        <v>10808</v>
      </c>
      <c r="D543">
        <f>IF(YEAR(Table8[[#This Row],[Date]])=2023,B543,0)+IF(ROW(D542)=1,0,D542)</f>
        <v>4195</v>
      </c>
      <c r="E543">
        <f>MAX(Table8[Cumulative 2023 Q4])</f>
        <v>4195</v>
      </c>
      <c r="F543">
        <f>IF(YEAR(Table8[[#This Row],[Date]])=2024,B543,0)+IF(ROW(F542)=1,0,F542)</f>
        <v>5831</v>
      </c>
      <c r="G543">
        <f>MAX(Table8[Cumulative 2024])</f>
        <v>5831</v>
      </c>
      <c r="H543">
        <f>IF(YEAR(Table8[[#This Row],[Date]])=2025,B543,0)+IF(ROW(H542)=1,0,H542)</f>
        <v>782</v>
      </c>
      <c r="I543">
        <f>MAX(Table8[Cumulative 2025])</f>
        <v>1377</v>
      </c>
      <c r="J543">
        <f>IF(YEAR(Table8[[#This Row],[Date]])=2026,B543,0)+IF(ROW(J542)=1,0,J542)</f>
        <v>0</v>
      </c>
      <c r="K543">
        <f>MAX(Table8[Cumulative 2026])</f>
        <v>3102</v>
      </c>
    </row>
    <row r="544" spans="1:11" hidden="1" x14ac:dyDescent="0.25">
      <c r="A544" s="1">
        <v>45753</v>
      </c>
      <c r="B544">
        <f>SUM(_xlfn.CHOOSEROWS(Table8[[The Golden Compass]:[end]],ROW()-1))</f>
        <v>0</v>
      </c>
      <c r="C544">
        <f>Table8[[#This Row],[Cumulative 2023 Q4]]+Table8[[#This Row],[Cumulative 2024]]+Table8[[#This Row],[Cumulative 2025]]+Table8[[#This Row],[Cumulative 2026]]</f>
        <v>10808</v>
      </c>
      <c r="D544">
        <f>IF(YEAR(Table8[[#This Row],[Date]])=2023,B544,0)+IF(ROW(D543)=1,0,D543)</f>
        <v>4195</v>
      </c>
      <c r="E544">
        <f>MAX(Table8[Cumulative 2023 Q4])</f>
        <v>4195</v>
      </c>
      <c r="F544">
        <f>IF(YEAR(Table8[[#This Row],[Date]])=2024,B544,0)+IF(ROW(F543)=1,0,F543)</f>
        <v>5831</v>
      </c>
      <c r="G544">
        <f>MAX(Table8[Cumulative 2024])</f>
        <v>5831</v>
      </c>
      <c r="H544">
        <f>IF(YEAR(Table8[[#This Row],[Date]])=2025,B544,0)+IF(ROW(H543)=1,0,H543)</f>
        <v>782</v>
      </c>
      <c r="I544">
        <f>MAX(Table8[Cumulative 2025])</f>
        <v>1377</v>
      </c>
      <c r="J544">
        <f>IF(YEAR(Table8[[#This Row],[Date]])=2026,B544,0)+IF(ROW(J543)=1,0,J543)</f>
        <v>0</v>
      </c>
      <c r="K544">
        <f>MAX(Table8[Cumulative 2026])</f>
        <v>3102</v>
      </c>
    </row>
    <row r="545" spans="1:11" hidden="1" x14ac:dyDescent="0.25">
      <c r="A545" s="1">
        <v>45754</v>
      </c>
      <c r="B545">
        <f>SUM(_xlfn.CHOOSEROWS(Table8[[The Golden Compass]:[end]],ROW()-1))</f>
        <v>0</v>
      </c>
      <c r="C545">
        <f>Table8[[#This Row],[Cumulative 2023 Q4]]+Table8[[#This Row],[Cumulative 2024]]+Table8[[#This Row],[Cumulative 2025]]+Table8[[#This Row],[Cumulative 2026]]</f>
        <v>10808</v>
      </c>
      <c r="D545">
        <f>IF(YEAR(Table8[[#This Row],[Date]])=2023,B545,0)+IF(ROW(D544)=1,0,D544)</f>
        <v>4195</v>
      </c>
      <c r="E545">
        <f>MAX(Table8[Cumulative 2023 Q4])</f>
        <v>4195</v>
      </c>
      <c r="F545">
        <f>IF(YEAR(Table8[[#This Row],[Date]])=2024,B545,0)+IF(ROW(F544)=1,0,F544)</f>
        <v>5831</v>
      </c>
      <c r="G545">
        <f>MAX(Table8[Cumulative 2024])</f>
        <v>5831</v>
      </c>
      <c r="H545">
        <f>IF(YEAR(Table8[[#This Row],[Date]])=2025,B545,0)+IF(ROW(H544)=1,0,H544)</f>
        <v>782</v>
      </c>
      <c r="I545">
        <f>MAX(Table8[Cumulative 2025])</f>
        <v>1377</v>
      </c>
      <c r="J545">
        <f>IF(YEAR(Table8[[#This Row],[Date]])=2026,B545,0)+IF(ROW(J544)=1,0,J544)</f>
        <v>0</v>
      </c>
      <c r="K545">
        <f>MAX(Table8[Cumulative 2026])</f>
        <v>3102</v>
      </c>
    </row>
    <row r="546" spans="1:11" hidden="1" x14ac:dyDescent="0.25">
      <c r="A546" s="1">
        <v>45755</v>
      </c>
      <c r="B546">
        <f>SUM(_xlfn.CHOOSEROWS(Table8[[The Golden Compass]:[end]],ROW()-1))</f>
        <v>0</v>
      </c>
      <c r="C546">
        <f>Table8[[#This Row],[Cumulative 2023 Q4]]+Table8[[#This Row],[Cumulative 2024]]+Table8[[#This Row],[Cumulative 2025]]+Table8[[#This Row],[Cumulative 2026]]</f>
        <v>10808</v>
      </c>
      <c r="D546">
        <f>IF(YEAR(Table8[[#This Row],[Date]])=2023,B546,0)+IF(ROW(D545)=1,0,D545)</f>
        <v>4195</v>
      </c>
      <c r="E546">
        <f>MAX(Table8[Cumulative 2023 Q4])</f>
        <v>4195</v>
      </c>
      <c r="F546">
        <f>IF(YEAR(Table8[[#This Row],[Date]])=2024,B546,0)+IF(ROW(F545)=1,0,F545)</f>
        <v>5831</v>
      </c>
      <c r="G546">
        <f>MAX(Table8[Cumulative 2024])</f>
        <v>5831</v>
      </c>
      <c r="H546">
        <f>IF(YEAR(Table8[[#This Row],[Date]])=2025,B546,0)+IF(ROW(H545)=1,0,H545)</f>
        <v>782</v>
      </c>
      <c r="I546">
        <f>MAX(Table8[Cumulative 2025])</f>
        <v>1377</v>
      </c>
      <c r="J546">
        <f>IF(YEAR(Table8[[#This Row],[Date]])=2026,B546,0)+IF(ROW(J545)=1,0,J545)</f>
        <v>0</v>
      </c>
      <c r="K546">
        <f>MAX(Table8[Cumulative 2026])</f>
        <v>3102</v>
      </c>
    </row>
    <row r="547" spans="1:11" hidden="1" x14ac:dyDescent="0.25">
      <c r="A547" s="1">
        <v>45756</v>
      </c>
      <c r="B547">
        <f>SUM(_xlfn.CHOOSEROWS(Table8[[The Golden Compass]:[end]],ROW()-1))</f>
        <v>0</v>
      </c>
      <c r="C547">
        <f>Table8[[#This Row],[Cumulative 2023 Q4]]+Table8[[#This Row],[Cumulative 2024]]+Table8[[#This Row],[Cumulative 2025]]+Table8[[#This Row],[Cumulative 2026]]</f>
        <v>10808</v>
      </c>
      <c r="D547">
        <f>IF(YEAR(Table8[[#This Row],[Date]])=2023,B547,0)+IF(ROW(D546)=1,0,D546)</f>
        <v>4195</v>
      </c>
      <c r="E547">
        <f>MAX(Table8[Cumulative 2023 Q4])</f>
        <v>4195</v>
      </c>
      <c r="F547">
        <f>IF(YEAR(Table8[[#This Row],[Date]])=2024,B547,0)+IF(ROW(F546)=1,0,F546)</f>
        <v>5831</v>
      </c>
      <c r="G547">
        <f>MAX(Table8[Cumulative 2024])</f>
        <v>5831</v>
      </c>
      <c r="H547">
        <f>IF(YEAR(Table8[[#This Row],[Date]])=2025,B547,0)+IF(ROW(H546)=1,0,H546)</f>
        <v>782</v>
      </c>
      <c r="I547">
        <f>MAX(Table8[Cumulative 2025])</f>
        <v>1377</v>
      </c>
      <c r="J547">
        <f>IF(YEAR(Table8[[#This Row],[Date]])=2026,B547,0)+IF(ROW(J546)=1,0,J546)</f>
        <v>0</v>
      </c>
      <c r="K547">
        <f>MAX(Table8[Cumulative 2026])</f>
        <v>3102</v>
      </c>
    </row>
    <row r="548" spans="1:11" hidden="1" x14ac:dyDescent="0.25">
      <c r="A548" s="1">
        <v>45757</v>
      </c>
      <c r="B548">
        <f>SUM(_xlfn.CHOOSEROWS(Table8[[The Golden Compass]:[end]],ROW()-1))</f>
        <v>0</v>
      </c>
      <c r="C548">
        <f>Table8[[#This Row],[Cumulative 2023 Q4]]+Table8[[#This Row],[Cumulative 2024]]+Table8[[#This Row],[Cumulative 2025]]+Table8[[#This Row],[Cumulative 2026]]</f>
        <v>10808</v>
      </c>
      <c r="D548">
        <f>IF(YEAR(Table8[[#This Row],[Date]])=2023,B548,0)+IF(ROW(D547)=1,0,D547)</f>
        <v>4195</v>
      </c>
      <c r="E548">
        <f>MAX(Table8[Cumulative 2023 Q4])</f>
        <v>4195</v>
      </c>
      <c r="F548">
        <f>IF(YEAR(Table8[[#This Row],[Date]])=2024,B548,0)+IF(ROW(F547)=1,0,F547)</f>
        <v>5831</v>
      </c>
      <c r="G548">
        <f>MAX(Table8[Cumulative 2024])</f>
        <v>5831</v>
      </c>
      <c r="H548">
        <f>IF(YEAR(Table8[[#This Row],[Date]])=2025,B548,0)+IF(ROW(H547)=1,0,H547)</f>
        <v>782</v>
      </c>
      <c r="I548">
        <f>MAX(Table8[Cumulative 2025])</f>
        <v>1377</v>
      </c>
      <c r="J548">
        <f>IF(YEAR(Table8[[#This Row],[Date]])=2026,B548,0)+IF(ROW(J547)=1,0,J547)</f>
        <v>0</v>
      </c>
      <c r="K548">
        <f>MAX(Table8[Cumulative 2026])</f>
        <v>3102</v>
      </c>
    </row>
    <row r="549" spans="1:11" hidden="1" x14ac:dyDescent="0.25">
      <c r="A549" s="1">
        <v>45758</v>
      </c>
      <c r="B549">
        <f>SUM(_xlfn.CHOOSEROWS(Table8[[The Golden Compass]:[end]],ROW()-1))</f>
        <v>0</v>
      </c>
      <c r="C549">
        <f>Table8[[#This Row],[Cumulative 2023 Q4]]+Table8[[#This Row],[Cumulative 2024]]+Table8[[#This Row],[Cumulative 2025]]+Table8[[#This Row],[Cumulative 2026]]</f>
        <v>10808</v>
      </c>
      <c r="D549">
        <f>IF(YEAR(Table8[[#This Row],[Date]])=2023,B549,0)+IF(ROW(D548)=1,0,D548)</f>
        <v>4195</v>
      </c>
      <c r="E549">
        <f>MAX(Table8[Cumulative 2023 Q4])</f>
        <v>4195</v>
      </c>
      <c r="F549">
        <f>IF(YEAR(Table8[[#This Row],[Date]])=2024,B549,0)+IF(ROW(F548)=1,0,F548)</f>
        <v>5831</v>
      </c>
      <c r="G549">
        <f>MAX(Table8[Cumulative 2024])</f>
        <v>5831</v>
      </c>
      <c r="H549">
        <f>IF(YEAR(Table8[[#This Row],[Date]])=2025,B549,0)+IF(ROW(H548)=1,0,H548)</f>
        <v>782</v>
      </c>
      <c r="I549">
        <f>MAX(Table8[Cumulative 2025])</f>
        <v>1377</v>
      </c>
      <c r="J549">
        <f>IF(YEAR(Table8[[#This Row],[Date]])=2026,B549,0)+IF(ROW(J548)=1,0,J548)</f>
        <v>0</v>
      </c>
      <c r="K549">
        <f>MAX(Table8[Cumulative 2026])</f>
        <v>3102</v>
      </c>
    </row>
    <row r="550" spans="1:11" hidden="1" x14ac:dyDescent="0.25">
      <c r="A550" s="1">
        <v>45759</v>
      </c>
      <c r="B550">
        <f>SUM(_xlfn.CHOOSEROWS(Table8[[The Golden Compass]:[end]],ROW()-1))</f>
        <v>0</v>
      </c>
      <c r="C550">
        <f>Table8[[#This Row],[Cumulative 2023 Q4]]+Table8[[#This Row],[Cumulative 2024]]+Table8[[#This Row],[Cumulative 2025]]+Table8[[#This Row],[Cumulative 2026]]</f>
        <v>10808</v>
      </c>
      <c r="D550">
        <f>IF(YEAR(Table8[[#This Row],[Date]])=2023,B550,0)+IF(ROW(D549)=1,0,D549)</f>
        <v>4195</v>
      </c>
      <c r="E550">
        <f>MAX(Table8[Cumulative 2023 Q4])</f>
        <v>4195</v>
      </c>
      <c r="F550">
        <f>IF(YEAR(Table8[[#This Row],[Date]])=2024,B550,0)+IF(ROW(F549)=1,0,F549)</f>
        <v>5831</v>
      </c>
      <c r="G550">
        <f>MAX(Table8[Cumulative 2024])</f>
        <v>5831</v>
      </c>
      <c r="H550">
        <f>IF(YEAR(Table8[[#This Row],[Date]])=2025,B550,0)+IF(ROW(H549)=1,0,H549)</f>
        <v>782</v>
      </c>
      <c r="I550">
        <f>MAX(Table8[Cumulative 2025])</f>
        <v>1377</v>
      </c>
      <c r="J550">
        <f>IF(YEAR(Table8[[#This Row],[Date]])=2026,B550,0)+IF(ROW(J549)=1,0,J549)</f>
        <v>0</v>
      </c>
      <c r="K550">
        <f>MAX(Table8[Cumulative 2026])</f>
        <v>3102</v>
      </c>
    </row>
    <row r="551" spans="1:11" hidden="1" x14ac:dyDescent="0.25">
      <c r="A551" s="1">
        <v>45760</v>
      </c>
      <c r="B551">
        <f>SUM(_xlfn.CHOOSEROWS(Table8[[The Golden Compass]:[end]],ROW()-1))</f>
        <v>0</v>
      </c>
      <c r="C551">
        <f>Table8[[#This Row],[Cumulative 2023 Q4]]+Table8[[#This Row],[Cumulative 2024]]+Table8[[#This Row],[Cumulative 2025]]+Table8[[#This Row],[Cumulative 2026]]</f>
        <v>10808</v>
      </c>
      <c r="D551">
        <f>IF(YEAR(Table8[[#This Row],[Date]])=2023,B551,0)+IF(ROW(D550)=1,0,D550)</f>
        <v>4195</v>
      </c>
      <c r="E551">
        <f>MAX(Table8[Cumulative 2023 Q4])</f>
        <v>4195</v>
      </c>
      <c r="F551">
        <f>IF(YEAR(Table8[[#This Row],[Date]])=2024,B551,0)+IF(ROW(F550)=1,0,F550)</f>
        <v>5831</v>
      </c>
      <c r="G551">
        <f>MAX(Table8[Cumulative 2024])</f>
        <v>5831</v>
      </c>
      <c r="H551">
        <f>IF(YEAR(Table8[[#This Row],[Date]])=2025,B551,0)+IF(ROW(H550)=1,0,H550)</f>
        <v>782</v>
      </c>
      <c r="I551">
        <f>MAX(Table8[Cumulative 2025])</f>
        <v>1377</v>
      </c>
      <c r="J551">
        <f>IF(YEAR(Table8[[#This Row],[Date]])=2026,B551,0)+IF(ROW(J550)=1,0,J550)</f>
        <v>0</v>
      </c>
      <c r="K551">
        <f>MAX(Table8[Cumulative 2026])</f>
        <v>3102</v>
      </c>
    </row>
    <row r="552" spans="1:11" hidden="1" x14ac:dyDescent="0.25">
      <c r="A552" s="1">
        <v>45761</v>
      </c>
      <c r="B552">
        <f>SUM(_xlfn.CHOOSEROWS(Table8[[The Golden Compass]:[end]],ROW()-1))</f>
        <v>0</v>
      </c>
      <c r="C552">
        <f>Table8[[#This Row],[Cumulative 2023 Q4]]+Table8[[#This Row],[Cumulative 2024]]+Table8[[#This Row],[Cumulative 2025]]+Table8[[#This Row],[Cumulative 2026]]</f>
        <v>10808</v>
      </c>
      <c r="D552">
        <f>IF(YEAR(Table8[[#This Row],[Date]])=2023,B552,0)+IF(ROW(D551)=1,0,D551)</f>
        <v>4195</v>
      </c>
      <c r="E552">
        <f>MAX(Table8[Cumulative 2023 Q4])</f>
        <v>4195</v>
      </c>
      <c r="F552">
        <f>IF(YEAR(Table8[[#This Row],[Date]])=2024,B552,0)+IF(ROW(F551)=1,0,F551)</f>
        <v>5831</v>
      </c>
      <c r="G552">
        <f>MAX(Table8[Cumulative 2024])</f>
        <v>5831</v>
      </c>
      <c r="H552">
        <f>IF(YEAR(Table8[[#This Row],[Date]])=2025,B552,0)+IF(ROW(H551)=1,0,H551)</f>
        <v>782</v>
      </c>
      <c r="I552">
        <f>MAX(Table8[Cumulative 2025])</f>
        <v>1377</v>
      </c>
      <c r="J552">
        <f>IF(YEAR(Table8[[#This Row],[Date]])=2026,B552,0)+IF(ROW(J551)=1,0,J551)</f>
        <v>0</v>
      </c>
      <c r="K552">
        <f>MAX(Table8[Cumulative 2026])</f>
        <v>3102</v>
      </c>
    </row>
    <row r="553" spans="1:11" hidden="1" x14ac:dyDescent="0.25">
      <c r="A553" s="1">
        <v>45762</v>
      </c>
      <c r="B553">
        <f>SUM(_xlfn.CHOOSEROWS(Table8[[The Golden Compass]:[end]],ROW()-1))</f>
        <v>0</v>
      </c>
      <c r="C553">
        <f>Table8[[#This Row],[Cumulative 2023 Q4]]+Table8[[#This Row],[Cumulative 2024]]+Table8[[#This Row],[Cumulative 2025]]+Table8[[#This Row],[Cumulative 2026]]</f>
        <v>10808</v>
      </c>
      <c r="D553">
        <f>IF(YEAR(Table8[[#This Row],[Date]])=2023,B553,0)+IF(ROW(D552)=1,0,D552)</f>
        <v>4195</v>
      </c>
      <c r="E553">
        <f>MAX(Table8[Cumulative 2023 Q4])</f>
        <v>4195</v>
      </c>
      <c r="F553">
        <f>IF(YEAR(Table8[[#This Row],[Date]])=2024,B553,0)+IF(ROW(F552)=1,0,F552)</f>
        <v>5831</v>
      </c>
      <c r="G553">
        <f>MAX(Table8[Cumulative 2024])</f>
        <v>5831</v>
      </c>
      <c r="H553">
        <f>IF(YEAR(Table8[[#This Row],[Date]])=2025,B553,0)+IF(ROW(H552)=1,0,H552)</f>
        <v>782</v>
      </c>
      <c r="I553">
        <f>MAX(Table8[Cumulative 2025])</f>
        <v>1377</v>
      </c>
      <c r="J553">
        <f>IF(YEAR(Table8[[#This Row],[Date]])=2026,B553,0)+IF(ROW(J552)=1,0,J552)</f>
        <v>0</v>
      </c>
      <c r="K553">
        <f>MAX(Table8[Cumulative 2026])</f>
        <v>3102</v>
      </c>
    </row>
    <row r="554" spans="1:11" hidden="1" x14ac:dyDescent="0.25">
      <c r="A554" s="1">
        <v>45763</v>
      </c>
      <c r="B554">
        <f>SUM(_xlfn.CHOOSEROWS(Table8[[The Golden Compass]:[end]],ROW()-1))</f>
        <v>0</v>
      </c>
      <c r="C554">
        <f>Table8[[#This Row],[Cumulative 2023 Q4]]+Table8[[#This Row],[Cumulative 2024]]+Table8[[#This Row],[Cumulative 2025]]+Table8[[#This Row],[Cumulative 2026]]</f>
        <v>10808</v>
      </c>
      <c r="D554">
        <f>IF(YEAR(Table8[[#This Row],[Date]])=2023,B554,0)+IF(ROW(D553)=1,0,D553)</f>
        <v>4195</v>
      </c>
      <c r="E554">
        <f>MAX(Table8[Cumulative 2023 Q4])</f>
        <v>4195</v>
      </c>
      <c r="F554">
        <f>IF(YEAR(Table8[[#This Row],[Date]])=2024,B554,0)+IF(ROW(F553)=1,0,F553)</f>
        <v>5831</v>
      </c>
      <c r="G554">
        <f>MAX(Table8[Cumulative 2024])</f>
        <v>5831</v>
      </c>
      <c r="H554">
        <f>IF(YEAR(Table8[[#This Row],[Date]])=2025,B554,0)+IF(ROW(H553)=1,0,H553)</f>
        <v>782</v>
      </c>
      <c r="I554">
        <f>MAX(Table8[Cumulative 2025])</f>
        <v>1377</v>
      </c>
      <c r="J554">
        <f>IF(YEAR(Table8[[#This Row],[Date]])=2026,B554,0)+IF(ROW(J553)=1,0,J553)</f>
        <v>0</v>
      </c>
      <c r="K554">
        <f>MAX(Table8[Cumulative 2026])</f>
        <v>3102</v>
      </c>
    </row>
    <row r="555" spans="1:11" hidden="1" x14ac:dyDescent="0.25">
      <c r="A555" s="1">
        <v>45764</v>
      </c>
      <c r="B555">
        <f>SUM(_xlfn.CHOOSEROWS(Table8[[The Golden Compass]:[end]],ROW()-1))</f>
        <v>0</v>
      </c>
      <c r="C555">
        <f>Table8[[#This Row],[Cumulative 2023 Q4]]+Table8[[#This Row],[Cumulative 2024]]+Table8[[#This Row],[Cumulative 2025]]+Table8[[#This Row],[Cumulative 2026]]</f>
        <v>10808</v>
      </c>
      <c r="D555">
        <f>IF(YEAR(Table8[[#This Row],[Date]])=2023,B555,0)+IF(ROW(D554)=1,0,D554)</f>
        <v>4195</v>
      </c>
      <c r="E555">
        <f>MAX(Table8[Cumulative 2023 Q4])</f>
        <v>4195</v>
      </c>
      <c r="F555">
        <f>IF(YEAR(Table8[[#This Row],[Date]])=2024,B555,0)+IF(ROW(F554)=1,0,F554)</f>
        <v>5831</v>
      </c>
      <c r="G555">
        <f>MAX(Table8[Cumulative 2024])</f>
        <v>5831</v>
      </c>
      <c r="H555">
        <f>IF(YEAR(Table8[[#This Row],[Date]])=2025,B555,0)+IF(ROW(H554)=1,0,H554)</f>
        <v>782</v>
      </c>
      <c r="I555">
        <f>MAX(Table8[Cumulative 2025])</f>
        <v>1377</v>
      </c>
      <c r="J555">
        <f>IF(YEAR(Table8[[#This Row],[Date]])=2026,B555,0)+IF(ROW(J554)=1,0,J554)</f>
        <v>0</v>
      </c>
      <c r="K555">
        <f>MAX(Table8[Cumulative 2026])</f>
        <v>3102</v>
      </c>
    </row>
    <row r="556" spans="1:11" hidden="1" x14ac:dyDescent="0.25">
      <c r="A556" s="1">
        <v>45765</v>
      </c>
      <c r="B556">
        <f>SUM(_xlfn.CHOOSEROWS(Table8[[The Golden Compass]:[end]],ROW()-1))</f>
        <v>0</v>
      </c>
      <c r="C556">
        <f>Table8[[#This Row],[Cumulative 2023 Q4]]+Table8[[#This Row],[Cumulative 2024]]+Table8[[#This Row],[Cumulative 2025]]+Table8[[#This Row],[Cumulative 2026]]</f>
        <v>10808</v>
      </c>
      <c r="D556">
        <f>IF(YEAR(Table8[[#This Row],[Date]])=2023,B556,0)+IF(ROW(D555)=1,0,D555)</f>
        <v>4195</v>
      </c>
      <c r="E556">
        <f>MAX(Table8[Cumulative 2023 Q4])</f>
        <v>4195</v>
      </c>
      <c r="F556">
        <f>IF(YEAR(Table8[[#This Row],[Date]])=2024,B556,0)+IF(ROW(F555)=1,0,F555)</f>
        <v>5831</v>
      </c>
      <c r="G556">
        <f>MAX(Table8[Cumulative 2024])</f>
        <v>5831</v>
      </c>
      <c r="H556">
        <f>IF(YEAR(Table8[[#This Row],[Date]])=2025,B556,0)+IF(ROW(H555)=1,0,H555)</f>
        <v>782</v>
      </c>
      <c r="I556">
        <f>MAX(Table8[Cumulative 2025])</f>
        <v>1377</v>
      </c>
      <c r="J556">
        <f>IF(YEAR(Table8[[#This Row],[Date]])=2026,B556,0)+IF(ROW(J555)=1,0,J555)</f>
        <v>0</v>
      </c>
      <c r="K556">
        <f>MAX(Table8[Cumulative 2026])</f>
        <v>3102</v>
      </c>
    </row>
    <row r="557" spans="1:11" hidden="1" x14ac:dyDescent="0.25">
      <c r="A557" s="1">
        <v>45766</v>
      </c>
      <c r="B557">
        <f>SUM(_xlfn.CHOOSEROWS(Table8[[The Golden Compass]:[end]],ROW()-1))</f>
        <v>0</v>
      </c>
      <c r="C557">
        <f>Table8[[#This Row],[Cumulative 2023 Q4]]+Table8[[#This Row],[Cumulative 2024]]+Table8[[#This Row],[Cumulative 2025]]+Table8[[#This Row],[Cumulative 2026]]</f>
        <v>10808</v>
      </c>
      <c r="D557">
        <f>IF(YEAR(Table8[[#This Row],[Date]])=2023,B557,0)+IF(ROW(D556)=1,0,D556)</f>
        <v>4195</v>
      </c>
      <c r="E557">
        <f>MAX(Table8[Cumulative 2023 Q4])</f>
        <v>4195</v>
      </c>
      <c r="F557">
        <f>IF(YEAR(Table8[[#This Row],[Date]])=2024,B557,0)+IF(ROW(F556)=1,0,F556)</f>
        <v>5831</v>
      </c>
      <c r="G557">
        <f>MAX(Table8[Cumulative 2024])</f>
        <v>5831</v>
      </c>
      <c r="H557">
        <f>IF(YEAR(Table8[[#This Row],[Date]])=2025,B557,0)+IF(ROW(H556)=1,0,H556)</f>
        <v>782</v>
      </c>
      <c r="I557">
        <f>MAX(Table8[Cumulative 2025])</f>
        <v>1377</v>
      </c>
      <c r="J557">
        <f>IF(YEAR(Table8[[#This Row],[Date]])=2026,B557,0)+IF(ROW(J556)=1,0,J556)</f>
        <v>0</v>
      </c>
      <c r="K557">
        <f>MAX(Table8[Cumulative 2026])</f>
        <v>3102</v>
      </c>
    </row>
    <row r="558" spans="1:11" hidden="1" x14ac:dyDescent="0.25">
      <c r="A558" s="1">
        <v>45767</v>
      </c>
      <c r="B558">
        <f>SUM(_xlfn.CHOOSEROWS(Table8[[The Golden Compass]:[end]],ROW()-1))</f>
        <v>0</v>
      </c>
      <c r="C558">
        <f>Table8[[#This Row],[Cumulative 2023 Q4]]+Table8[[#This Row],[Cumulative 2024]]+Table8[[#This Row],[Cumulative 2025]]+Table8[[#This Row],[Cumulative 2026]]</f>
        <v>10808</v>
      </c>
      <c r="D558">
        <f>IF(YEAR(Table8[[#This Row],[Date]])=2023,B558,0)+IF(ROW(D557)=1,0,D557)</f>
        <v>4195</v>
      </c>
      <c r="E558">
        <f>MAX(Table8[Cumulative 2023 Q4])</f>
        <v>4195</v>
      </c>
      <c r="F558">
        <f>IF(YEAR(Table8[[#This Row],[Date]])=2024,B558,0)+IF(ROW(F557)=1,0,F557)</f>
        <v>5831</v>
      </c>
      <c r="G558">
        <f>MAX(Table8[Cumulative 2024])</f>
        <v>5831</v>
      </c>
      <c r="H558">
        <f>IF(YEAR(Table8[[#This Row],[Date]])=2025,B558,0)+IF(ROW(H557)=1,0,H557)</f>
        <v>782</v>
      </c>
      <c r="I558">
        <f>MAX(Table8[Cumulative 2025])</f>
        <v>1377</v>
      </c>
      <c r="J558">
        <f>IF(YEAR(Table8[[#This Row],[Date]])=2026,B558,0)+IF(ROW(J557)=1,0,J557)</f>
        <v>0</v>
      </c>
      <c r="K558">
        <f>MAX(Table8[Cumulative 2026])</f>
        <v>3102</v>
      </c>
    </row>
    <row r="559" spans="1:11" hidden="1" x14ac:dyDescent="0.25">
      <c r="A559" s="1">
        <v>45768</v>
      </c>
      <c r="B559">
        <f>SUM(_xlfn.CHOOSEROWS(Table8[[The Golden Compass]:[end]],ROW()-1))</f>
        <v>0</v>
      </c>
      <c r="C559">
        <f>Table8[[#This Row],[Cumulative 2023 Q4]]+Table8[[#This Row],[Cumulative 2024]]+Table8[[#This Row],[Cumulative 2025]]+Table8[[#This Row],[Cumulative 2026]]</f>
        <v>10808</v>
      </c>
      <c r="D559">
        <f>IF(YEAR(Table8[[#This Row],[Date]])=2023,B559,0)+IF(ROW(D558)=1,0,D558)</f>
        <v>4195</v>
      </c>
      <c r="E559">
        <f>MAX(Table8[Cumulative 2023 Q4])</f>
        <v>4195</v>
      </c>
      <c r="F559">
        <f>IF(YEAR(Table8[[#This Row],[Date]])=2024,B559,0)+IF(ROW(F558)=1,0,F558)</f>
        <v>5831</v>
      </c>
      <c r="G559">
        <f>MAX(Table8[Cumulative 2024])</f>
        <v>5831</v>
      </c>
      <c r="H559">
        <f>IF(YEAR(Table8[[#This Row],[Date]])=2025,B559,0)+IF(ROW(H558)=1,0,H558)</f>
        <v>782</v>
      </c>
      <c r="I559">
        <f>MAX(Table8[Cumulative 2025])</f>
        <v>1377</v>
      </c>
      <c r="J559">
        <f>IF(YEAR(Table8[[#This Row],[Date]])=2026,B559,0)+IF(ROW(J558)=1,0,J558)</f>
        <v>0</v>
      </c>
      <c r="K559">
        <f>MAX(Table8[Cumulative 2026])</f>
        <v>3102</v>
      </c>
    </row>
    <row r="560" spans="1:11" hidden="1" x14ac:dyDescent="0.25">
      <c r="A560" s="1">
        <v>45769</v>
      </c>
      <c r="B560">
        <f>SUM(_xlfn.CHOOSEROWS(Table8[[The Golden Compass]:[end]],ROW()-1))</f>
        <v>0</v>
      </c>
      <c r="C560">
        <f>Table8[[#This Row],[Cumulative 2023 Q4]]+Table8[[#This Row],[Cumulative 2024]]+Table8[[#This Row],[Cumulative 2025]]+Table8[[#This Row],[Cumulative 2026]]</f>
        <v>10808</v>
      </c>
      <c r="D560">
        <f>IF(YEAR(Table8[[#This Row],[Date]])=2023,B560,0)+IF(ROW(D559)=1,0,D559)</f>
        <v>4195</v>
      </c>
      <c r="E560">
        <f>MAX(Table8[Cumulative 2023 Q4])</f>
        <v>4195</v>
      </c>
      <c r="F560">
        <f>IF(YEAR(Table8[[#This Row],[Date]])=2024,B560,0)+IF(ROW(F559)=1,0,F559)</f>
        <v>5831</v>
      </c>
      <c r="G560">
        <f>MAX(Table8[Cumulative 2024])</f>
        <v>5831</v>
      </c>
      <c r="H560">
        <f>IF(YEAR(Table8[[#This Row],[Date]])=2025,B560,0)+IF(ROW(H559)=1,0,H559)</f>
        <v>782</v>
      </c>
      <c r="I560">
        <f>MAX(Table8[Cumulative 2025])</f>
        <v>1377</v>
      </c>
      <c r="J560">
        <f>IF(YEAR(Table8[[#This Row],[Date]])=2026,B560,0)+IF(ROW(J559)=1,0,J559)</f>
        <v>0</v>
      </c>
      <c r="K560">
        <f>MAX(Table8[Cumulative 2026])</f>
        <v>3102</v>
      </c>
    </row>
    <row r="561" spans="1:11" hidden="1" x14ac:dyDescent="0.25">
      <c r="A561" s="1">
        <v>45770</v>
      </c>
      <c r="B561">
        <f>SUM(_xlfn.CHOOSEROWS(Table8[[The Golden Compass]:[end]],ROW()-1))</f>
        <v>0</v>
      </c>
      <c r="C561">
        <f>Table8[[#This Row],[Cumulative 2023 Q4]]+Table8[[#This Row],[Cumulative 2024]]+Table8[[#This Row],[Cumulative 2025]]+Table8[[#This Row],[Cumulative 2026]]</f>
        <v>10808</v>
      </c>
      <c r="D561">
        <f>IF(YEAR(Table8[[#This Row],[Date]])=2023,B561,0)+IF(ROW(D560)=1,0,D560)</f>
        <v>4195</v>
      </c>
      <c r="E561">
        <f>MAX(Table8[Cumulative 2023 Q4])</f>
        <v>4195</v>
      </c>
      <c r="F561">
        <f>IF(YEAR(Table8[[#This Row],[Date]])=2024,B561,0)+IF(ROW(F560)=1,0,F560)</f>
        <v>5831</v>
      </c>
      <c r="G561">
        <f>MAX(Table8[Cumulative 2024])</f>
        <v>5831</v>
      </c>
      <c r="H561">
        <f>IF(YEAR(Table8[[#This Row],[Date]])=2025,B561,0)+IF(ROW(H560)=1,0,H560)</f>
        <v>782</v>
      </c>
      <c r="I561">
        <f>MAX(Table8[Cumulative 2025])</f>
        <v>1377</v>
      </c>
      <c r="J561">
        <f>IF(YEAR(Table8[[#This Row],[Date]])=2026,B561,0)+IF(ROW(J560)=1,0,J560)</f>
        <v>0</v>
      </c>
      <c r="K561">
        <f>MAX(Table8[Cumulative 2026])</f>
        <v>3102</v>
      </c>
    </row>
    <row r="562" spans="1:11" hidden="1" x14ac:dyDescent="0.25">
      <c r="A562" s="1">
        <v>45771</v>
      </c>
      <c r="B562">
        <f>SUM(_xlfn.CHOOSEROWS(Table8[[The Golden Compass]:[end]],ROW()-1))</f>
        <v>0</v>
      </c>
      <c r="C562">
        <f>Table8[[#This Row],[Cumulative 2023 Q4]]+Table8[[#This Row],[Cumulative 2024]]+Table8[[#This Row],[Cumulative 2025]]+Table8[[#This Row],[Cumulative 2026]]</f>
        <v>10808</v>
      </c>
      <c r="D562">
        <f>IF(YEAR(Table8[[#This Row],[Date]])=2023,B562,0)+IF(ROW(D561)=1,0,D561)</f>
        <v>4195</v>
      </c>
      <c r="E562">
        <f>MAX(Table8[Cumulative 2023 Q4])</f>
        <v>4195</v>
      </c>
      <c r="F562">
        <f>IF(YEAR(Table8[[#This Row],[Date]])=2024,B562,0)+IF(ROW(F561)=1,0,F561)</f>
        <v>5831</v>
      </c>
      <c r="G562">
        <f>MAX(Table8[Cumulative 2024])</f>
        <v>5831</v>
      </c>
      <c r="H562">
        <f>IF(YEAR(Table8[[#This Row],[Date]])=2025,B562,0)+IF(ROW(H561)=1,0,H561)</f>
        <v>782</v>
      </c>
      <c r="I562">
        <f>MAX(Table8[Cumulative 2025])</f>
        <v>1377</v>
      </c>
      <c r="J562">
        <f>IF(YEAR(Table8[[#This Row],[Date]])=2026,B562,0)+IF(ROW(J561)=1,0,J561)</f>
        <v>0</v>
      </c>
      <c r="K562">
        <f>MAX(Table8[Cumulative 2026])</f>
        <v>3102</v>
      </c>
    </row>
    <row r="563" spans="1:11" hidden="1" x14ac:dyDescent="0.25">
      <c r="A563" s="1">
        <v>45772</v>
      </c>
      <c r="B563">
        <f>SUM(_xlfn.CHOOSEROWS(Table8[[The Golden Compass]:[end]],ROW()-1))</f>
        <v>0</v>
      </c>
      <c r="C563">
        <f>Table8[[#This Row],[Cumulative 2023 Q4]]+Table8[[#This Row],[Cumulative 2024]]+Table8[[#This Row],[Cumulative 2025]]+Table8[[#This Row],[Cumulative 2026]]</f>
        <v>10808</v>
      </c>
      <c r="D563">
        <f>IF(YEAR(Table8[[#This Row],[Date]])=2023,B563,0)+IF(ROW(D562)=1,0,D562)</f>
        <v>4195</v>
      </c>
      <c r="E563">
        <f>MAX(Table8[Cumulative 2023 Q4])</f>
        <v>4195</v>
      </c>
      <c r="F563">
        <f>IF(YEAR(Table8[[#This Row],[Date]])=2024,B563,0)+IF(ROW(F562)=1,0,F562)</f>
        <v>5831</v>
      </c>
      <c r="G563">
        <f>MAX(Table8[Cumulative 2024])</f>
        <v>5831</v>
      </c>
      <c r="H563">
        <f>IF(YEAR(Table8[[#This Row],[Date]])=2025,B563,0)+IF(ROW(H562)=1,0,H562)</f>
        <v>782</v>
      </c>
      <c r="I563">
        <f>MAX(Table8[Cumulative 2025])</f>
        <v>1377</v>
      </c>
      <c r="J563">
        <f>IF(YEAR(Table8[[#This Row],[Date]])=2026,B563,0)+IF(ROW(J562)=1,0,J562)</f>
        <v>0</v>
      </c>
      <c r="K563">
        <f>MAX(Table8[Cumulative 2026])</f>
        <v>3102</v>
      </c>
    </row>
    <row r="564" spans="1:11" hidden="1" x14ac:dyDescent="0.25">
      <c r="A564" s="1">
        <v>45773</v>
      </c>
      <c r="B564">
        <f>SUM(_xlfn.CHOOSEROWS(Table8[[The Golden Compass]:[end]],ROW()-1))</f>
        <v>0</v>
      </c>
      <c r="C564">
        <f>Table8[[#This Row],[Cumulative 2023 Q4]]+Table8[[#This Row],[Cumulative 2024]]+Table8[[#This Row],[Cumulative 2025]]+Table8[[#This Row],[Cumulative 2026]]</f>
        <v>10808</v>
      </c>
      <c r="D564">
        <f>IF(YEAR(Table8[[#This Row],[Date]])=2023,B564,0)+IF(ROW(D563)=1,0,D563)</f>
        <v>4195</v>
      </c>
      <c r="E564">
        <f>MAX(Table8[Cumulative 2023 Q4])</f>
        <v>4195</v>
      </c>
      <c r="F564">
        <f>IF(YEAR(Table8[[#This Row],[Date]])=2024,B564,0)+IF(ROW(F563)=1,0,F563)</f>
        <v>5831</v>
      </c>
      <c r="G564">
        <f>MAX(Table8[Cumulative 2024])</f>
        <v>5831</v>
      </c>
      <c r="H564">
        <f>IF(YEAR(Table8[[#This Row],[Date]])=2025,B564,0)+IF(ROW(H563)=1,0,H563)</f>
        <v>782</v>
      </c>
      <c r="I564">
        <f>MAX(Table8[Cumulative 2025])</f>
        <v>1377</v>
      </c>
      <c r="J564">
        <f>IF(YEAR(Table8[[#This Row],[Date]])=2026,B564,0)+IF(ROW(J563)=1,0,J563)</f>
        <v>0</v>
      </c>
      <c r="K564">
        <f>MAX(Table8[Cumulative 2026])</f>
        <v>3102</v>
      </c>
    </row>
    <row r="565" spans="1:11" hidden="1" x14ac:dyDescent="0.25">
      <c r="A565" s="1">
        <v>45774</v>
      </c>
      <c r="B565">
        <f>SUM(_xlfn.CHOOSEROWS(Table8[[The Golden Compass]:[end]],ROW()-1))</f>
        <v>0</v>
      </c>
      <c r="C565">
        <f>Table8[[#This Row],[Cumulative 2023 Q4]]+Table8[[#This Row],[Cumulative 2024]]+Table8[[#This Row],[Cumulative 2025]]+Table8[[#This Row],[Cumulative 2026]]</f>
        <v>10808</v>
      </c>
      <c r="D565">
        <f>IF(YEAR(Table8[[#This Row],[Date]])=2023,B565,0)+IF(ROW(D564)=1,0,D564)</f>
        <v>4195</v>
      </c>
      <c r="E565">
        <f>MAX(Table8[Cumulative 2023 Q4])</f>
        <v>4195</v>
      </c>
      <c r="F565">
        <f>IF(YEAR(Table8[[#This Row],[Date]])=2024,B565,0)+IF(ROW(F564)=1,0,F564)</f>
        <v>5831</v>
      </c>
      <c r="G565">
        <f>MAX(Table8[Cumulative 2024])</f>
        <v>5831</v>
      </c>
      <c r="H565">
        <f>IF(YEAR(Table8[[#This Row],[Date]])=2025,B565,0)+IF(ROW(H564)=1,0,H564)</f>
        <v>782</v>
      </c>
      <c r="I565">
        <f>MAX(Table8[Cumulative 2025])</f>
        <v>1377</v>
      </c>
      <c r="J565">
        <f>IF(YEAR(Table8[[#This Row],[Date]])=2026,B565,0)+IF(ROW(J564)=1,0,J564)</f>
        <v>0</v>
      </c>
      <c r="K565">
        <f>MAX(Table8[Cumulative 2026])</f>
        <v>3102</v>
      </c>
    </row>
    <row r="566" spans="1:11" hidden="1" x14ac:dyDescent="0.25">
      <c r="A566" s="1">
        <v>45775</v>
      </c>
      <c r="B566">
        <f>SUM(_xlfn.CHOOSEROWS(Table8[[The Golden Compass]:[end]],ROW()-1))</f>
        <v>0</v>
      </c>
      <c r="C566">
        <f>Table8[[#This Row],[Cumulative 2023 Q4]]+Table8[[#This Row],[Cumulative 2024]]+Table8[[#This Row],[Cumulative 2025]]+Table8[[#This Row],[Cumulative 2026]]</f>
        <v>10808</v>
      </c>
      <c r="D566">
        <f>IF(YEAR(Table8[[#This Row],[Date]])=2023,B566,0)+IF(ROW(D565)=1,0,D565)</f>
        <v>4195</v>
      </c>
      <c r="E566">
        <f>MAX(Table8[Cumulative 2023 Q4])</f>
        <v>4195</v>
      </c>
      <c r="F566">
        <f>IF(YEAR(Table8[[#This Row],[Date]])=2024,B566,0)+IF(ROW(F565)=1,0,F565)</f>
        <v>5831</v>
      </c>
      <c r="G566">
        <f>MAX(Table8[Cumulative 2024])</f>
        <v>5831</v>
      </c>
      <c r="H566">
        <f>IF(YEAR(Table8[[#This Row],[Date]])=2025,B566,0)+IF(ROW(H565)=1,0,H565)</f>
        <v>782</v>
      </c>
      <c r="I566">
        <f>MAX(Table8[Cumulative 2025])</f>
        <v>1377</v>
      </c>
      <c r="J566">
        <f>IF(YEAR(Table8[[#This Row],[Date]])=2026,B566,0)+IF(ROW(J565)=1,0,J565)</f>
        <v>0</v>
      </c>
      <c r="K566">
        <f>MAX(Table8[Cumulative 2026])</f>
        <v>3102</v>
      </c>
    </row>
    <row r="567" spans="1:11" hidden="1" x14ac:dyDescent="0.25">
      <c r="A567" s="1">
        <v>45776</v>
      </c>
      <c r="B567">
        <f>SUM(_xlfn.CHOOSEROWS(Table8[[The Golden Compass]:[end]],ROW()-1))</f>
        <v>0</v>
      </c>
      <c r="C567">
        <f>Table8[[#This Row],[Cumulative 2023 Q4]]+Table8[[#This Row],[Cumulative 2024]]+Table8[[#This Row],[Cumulative 2025]]+Table8[[#This Row],[Cumulative 2026]]</f>
        <v>10808</v>
      </c>
      <c r="D567">
        <f>IF(YEAR(Table8[[#This Row],[Date]])=2023,B567,0)+IF(ROW(D566)=1,0,D566)</f>
        <v>4195</v>
      </c>
      <c r="E567">
        <f>MAX(Table8[Cumulative 2023 Q4])</f>
        <v>4195</v>
      </c>
      <c r="F567">
        <f>IF(YEAR(Table8[[#This Row],[Date]])=2024,B567,0)+IF(ROW(F566)=1,0,F566)</f>
        <v>5831</v>
      </c>
      <c r="G567">
        <f>MAX(Table8[Cumulative 2024])</f>
        <v>5831</v>
      </c>
      <c r="H567">
        <f>IF(YEAR(Table8[[#This Row],[Date]])=2025,B567,0)+IF(ROW(H566)=1,0,H566)</f>
        <v>782</v>
      </c>
      <c r="I567">
        <f>MAX(Table8[Cumulative 2025])</f>
        <v>1377</v>
      </c>
      <c r="J567">
        <f>IF(YEAR(Table8[[#This Row],[Date]])=2026,B567,0)+IF(ROW(J566)=1,0,J566)</f>
        <v>0</v>
      </c>
      <c r="K567">
        <f>MAX(Table8[Cumulative 2026])</f>
        <v>3102</v>
      </c>
    </row>
    <row r="568" spans="1:11" hidden="1" x14ac:dyDescent="0.25">
      <c r="A568" s="1">
        <v>45777</v>
      </c>
      <c r="B568">
        <f>SUM(_xlfn.CHOOSEROWS(Table8[[The Golden Compass]:[end]],ROW()-1))</f>
        <v>0</v>
      </c>
      <c r="C568">
        <f>Table8[[#This Row],[Cumulative 2023 Q4]]+Table8[[#This Row],[Cumulative 2024]]+Table8[[#This Row],[Cumulative 2025]]+Table8[[#This Row],[Cumulative 2026]]</f>
        <v>10808</v>
      </c>
      <c r="D568">
        <f>IF(YEAR(Table8[[#This Row],[Date]])=2023,B568,0)+IF(ROW(D567)=1,0,D567)</f>
        <v>4195</v>
      </c>
      <c r="E568">
        <f>MAX(Table8[Cumulative 2023 Q4])</f>
        <v>4195</v>
      </c>
      <c r="F568">
        <f>IF(YEAR(Table8[[#This Row],[Date]])=2024,B568,0)+IF(ROW(F567)=1,0,F567)</f>
        <v>5831</v>
      </c>
      <c r="G568">
        <f>MAX(Table8[Cumulative 2024])</f>
        <v>5831</v>
      </c>
      <c r="H568">
        <f>IF(YEAR(Table8[[#This Row],[Date]])=2025,B568,0)+IF(ROW(H567)=1,0,H567)</f>
        <v>782</v>
      </c>
      <c r="I568">
        <f>MAX(Table8[Cumulative 2025])</f>
        <v>1377</v>
      </c>
      <c r="J568">
        <f>IF(YEAR(Table8[[#This Row],[Date]])=2026,B568,0)+IF(ROW(J567)=1,0,J567)</f>
        <v>0</v>
      </c>
      <c r="K568">
        <f>MAX(Table8[Cumulative 2026])</f>
        <v>3102</v>
      </c>
    </row>
    <row r="569" spans="1:11" hidden="1" x14ac:dyDescent="0.25">
      <c r="A569" s="1">
        <v>45778</v>
      </c>
      <c r="B569">
        <f>SUM(_xlfn.CHOOSEROWS(Table8[[The Golden Compass]:[end]],ROW()-1))</f>
        <v>0</v>
      </c>
      <c r="C569">
        <f>Table8[[#This Row],[Cumulative 2023 Q4]]+Table8[[#This Row],[Cumulative 2024]]+Table8[[#This Row],[Cumulative 2025]]+Table8[[#This Row],[Cumulative 2026]]</f>
        <v>10808</v>
      </c>
      <c r="D569">
        <f>IF(YEAR(Table8[[#This Row],[Date]])=2023,B569,0)+IF(ROW(D568)=1,0,D568)</f>
        <v>4195</v>
      </c>
      <c r="E569">
        <f>MAX(Table8[Cumulative 2023 Q4])</f>
        <v>4195</v>
      </c>
      <c r="F569">
        <f>IF(YEAR(Table8[[#This Row],[Date]])=2024,B569,0)+IF(ROW(F568)=1,0,F568)</f>
        <v>5831</v>
      </c>
      <c r="G569">
        <f>MAX(Table8[Cumulative 2024])</f>
        <v>5831</v>
      </c>
      <c r="H569">
        <f>IF(YEAR(Table8[[#This Row],[Date]])=2025,B569,0)+IF(ROW(H568)=1,0,H568)</f>
        <v>782</v>
      </c>
      <c r="I569">
        <f>MAX(Table8[Cumulative 2025])</f>
        <v>1377</v>
      </c>
      <c r="J569">
        <f>IF(YEAR(Table8[[#This Row],[Date]])=2026,B569,0)+IF(ROW(J568)=1,0,J568)</f>
        <v>0</v>
      </c>
      <c r="K569">
        <f>MAX(Table8[Cumulative 2026])</f>
        <v>3102</v>
      </c>
    </row>
    <row r="570" spans="1:11" hidden="1" x14ac:dyDescent="0.25">
      <c r="A570" s="1">
        <v>45779</v>
      </c>
      <c r="B570">
        <f>SUM(_xlfn.CHOOSEROWS(Table8[[The Golden Compass]:[end]],ROW()-1))</f>
        <v>0</v>
      </c>
      <c r="C570">
        <f>Table8[[#This Row],[Cumulative 2023 Q4]]+Table8[[#This Row],[Cumulative 2024]]+Table8[[#This Row],[Cumulative 2025]]+Table8[[#This Row],[Cumulative 2026]]</f>
        <v>10808</v>
      </c>
      <c r="D570">
        <f>IF(YEAR(Table8[[#This Row],[Date]])=2023,B570,0)+IF(ROW(D569)=1,0,D569)</f>
        <v>4195</v>
      </c>
      <c r="E570">
        <f>MAX(Table8[Cumulative 2023 Q4])</f>
        <v>4195</v>
      </c>
      <c r="F570">
        <f>IF(YEAR(Table8[[#This Row],[Date]])=2024,B570,0)+IF(ROW(F569)=1,0,F569)</f>
        <v>5831</v>
      </c>
      <c r="G570">
        <f>MAX(Table8[Cumulative 2024])</f>
        <v>5831</v>
      </c>
      <c r="H570">
        <f>IF(YEAR(Table8[[#This Row],[Date]])=2025,B570,0)+IF(ROW(H569)=1,0,H569)</f>
        <v>782</v>
      </c>
      <c r="I570">
        <f>MAX(Table8[Cumulative 2025])</f>
        <v>1377</v>
      </c>
      <c r="J570">
        <f>IF(YEAR(Table8[[#This Row],[Date]])=2026,B570,0)+IF(ROW(J569)=1,0,J569)</f>
        <v>0</v>
      </c>
      <c r="K570">
        <f>MAX(Table8[Cumulative 2026])</f>
        <v>3102</v>
      </c>
    </row>
    <row r="571" spans="1:11" hidden="1" x14ac:dyDescent="0.25">
      <c r="A571" s="1">
        <v>45780</v>
      </c>
      <c r="B571">
        <f>SUM(_xlfn.CHOOSEROWS(Table8[[The Golden Compass]:[end]],ROW()-1))</f>
        <v>0</v>
      </c>
      <c r="C571">
        <f>Table8[[#This Row],[Cumulative 2023 Q4]]+Table8[[#This Row],[Cumulative 2024]]+Table8[[#This Row],[Cumulative 2025]]+Table8[[#This Row],[Cumulative 2026]]</f>
        <v>10808</v>
      </c>
      <c r="D571">
        <f>IF(YEAR(Table8[[#This Row],[Date]])=2023,B571,0)+IF(ROW(D570)=1,0,D570)</f>
        <v>4195</v>
      </c>
      <c r="E571">
        <f>MAX(Table8[Cumulative 2023 Q4])</f>
        <v>4195</v>
      </c>
      <c r="F571">
        <f>IF(YEAR(Table8[[#This Row],[Date]])=2024,B571,0)+IF(ROW(F570)=1,0,F570)</f>
        <v>5831</v>
      </c>
      <c r="G571">
        <f>MAX(Table8[Cumulative 2024])</f>
        <v>5831</v>
      </c>
      <c r="H571">
        <f>IF(YEAR(Table8[[#This Row],[Date]])=2025,B571,0)+IF(ROW(H570)=1,0,H570)</f>
        <v>782</v>
      </c>
      <c r="I571">
        <f>MAX(Table8[Cumulative 2025])</f>
        <v>1377</v>
      </c>
      <c r="J571">
        <f>IF(YEAR(Table8[[#This Row],[Date]])=2026,B571,0)+IF(ROW(J570)=1,0,J570)</f>
        <v>0</v>
      </c>
      <c r="K571">
        <f>MAX(Table8[Cumulative 2026])</f>
        <v>3102</v>
      </c>
    </row>
    <row r="572" spans="1:11" hidden="1" x14ac:dyDescent="0.25">
      <c r="A572" s="1">
        <v>45781</v>
      </c>
      <c r="B572">
        <f>SUM(_xlfn.CHOOSEROWS(Table8[[The Golden Compass]:[end]],ROW()-1))</f>
        <v>0</v>
      </c>
      <c r="C572">
        <f>Table8[[#This Row],[Cumulative 2023 Q4]]+Table8[[#This Row],[Cumulative 2024]]+Table8[[#This Row],[Cumulative 2025]]+Table8[[#This Row],[Cumulative 2026]]</f>
        <v>10808</v>
      </c>
      <c r="D572">
        <f>IF(YEAR(Table8[[#This Row],[Date]])=2023,B572,0)+IF(ROW(D571)=1,0,D571)</f>
        <v>4195</v>
      </c>
      <c r="E572">
        <f>MAX(Table8[Cumulative 2023 Q4])</f>
        <v>4195</v>
      </c>
      <c r="F572">
        <f>IF(YEAR(Table8[[#This Row],[Date]])=2024,B572,0)+IF(ROW(F571)=1,0,F571)</f>
        <v>5831</v>
      </c>
      <c r="G572">
        <f>MAX(Table8[Cumulative 2024])</f>
        <v>5831</v>
      </c>
      <c r="H572">
        <f>IF(YEAR(Table8[[#This Row],[Date]])=2025,B572,0)+IF(ROW(H571)=1,0,H571)</f>
        <v>782</v>
      </c>
      <c r="I572">
        <f>MAX(Table8[Cumulative 2025])</f>
        <v>1377</v>
      </c>
      <c r="J572">
        <f>IF(YEAR(Table8[[#This Row],[Date]])=2026,B572,0)+IF(ROW(J571)=1,0,J571)</f>
        <v>0</v>
      </c>
      <c r="K572">
        <f>MAX(Table8[Cumulative 2026])</f>
        <v>3102</v>
      </c>
    </row>
    <row r="573" spans="1:11" hidden="1" x14ac:dyDescent="0.25">
      <c r="A573" s="1">
        <v>45782</v>
      </c>
      <c r="B573">
        <f>SUM(_xlfn.CHOOSEROWS(Table8[[The Golden Compass]:[end]],ROW()-1))</f>
        <v>0</v>
      </c>
      <c r="C573">
        <f>Table8[[#This Row],[Cumulative 2023 Q4]]+Table8[[#This Row],[Cumulative 2024]]+Table8[[#This Row],[Cumulative 2025]]+Table8[[#This Row],[Cumulative 2026]]</f>
        <v>10808</v>
      </c>
      <c r="D573">
        <f>IF(YEAR(Table8[[#This Row],[Date]])=2023,B573,0)+IF(ROW(D572)=1,0,D572)</f>
        <v>4195</v>
      </c>
      <c r="E573">
        <f>MAX(Table8[Cumulative 2023 Q4])</f>
        <v>4195</v>
      </c>
      <c r="F573">
        <f>IF(YEAR(Table8[[#This Row],[Date]])=2024,B573,0)+IF(ROW(F572)=1,0,F572)</f>
        <v>5831</v>
      </c>
      <c r="G573">
        <f>MAX(Table8[Cumulative 2024])</f>
        <v>5831</v>
      </c>
      <c r="H573">
        <f>IF(YEAR(Table8[[#This Row],[Date]])=2025,B573,0)+IF(ROW(H572)=1,0,H572)</f>
        <v>782</v>
      </c>
      <c r="I573">
        <f>MAX(Table8[Cumulative 2025])</f>
        <v>1377</v>
      </c>
      <c r="J573">
        <f>IF(YEAR(Table8[[#This Row],[Date]])=2026,B573,0)+IF(ROW(J572)=1,0,J572)</f>
        <v>0</v>
      </c>
      <c r="K573">
        <f>MAX(Table8[Cumulative 2026])</f>
        <v>3102</v>
      </c>
    </row>
    <row r="574" spans="1:11" hidden="1" x14ac:dyDescent="0.25">
      <c r="A574" s="1">
        <v>45783</v>
      </c>
      <c r="B574">
        <f>SUM(_xlfn.CHOOSEROWS(Table8[[The Golden Compass]:[end]],ROW()-1))</f>
        <v>0</v>
      </c>
      <c r="C574">
        <f>Table8[[#This Row],[Cumulative 2023 Q4]]+Table8[[#This Row],[Cumulative 2024]]+Table8[[#This Row],[Cumulative 2025]]+Table8[[#This Row],[Cumulative 2026]]</f>
        <v>10808</v>
      </c>
      <c r="D574">
        <f>IF(YEAR(Table8[[#This Row],[Date]])=2023,B574,0)+IF(ROW(D573)=1,0,D573)</f>
        <v>4195</v>
      </c>
      <c r="E574">
        <f>MAX(Table8[Cumulative 2023 Q4])</f>
        <v>4195</v>
      </c>
      <c r="F574">
        <f>IF(YEAR(Table8[[#This Row],[Date]])=2024,B574,0)+IF(ROW(F573)=1,0,F573)</f>
        <v>5831</v>
      </c>
      <c r="G574">
        <f>MAX(Table8[Cumulative 2024])</f>
        <v>5831</v>
      </c>
      <c r="H574">
        <f>IF(YEAR(Table8[[#This Row],[Date]])=2025,B574,0)+IF(ROW(H573)=1,0,H573)</f>
        <v>782</v>
      </c>
      <c r="I574">
        <f>MAX(Table8[Cumulative 2025])</f>
        <v>1377</v>
      </c>
      <c r="J574">
        <f>IF(YEAR(Table8[[#This Row],[Date]])=2026,B574,0)+IF(ROW(J573)=1,0,J573)</f>
        <v>0</v>
      </c>
      <c r="K574">
        <f>MAX(Table8[Cumulative 2026])</f>
        <v>3102</v>
      </c>
    </row>
    <row r="575" spans="1:11" hidden="1" x14ac:dyDescent="0.25">
      <c r="A575" s="1">
        <v>45784</v>
      </c>
      <c r="B575">
        <f>SUM(_xlfn.CHOOSEROWS(Table8[[The Golden Compass]:[end]],ROW()-1))</f>
        <v>0</v>
      </c>
      <c r="C575">
        <f>Table8[[#This Row],[Cumulative 2023 Q4]]+Table8[[#This Row],[Cumulative 2024]]+Table8[[#This Row],[Cumulative 2025]]+Table8[[#This Row],[Cumulative 2026]]</f>
        <v>10808</v>
      </c>
      <c r="D575">
        <f>IF(YEAR(Table8[[#This Row],[Date]])=2023,B575,0)+IF(ROW(D574)=1,0,D574)</f>
        <v>4195</v>
      </c>
      <c r="E575">
        <f>MAX(Table8[Cumulative 2023 Q4])</f>
        <v>4195</v>
      </c>
      <c r="F575">
        <f>IF(YEAR(Table8[[#This Row],[Date]])=2024,B575,0)+IF(ROW(F574)=1,0,F574)</f>
        <v>5831</v>
      </c>
      <c r="G575">
        <f>MAX(Table8[Cumulative 2024])</f>
        <v>5831</v>
      </c>
      <c r="H575">
        <f>IF(YEAR(Table8[[#This Row],[Date]])=2025,B575,0)+IF(ROW(H574)=1,0,H574)</f>
        <v>782</v>
      </c>
      <c r="I575">
        <f>MAX(Table8[Cumulative 2025])</f>
        <v>1377</v>
      </c>
      <c r="J575">
        <f>IF(YEAR(Table8[[#This Row],[Date]])=2026,B575,0)+IF(ROW(J574)=1,0,J574)</f>
        <v>0</v>
      </c>
      <c r="K575">
        <f>MAX(Table8[Cumulative 2026])</f>
        <v>3102</v>
      </c>
    </row>
    <row r="576" spans="1:11" hidden="1" x14ac:dyDescent="0.25">
      <c r="A576" s="1">
        <v>45785</v>
      </c>
      <c r="B576">
        <f>SUM(_xlfn.CHOOSEROWS(Table8[[The Golden Compass]:[end]],ROW()-1))</f>
        <v>0</v>
      </c>
      <c r="C576">
        <f>Table8[[#This Row],[Cumulative 2023 Q4]]+Table8[[#This Row],[Cumulative 2024]]+Table8[[#This Row],[Cumulative 2025]]+Table8[[#This Row],[Cumulative 2026]]</f>
        <v>10808</v>
      </c>
      <c r="D576">
        <f>IF(YEAR(Table8[[#This Row],[Date]])=2023,B576,0)+IF(ROW(D575)=1,0,D575)</f>
        <v>4195</v>
      </c>
      <c r="E576">
        <f>MAX(Table8[Cumulative 2023 Q4])</f>
        <v>4195</v>
      </c>
      <c r="F576">
        <f>IF(YEAR(Table8[[#This Row],[Date]])=2024,B576,0)+IF(ROW(F575)=1,0,F575)</f>
        <v>5831</v>
      </c>
      <c r="G576">
        <f>MAX(Table8[Cumulative 2024])</f>
        <v>5831</v>
      </c>
      <c r="H576">
        <f>IF(YEAR(Table8[[#This Row],[Date]])=2025,B576,0)+IF(ROW(H575)=1,0,H575)</f>
        <v>782</v>
      </c>
      <c r="I576">
        <f>MAX(Table8[Cumulative 2025])</f>
        <v>1377</v>
      </c>
      <c r="J576">
        <f>IF(YEAR(Table8[[#This Row],[Date]])=2026,B576,0)+IF(ROW(J575)=1,0,J575)</f>
        <v>0</v>
      </c>
      <c r="K576">
        <f>MAX(Table8[Cumulative 2026])</f>
        <v>3102</v>
      </c>
    </row>
    <row r="577" spans="1:50" hidden="1" x14ac:dyDescent="0.25">
      <c r="A577" s="1">
        <v>45786</v>
      </c>
      <c r="B577">
        <f>SUM(_xlfn.CHOOSEROWS(Table8[[The Golden Compass]:[end]],ROW()-1))</f>
        <v>0</v>
      </c>
      <c r="C577">
        <f>Table8[[#This Row],[Cumulative 2023 Q4]]+Table8[[#This Row],[Cumulative 2024]]+Table8[[#This Row],[Cumulative 2025]]+Table8[[#This Row],[Cumulative 2026]]</f>
        <v>10808</v>
      </c>
      <c r="D577">
        <f>IF(YEAR(Table8[[#This Row],[Date]])=2023,B577,0)+IF(ROW(D576)=1,0,D576)</f>
        <v>4195</v>
      </c>
      <c r="E577">
        <f>MAX(Table8[Cumulative 2023 Q4])</f>
        <v>4195</v>
      </c>
      <c r="F577">
        <f>IF(YEAR(Table8[[#This Row],[Date]])=2024,B577,0)+IF(ROW(F576)=1,0,F576)</f>
        <v>5831</v>
      </c>
      <c r="G577">
        <f>MAX(Table8[Cumulative 2024])</f>
        <v>5831</v>
      </c>
      <c r="H577">
        <f>IF(YEAR(Table8[[#This Row],[Date]])=2025,B577,0)+IF(ROW(H576)=1,0,H576)</f>
        <v>782</v>
      </c>
      <c r="I577">
        <f>MAX(Table8[Cumulative 2025])</f>
        <v>1377</v>
      </c>
      <c r="J577">
        <f>IF(YEAR(Table8[[#This Row],[Date]])=2026,B577,0)+IF(ROW(J576)=1,0,J576)</f>
        <v>0</v>
      </c>
      <c r="K577">
        <f>MAX(Table8[Cumulative 2026])</f>
        <v>3102</v>
      </c>
    </row>
    <row r="578" spans="1:50" hidden="1" x14ac:dyDescent="0.25">
      <c r="A578" s="1">
        <v>45787</v>
      </c>
      <c r="B578">
        <f>SUM(_xlfn.CHOOSEROWS(Table8[[The Golden Compass]:[end]],ROW()-1))</f>
        <v>0</v>
      </c>
      <c r="C578">
        <f>Table8[[#This Row],[Cumulative 2023 Q4]]+Table8[[#This Row],[Cumulative 2024]]+Table8[[#This Row],[Cumulative 2025]]+Table8[[#This Row],[Cumulative 2026]]</f>
        <v>10808</v>
      </c>
      <c r="D578">
        <f>IF(YEAR(Table8[[#This Row],[Date]])=2023,B578,0)+IF(ROW(D577)=1,0,D577)</f>
        <v>4195</v>
      </c>
      <c r="E578">
        <f>MAX(Table8[Cumulative 2023 Q4])</f>
        <v>4195</v>
      </c>
      <c r="F578">
        <f>IF(YEAR(Table8[[#This Row],[Date]])=2024,B578,0)+IF(ROW(F577)=1,0,F577)</f>
        <v>5831</v>
      </c>
      <c r="G578">
        <f>MAX(Table8[Cumulative 2024])</f>
        <v>5831</v>
      </c>
      <c r="H578">
        <f>IF(YEAR(Table8[[#This Row],[Date]])=2025,B578,0)+IF(ROW(H577)=1,0,H577)</f>
        <v>782</v>
      </c>
      <c r="I578">
        <f>MAX(Table8[Cumulative 2025])</f>
        <v>1377</v>
      </c>
      <c r="J578">
        <f>IF(YEAR(Table8[[#This Row],[Date]])=2026,B578,0)+IF(ROW(J577)=1,0,J577)</f>
        <v>0</v>
      </c>
      <c r="K578">
        <f>MAX(Table8[Cumulative 2026])</f>
        <v>3102</v>
      </c>
    </row>
    <row r="579" spans="1:50" hidden="1" x14ac:dyDescent="0.25">
      <c r="A579" s="1">
        <v>45788</v>
      </c>
      <c r="B579">
        <f>SUM(_xlfn.CHOOSEROWS(Table8[[The Golden Compass]:[end]],ROW()-1))</f>
        <v>0</v>
      </c>
      <c r="C579">
        <f>Table8[[#This Row],[Cumulative 2023 Q4]]+Table8[[#This Row],[Cumulative 2024]]+Table8[[#This Row],[Cumulative 2025]]+Table8[[#This Row],[Cumulative 2026]]</f>
        <v>10808</v>
      </c>
      <c r="D579">
        <f>IF(YEAR(Table8[[#This Row],[Date]])=2023,B579,0)+IF(ROW(D578)=1,0,D578)</f>
        <v>4195</v>
      </c>
      <c r="E579">
        <f>MAX(Table8[Cumulative 2023 Q4])</f>
        <v>4195</v>
      </c>
      <c r="F579">
        <f>IF(YEAR(Table8[[#This Row],[Date]])=2024,B579,0)+IF(ROW(F578)=1,0,F578)</f>
        <v>5831</v>
      </c>
      <c r="G579">
        <f>MAX(Table8[Cumulative 2024])</f>
        <v>5831</v>
      </c>
      <c r="H579">
        <f>IF(YEAR(Table8[[#This Row],[Date]])=2025,B579,0)+IF(ROW(H578)=1,0,H578)</f>
        <v>782</v>
      </c>
      <c r="I579">
        <f>MAX(Table8[Cumulative 2025])</f>
        <v>1377</v>
      </c>
      <c r="J579">
        <f>IF(YEAR(Table8[[#This Row],[Date]])=2026,B579,0)+IF(ROW(J578)=1,0,J578)</f>
        <v>0</v>
      </c>
      <c r="K579">
        <f>MAX(Table8[Cumulative 2026])</f>
        <v>3102</v>
      </c>
    </row>
    <row r="580" spans="1:50" hidden="1" x14ac:dyDescent="0.25">
      <c r="A580" s="1">
        <v>45789</v>
      </c>
      <c r="B580">
        <f>SUM(_xlfn.CHOOSEROWS(Table8[[The Golden Compass]:[end]],ROW()-1))</f>
        <v>0</v>
      </c>
      <c r="C580">
        <f>Table8[[#This Row],[Cumulative 2023 Q4]]+Table8[[#This Row],[Cumulative 2024]]+Table8[[#This Row],[Cumulative 2025]]+Table8[[#This Row],[Cumulative 2026]]</f>
        <v>10808</v>
      </c>
      <c r="D580">
        <f>IF(YEAR(Table8[[#This Row],[Date]])=2023,B580,0)+IF(ROW(D579)=1,0,D579)</f>
        <v>4195</v>
      </c>
      <c r="E580">
        <f>MAX(Table8[Cumulative 2023 Q4])</f>
        <v>4195</v>
      </c>
      <c r="F580">
        <f>IF(YEAR(Table8[[#This Row],[Date]])=2024,B580,0)+IF(ROW(F579)=1,0,F579)</f>
        <v>5831</v>
      </c>
      <c r="G580">
        <f>MAX(Table8[Cumulative 2024])</f>
        <v>5831</v>
      </c>
      <c r="H580">
        <f>IF(YEAR(Table8[[#This Row],[Date]])=2025,B580,0)+IF(ROW(H579)=1,0,H579)</f>
        <v>782</v>
      </c>
      <c r="I580">
        <f>MAX(Table8[Cumulative 2025])</f>
        <v>1377</v>
      </c>
      <c r="J580">
        <f>IF(YEAR(Table8[[#This Row],[Date]])=2026,B580,0)+IF(ROW(J579)=1,0,J579)</f>
        <v>0</v>
      </c>
      <c r="K580">
        <f>MAX(Table8[Cumulative 2026])</f>
        <v>3102</v>
      </c>
    </row>
    <row r="581" spans="1:50" hidden="1" x14ac:dyDescent="0.25">
      <c r="A581" s="1">
        <v>45790</v>
      </c>
      <c r="B581">
        <f>SUM(_xlfn.CHOOSEROWS(Table8[[The Golden Compass]:[end]],ROW()-1))</f>
        <v>0</v>
      </c>
      <c r="C581">
        <f>Table8[[#This Row],[Cumulative 2023 Q4]]+Table8[[#This Row],[Cumulative 2024]]+Table8[[#This Row],[Cumulative 2025]]+Table8[[#This Row],[Cumulative 2026]]</f>
        <v>10808</v>
      </c>
      <c r="D581">
        <f>IF(YEAR(Table8[[#This Row],[Date]])=2023,B581,0)+IF(ROW(D580)=1,0,D580)</f>
        <v>4195</v>
      </c>
      <c r="E581">
        <f>MAX(Table8[Cumulative 2023 Q4])</f>
        <v>4195</v>
      </c>
      <c r="F581">
        <f>IF(YEAR(Table8[[#This Row],[Date]])=2024,B581,0)+IF(ROW(F580)=1,0,F580)</f>
        <v>5831</v>
      </c>
      <c r="G581">
        <f>MAX(Table8[Cumulative 2024])</f>
        <v>5831</v>
      </c>
      <c r="H581">
        <f>IF(YEAR(Table8[[#This Row],[Date]])=2025,B581,0)+IF(ROW(H580)=1,0,H580)</f>
        <v>782</v>
      </c>
      <c r="I581">
        <f>MAX(Table8[Cumulative 2025])</f>
        <v>1377</v>
      </c>
      <c r="J581">
        <f>IF(YEAR(Table8[[#This Row],[Date]])=2026,B581,0)+IF(ROW(J580)=1,0,J580)</f>
        <v>0</v>
      </c>
      <c r="K581">
        <f>MAX(Table8[Cumulative 2026])</f>
        <v>3102</v>
      </c>
    </row>
    <row r="582" spans="1:50" hidden="1" x14ac:dyDescent="0.25">
      <c r="A582" s="1">
        <v>45791</v>
      </c>
      <c r="B582">
        <f>SUM(_xlfn.CHOOSEROWS(Table8[[The Golden Compass]:[end]],ROW()-1))</f>
        <v>45</v>
      </c>
      <c r="C582">
        <f>Table8[[#This Row],[Cumulative 2023 Q4]]+Table8[[#This Row],[Cumulative 2024]]+Table8[[#This Row],[Cumulative 2025]]+Table8[[#This Row],[Cumulative 2026]]</f>
        <v>10853</v>
      </c>
      <c r="D582">
        <f>IF(YEAR(Table8[[#This Row],[Date]])=2023,B582,0)+IF(ROW(D581)=1,0,D581)</f>
        <v>4195</v>
      </c>
      <c r="E582">
        <f>MAX(Table8[Cumulative 2023 Q4])</f>
        <v>4195</v>
      </c>
      <c r="F582">
        <f>IF(YEAR(Table8[[#This Row],[Date]])=2024,B582,0)+IF(ROW(F581)=1,0,F581)</f>
        <v>5831</v>
      </c>
      <c r="G582">
        <f>MAX(Table8[Cumulative 2024])</f>
        <v>5831</v>
      </c>
      <c r="H582">
        <f>IF(YEAR(Table8[[#This Row],[Date]])=2025,B582,0)+IF(ROW(H581)=1,0,H581)</f>
        <v>827</v>
      </c>
      <c r="I582">
        <f>MAX(Table8[Cumulative 2025])</f>
        <v>1377</v>
      </c>
      <c r="J582">
        <f>IF(YEAR(Table8[[#This Row],[Date]])=2026,B582,0)+IF(ROW(J581)=1,0,J581)</f>
        <v>0</v>
      </c>
      <c r="K582">
        <f>MAX(Table8[Cumulative 2026])</f>
        <v>3102</v>
      </c>
      <c r="AX582">
        <v>45</v>
      </c>
    </row>
    <row r="583" spans="1:50" hidden="1" x14ac:dyDescent="0.25">
      <c r="A583" s="1">
        <v>45792</v>
      </c>
      <c r="B583">
        <f>SUM(_xlfn.CHOOSEROWS(Table8[[The Golden Compass]:[end]],ROW()-1))</f>
        <v>0</v>
      </c>
      <c r="C583">
        <f>Table8[[#This Row],[Cumulative 2023 Q4]]+Table8[[#This Row],[Cumulative 2024]]+Table8[[#This Row],[Cumulative 2025]]+Table8[[#This Row],[Cumulative 2026]]</f>
        <v>10853</v>
      </c>
      <c r="D583">
        <f>IF(YEAR(Table8[[#This Row],[Date]])=2023,B583,0)+IF(ROW(D582)=1,0,D582)</f>
        <v>4195</v>
      </c>
      <c r="E583">
        <f>MAX(Table8[Cumulative 2023 Q4])</f>
        <v>4195</v>
      </c>
      <c r="F583">
        <f>IF(YEAR(Table8[[#This Row],[Date]])=2024,B583,0)+IF(ROW(F582)=1,0,F582)</f>
        <v>5831</v>
      </c>
      <c r="G583">
        <f>MAX(Table8[Cumulative 2024])</f>
        <v>5831</v>
      </c>
      <c r="H583">
        <f>IF(YEAR(Table8[[#This Row],[Date]])=2025,B583,0)+IF(ROW(H582)=1,0,H582)</f>
        <v>827</v>
      </c>
      <c r="I583">
        <f>MAX(Table8[Cumulative 2025])</f>
        <v>1377</v>
      </c>
      <c r="J583">
        <f>IF(YEAR(Table8[[#This Row],[Date]])=2026,B583,0)+IF(ROW(J582)=1,0,J582)</f>
        <v>0</v>
      </c>
      <c r="K583">
        <f>MAX(Table8[Cumulative 2026])</f>
        <v>3102</v>
      </c>
    </row>
    <row r="584" spans="1:50" hidden="1" x14ac:dyDescent="0.25">
      <c r="A584" s="1">
        <v>45793</v>
      </c>
      <c r="B584">
        <f>SUM(_xlfn.CHOOSEROWS(Table8[[The Golden Compass]:[end]],ROW()-1))</f>
        <v>0</v>
      </c>
      <c r="C584">
        <f>Table8[[#This Row],[Cumulative 2023 Q4]]+Table8[[#This Row],[Cumulative 2024]]+Table8[[#This Row],[Cumulative 2025]]+Table8[[#This Row],[Cumulative 2026]]</f>
        <v>10853</v>
      </c>
      <c r="D584">
        <f>IF(YEAR(Table8[[#This Row],[Date]])=2023,B584,0)+IF(ROW(D583)=1,0,D583)</f>
        <v>4195</v>
      </c>
      <c r="E584">
        <f>MAX(Table8[Cumulative 2023 Q4])</f>
        <v>4195</v>
      </c>
      <c r="F584">
        <f>IF(YEAR(Table8[[#This Row],[Date]])=2024,B584,0)+IF(ROW(F583)=1,0,F583)</f>
        <v>5831</v>
      </c>
      <c r="G584">
        <f>MAX(Table8[Cumulative 2024])</f>
        <v>5831</v>
      </c>
      <c r="H584">
        <f>IF(YEAR(Table8[[#This Row],[Date]])=2025,B584,0)+IF(ROW(H583)=1,0,H583)</f>
        <v>827</v>
      </c>
      <c r="I584">
        <f>MAX(Table8[Cumulative 2025])</f>
        <v>1377</v>
      </c>
      <c r="J584">
        <f>IF(YEAR(Table8[[#This Row],[Date]])=2026,B584,0)+IF(ROW(J583)=1,0,J583)</f>
        <v>0</v>
      </c>
      <c r="K584">
        <f>MAX(Table8[Cumulative 2026])</f>
        <v>3102</v>
      </c>
    </row>
    <row r="585" spans="1:50" hidden="1" x14ac:dyDescent="0.25">
      <c r="A585" s="1">
        <v>45794</v>
      </c>
      <c r="B585">
        <f>SUM(_xlfn.CHOOSEROWS(Table8[[The Golden Compass]:[end]],ROW()-1))</f>
        <v>0</v>
      </c>
      <c r="C585">
        <f>Table8[[#This Row],[Cumulative 2023 Q4]]+Table8[[#This Row],[Cumulative 2024]]+Table8[[#This Row],[Cumulative 2025]]+Table8[[#This Row],[Cumulative 2026]]</f>
        <v>10853</v>
      </c>
      <c r="D585">
        <f>IF(YEAR(Table8[[#This Row],[Date]])=2023,B585,0)+IF(ROW(D584)=1,0,D584)</f>
        <v>4195</v>
      </c>
      <c r="E585">
        <f>MAX(Table8[Cumulative 2023 Q4])</f>
        <v>4195</v>
      </c>
      <c r="F585">
        <f>IF(YEAR(Table8[[#This Row],[Date]])=2024,B585,0)+IF(ROW(F584)=1,0,F584)</f>
        <v>5831</v>
      </c>
      <c r="G585">
        <f>MAX(Table8[Cumulative 2024])</f>
        <v>5831</v>
      </c>
      <c r="H585">
        <f>IF(YEAR(Table8[[#This Row],[Date]])=2025,B585,0)+IF(ROW(H584)=1,0,H584)</f>
        <v>827</v>
      </c>
      <c r="I585">
        <f>MAX(Table8[Cumulative 2025])</f>
        <v>1377</v>
      </c>
      <c r="J585">
        <f>IF(YEAR(Table8[[#This Row],[Date]])=2026,B585,0)+IF(ROW(J584)=1,0,J584)</f>
        <v>0</v>
      </c>
      <c r="K585">
        <f>MAX(Table8[Cumulative 2026])</f>
        <v>3102</v>
      </c>
    </row>
    <row r="586" spans="1:50" hidden="1" x14ac:dyDescent="0.25">
      <c r="A586" s="1">
        <v>45795</v>
      </c>
      <c r="B586">
        <f>SUM(_xlfn.CHOOSEROWS(Table8[[The Golden Compass]:[end]],ROW()-1))</f>
        <v>0</v>
      </c>
      <c r="C586">
        <f>Table8[[#This Row],[Cumulative 2023 Q4]]+Table8[[#This Row],[Cumulative 2024]]+Table8[[#This Row],[Cumulative 2025]]+Table8[[#This Row],[Cumulative 2026]]</f>
        <v>10853</v>
      </c>
      <c r="D586">
        <f>IF(YEAR(Table8[[#This Row],[Date]])=2023,B586,0)+IF(ROW(D585)=1,0,D585)</f>
        <v>4195</v>
      </c>
      <c r="E586">
        <f>MAX(Table8[Cumulative 2023 Q4])</f>
        <v>4195</v>
      </c>
      <c r="F586">
        <f>IF(YEAR(Table8[[#This Row],[Date]])=2024,B586,0)+IF(ROW(F585)=1,0,F585)</f>
        <v>5831</v>
      </c>
      <c r="G586">
        <f>MAX(Table8[Cumulative 2024])</f>
        <v>5831</v>
      </c>
      <c r="H586">
        <f>IF(YEAR(Table8[[#This Row],[Date]])=2025,B586,0)+IF(ROW(H585)=1,0,H585)</f>
        <v>827</v>
      </c>
      <c r="I586">
        <f>MAX(Table8[Cumulative 2025])</f>
        <v>1377</v>
      </c>
      <c r="J586">
        <f>IF(YEAR(Table8[[#This Row],[Date]])=2026,B586,0)+IF(ROW(J585)=1,0,J585)</f>
        <v>0</v>
      </c>
      <c r="K586">
        <f>MAX(Table8[Cumulative 2026])</f>
        <v>3102</v>
      </c>
    </row>
    <row r="587" spans="1:50" hidden="1" x14ac:dyDescent="0.25">
      <c r="A587" s="1">
        <v>45796</v>
      </c>
      <c r="B587">
        <f>SUM(_xlfn.CHOOSEROWS(Table8[[The Golden Compass]:[end]],ROW()-1))</f>
        <v>0</v>
      </c>
      <c r="C587">
        <f>Table8[[#This Row],[Cumulative 2023 Q4]]+Table8[[#This Row],[Cumulative 2024]]+Table8[[#This Row],[Cumulative 2025]]+Table8[[#This Row],[Cumulative 2026]]</f>
        <v>10853</v>
      </c>
      <c r="D587">
        <f>IF(YEAR(Table8[[#This Row],[Date]])=2023,B587,0)+IF(ROW(D586)=1,0,D586)</f>
        <v>4195</v>
      </c>
      <c r="E587">
        <f>MAX(Table8[Cumulative 2023 Q4])</f>
        <v>4195</v>
      </c>
      <c r="F587">
        <f>IF(YEAR(Table8[[#This Row],[Date]])=2024,B587,0)+IF(ROW(F586)=1,0,F586)</f>
        <v>5831</v>
      </c>
      <c r="G587">
        <f>MAX(Table8[Cumulative 2024])</f>
        <v>5831</v>
      </c>
      <c r="H587">
        <f>IF(YEAR(Table8[[#This Row],[Date]])=2025,B587,0)+IF(ROW(H586)=1,0,H586)</f>
        <v>827</v>
      </c>
      <c r="I587">
        <f>MAX(Table8[Cumulative 2025])</f>
        <v>1377</v>
      </c>
      <c r="J587">
        <f>IF(YEAR(Table8[[#This Row],[Date]])=2026,B587,0)+IF(ROW(J586)=1,0,J586)</f>
        <v>0</v>
      </c>
      <c r="K587">
        <f>MAX(Table8[Cumulative 2026])</f>
        <v>3102</v>
      </c>
    </row>
    <row r="588" spans="1:50" hidden="1" x14ac:dyDescent="0.25">
      <c r="A588" s="1">
        <v>45797</v>
      </c>
      <c r="B588">
        <f>SUM(_xlfn.CHOOSEROWS(Table8[[The Golden Compass]:[end]],ROW()-1))</f>
        <v>0</v>
      </c>
      <c r="C588">
        <f>Table8[[#This Row],[Cumulative 2023 Q4]]+Table8[[#This Row],[Cumulative 2024]]+Table8[[#This Row],[Cumulative 2025]]+Table8[[#This Row],[Cumulative 2026]]</f>
        <v>10853</v>
      </c>
      <c r="D588">
        <f>IF(YEAR(Table8[[#This Row],[Date]])=2023,B588,0)+IF(ROW(D587)=1,0,D587)</f>
        <v>4195</v>
      </c>
      <c r="E588">
        <f>MAX(Table8[Cumulative 2023 Q4])</f>
        <v>4195</v>
      </c>
      <c r="F588">
        <f>IF(YEAR(Table8[[#This Row],[Date]])=2024,B588,0)+IF(ROW(F587)=1,0,F587)</f>
        <v>5831</v>
      </c>
      <c r="G588">
        <f>MAX(Table8[Cumulative 2024])</f>
        <v>5831</v>
      </c>
      <c r="H588">
        <f>IF(YEAR(Table8[[#This Row],[Date]])=2025,B588,0)+IF(ROW(H587)=1,0,H587)</f>
        <v>827</v>
      </c>
      <c r="I588">
        <f>MAX(Table8[Cumulative 2025])</f>
        <v>1377</v>
      </c>
      <c r="J588">
        <f>IF(YEAR(Table8[[#This Row],[Date]])=2026,B588,0)+IF(ROW(J587)=1,0,J587)</f>
        <v>0</v>
      </c>
      <c r="K588">
        <f>MAX(Table8[Cumulative 2026])</f>
        <v>3102</v>
      </c>
    </row>
    <row r="589" spans="1:50" hidden="1" x14ac:dyDescent="0.25">
      <c r="A589" s="1">
        <v>45798</v>
      </c>
      <c r="B589">
        <f>SUM(_xlfn.CHOOSEROWS(Table8[[The Golden Compass]:[end]],ROW()-1))</f>
        <v>0</v>
      </c>
      <c r="C589">
        <f>Table8[[#This Row],[Cumulative 2023 Q4]]+Table8[[#This Row],[Cumulative 2024]]+Table8[[#This Row],[Cumulative 2025]]+Table8[[#This Row],[Cumulative 2026]]</f>
        <v>10853</v>
      </c>
      <c r="D589">
        <f>IF(YEAR(Table8[[#This Row],[Date]])=2023,B589,0)+IF(ROW(D588)=1,0,D588)</f>
        <v>4195</v>
      </c>
      <c r="E589">
        <f>MAX(Table8[Cumulative 2023 Q4])</f>
        <v>4195</v>
      </c>
      <c r="F589">
        <f>IF(YEAR(Table8[[#This Row],[Date]])=2024,B589,0)+IF(ROW(F588)=1,0,F588)</f>
        <v>5831</v>
      </c>
      <c r="G589">
        <f>MAX(Table8[Cumulative 2024])</f>
        <v>5831</v>
      </c>
      <c r="H589">
        <f>IF(YEAR(Table8[[#This Row],[Date]])=2025,B589,0)+IF(ROW(H588)=1,0,H588)</f>
        <v>827</v>
      </c>
      <c r="I589">
        <f>MAX(Table8[Cumulative 2025])</f>
        <v>1377</v>
      </c>
      <c r="J589">
        <f>IF(YEAR(Table8[[#This Row],[Date]])=2026,B589,0)+IF(ROW(J588)=1,0,J588)</f>
        <v>0</v>
      </c>
      <c r="K589">
        <f>MAX(Table8[Cumulative 2026])</f>
        <v>3102</v>
      </c>
    </row>
    <row r="590" spans="1:50" hidden="1" x14ac:dyDescent="0.25">
      <c r="A590" s="1">
        <v>45799</v>
      </c>
      <c r="B590">
        <f>SUM(_xlfn.CHOOSEROWS(Table8[[The Golden Compass]:[end]],ROW()-1))</f>
        <v>0</v>
      </c>
      <c r="C590">
        <f>Table8[[#This Row],[Cumulative 2023 Q4]]+Table8[[#This Row],[Cumulative 2024]]+Table8[[#This Row],[Cumulative 2025]]+Table8[[#This Row],[Cumulative 2026]]</f>
        <v>10853</v>
      </c>
      <c r="D590">
        <f>IF(YEAR(Table8[[#This Row],[Date]])=2023,B590,0)+IF(ROW(D589)=1,0,D589)</f>
        <v>4195</v>
      </c>
      <c r="E590">
        <f>MAX(Table8[Cumulative 2023 Q4])</f>
        <v>4195</v>
      </c>
      <c r="F590">
        <f>IF(YEAR(Table8[[#This Row],[Date]])=2024,B590,0)+IF(ROW(F589)=1,0,F589)</f>
        <v>5831</v>
      </c>
      <c r="G590">
        <f>MAX(Table8[Cumulative 2024])</f>
        <v>5831</v>
      </c>
      <c r="H590">
        <f>IF(YEAR(Table8[[#This Row],[Date]])=2025,B590,0)+IF(ROW(H589)=1,0,H589)</f>
        <v>827</v>
      </c>
      <c r="I590">
        <f>MAX(Table8[Cumulative 2025])</f>
        <v>1377</v>
      </c>
      <c r="J590">
        <f>IF(YEAR(Table8[[#This Row],[Date]])=2026,B590,0)+IF(ROW(J589)=1,0,J589)</f>
        <v>0</v>
      </c>
      <c r="K590">
        <f>MAX(Table8[Cumulative 2026])</f>
        <v>3102</v>
      </c>
    </row>
    <row r="591" spans="1:50" hidden="1" x14ac:dyDescent="0.25">
      <c r="A591" s="1">
        <v>45800</v>
      </c>
      <c r="B591">
        <f>SUM(_xlfn.CHOOSEROWS(Table8[[The Golden Compass]:[end]],ROW()-1))</f>
        <v>0</v>
      </c>
      <c r="C591">
        <f>Table8[[#This Row],[Cumulative 2023 Q4]]+Table8[[#This Row],[Cumulative 2024]]+Table8[[#This Row],[Cumulative 2025]]+Table8[[#This Row],[Cumulative 2026]]</f>
        <v>10853</v>
      </c>
      <c r="D591">
        <f>IF(YEAR(Table8[[#This Row],[Date]])=2023,B591,0)+IF(ROW(D590)=1,0,D590)</f>
        <v>4195</v>
      </c>
      <c r="E591">
        <f>MAX(Table8[Cumulative 2023 Q4])</f>
        <v>4195</v>
      </c>
      <c r="F591">
        <f>IF(YEAR(Table8[[#This Row],[Date]])=2024,B591,0)+IF(ROW(F590)=1,0,F590)</f>
        <v>5831</v>
      </c>
      <c r="G591">
        <f>MAX(Table8[Cumulative 2024])</f>
        <v>5831</v>
      </c>
      <c r="H591">
        <f>IF(YEAR(Table8[[#This Row],[Date]])=2025,B591,0)+IF(ROW(H590)=1,0,H590)</f>
        <v>827</v>
      </c>
      <c r="I591">
        <f>MAX(Table8[Cumulative 2025])</f>
        <v>1377</v>
      </c>
      <c r="J591">
        <f>IF(YEAR(Table8[[#This Row],[Date]])=2026,B591,0)+IF(ROW(J590)=1,0,J590)</f>
        <v>0</v>
      </c>
      <c r="K591">
        <f>MAX(Table8[Cumulative 2026])</f>
        <v>3102</v>
      </c>
    </row>
    <row r="592" spans="1:50" hidden="1" x14ac:dyDescent="0.25">
      <c r="A592" s="1">
        <v>45801</v>
      </c>
      <c r="B592">
        <f>SUM(_xlfn.CHOOSEROWS(Table8[[The Golden Compass]:[end]],ROW()-1))</f>
        <v>0</v>
      </c>
      <c r="C592">
        <f>Table8[[#This Row],[Cumulative 2023 Q4]]+Table8[[#This Row],[Cumulative 2024]]+Table8[[#This Row],[Cumulative 2025]]+Table8[[#This Row],[Cumulative 2026]]</f>
        <v>10853</v>
      </c>
      <c r="D592">
        <f>IF(YEAR(Table8[[#This Row],[Date]])=2023,B592,0)+IF(ROW(D591)=1,0,D591)</f>
        <v>4195</v>
      </c>
      <c r="E592">
        <f>MAX(Table8[Cumulative 2023 Q4])</f>
        <v>4195</v>
      </c>
      <c r="F592">
        <f>IF(YEAR(Table8[[#This Row],[Date]])=2024,B592,0)+IF(ROW(F591)=1,0,F591)</f>
        <v>5831</v>
      </c>
      <c r="G592">
        <f>MAX(Table8[Cumulative 2024])</f>
        <v>5831</v>
      </c>
      <c r="H592">
        <f>IF(YEAR(Table8[[#This Row],[Date]])=2025,B592,0)+IF(ROW(H591)=1,0,H591)</f>
        <v>827</v>
      </c>
      <c r="I592">
        <f>MAX(Table8[Cumulative 2025])</f>
        <v>1377</v>
      </c>
      <c r="J592">
        <f>IF(YEAR(Table8[[#This Row],[Date]])=2026,B592,0)+IF(ROW(J591)=1,0,J591)</f>
        <v>0</v>
      </c>
      <c r="K592">
        <f>MAX(Table8[Cumulative 2026])</f>
        <v>3102</v>
      </c>
    </row>
    <row r="593" spans="1:11" hidden="1" x14ac:dyDescent="0.25">
      <c r="A593" s="1">
        <v>45802</v>
      </c>
      <c r="B593">
        <f>SUM(_xlfn.CHOOSEROWS(Table8[[The Golden Compass]:[end]],ROW()-1))</f>
        <v>0</v>
      </c>
      <c r="C593">
        <f>Table8[[#This Row],[Cumulative 2023 Q4]]+Table8[[#This Row],[Cumulative 2024]]+Table8[[#This Row],[Cumulative 2025]]+Table8[[#This Row],[Cumulative 2026]]</f>
        <v>10853</v>
      </c>
      <c r="D593">
        <f>IF(YEAR(Table8[[#This Row],[Date]])=2023,B593,0)+IF(ROW(D592)=1,0,D592)</f>
        <v>4195</v>
      </c>
      <c r="E593">
        <f>MAX(Table8[Cumulative 2023 Q4])</f>
        <v>4195</v>
      </c>
      <c r="F593">
        <f>IF(YEAR(Table8[[#This Row],[Date]])=2024,B593,0)+IF(ROW(F592)=1,0,F592)</f>
        <v>5831</v>
      </c>
      <c r="G593">
        <f>MAX(Table8[Cumulative 2024])</f>
        <v>5831</v>
      </c>
      <c r="H593">
        <f>IF(YEAR(Table8[[#This Row],[Date]])=2025,B593,0)+IF(ROW(H592)=1,0,H592)</f>
        <v>827</v>
      </c>
      <c r="I593">
        <f>MAX(Table8[Cumulative 2025])</f>
        <v>1377</v>
      </c>
      <c r="J593">
        <f>IF(YEAR(Table8[[#This Row],[Date]])=2026,B593,0)+IF(ROW(J592)=1,0,J592)</f>
        <v>0</v>
      </c>
      <c r="K593">
        <f>MAX(Table8[Cumulative 2026])</f>
        <v>3102</v>
      </c>
    </row>
    <row r="594" spans="1:11" hidden="1" x14ac:dyDescent="0.25">
      <c r="A594" s="1">
        <v>45803</v>
      </c>
      <c r="B594">
        <f>SUM(_xlfn.CHOOSEROWS(Table8[[The Golden Compass]:[end]],ROW()-1))</f>
        <v>0</v>
      </c>
      <c r="C594">
        <f>Table8[[#This Row],[Cumulative 2023 Q4]]+Table8[[#This Row],[Cumulative 2024]]+Table8[[#This Row],[Cumulative 2025]]+Table8[[#This Row],[Cumulative 2026]]</f>
        <v>10853</v>
      </c>
      <c r="D594">
        <f>IF(YEAR(Table8[[#This Row],[Date]])=2023,B594,0)+IF(ROW(D593)=1,0,D593)</f>
        <v>4195</v>
      </c>
      <c r="E594">
        <f>MAX(Table8[Cumulative 2023 Q4])</f>
        <v>4195</v>
      </c>
      <c r="F594">
        <f>IF(YEAR(Table8[[#This Row],[Date]])=2024,B594,0)+IF(ROW(F593)=1,0,F593)</f>
        <v>5831</v>
      </c>
      <c r="G594">
        <f>MAX(Table8[Cumulative 2024])</f>
        <v>5831</v>
      </c>
      <c r="H594">
        <f>IF(YEAR(Table8[[#This Row],[Date]])=2025,B594,0)+IF(ROW(H593)=1,0,H593)</f>
        <v>827</v>
      </c>
      <c r="I594">
        <f>MAX(Table8[Cumulative 2025])</f>
        <v>1377</v>
      </c>
      <c r="J594">
        <f>IF(YEAR(Table8[[#This Row],[Date]])=2026,B594,0)+IF(ROW(J593)=1,0,J593)</f>
        <v>0</v>
      </c>
      <c r="K594">
        <f>MAX(Table8[Cumulative 2026])</f>
        <v>3102</v>
      </c>
    </row>
    <row r="595" spans="1:11" hidden="1" x14ac:dyDescent="0.25">
      <c r="A595" s="1">
        <v>45804</v>
      </c>
      <c r="B595">
        <f>SUM(_xlfn.CHOOSEROWS(Table8[[The Golden Compass]:[end]],ROW()-1))</f>
        <v>0</v>
      </c>
      <c r="C595">
        <f>Table8[[#This Row],[Cumulative 2023 Q4]]+Table8[[#This Row],[Cumulative 2024]]+Table8[[#This Row],[Cumulative 2025]]+Table8[[#This Row],[Cumulative 2026]]</f>
        <v>10853</v>
      </c>
      <c r="D595">
        <f>IF(YEAR(Table8[[#This Row],[Date]])=2023,B595,0)+IF(ROW(D594)=1,0,D594)</f>
        <v>4195</v>
      </c>
      <c r="E595">
        <f>MAX(Table8[Cumulative 2023 Q4])</f>
        <v>4195</v>
      </c>
      <c r="F595">
        <f>IF(YEAR(Table8[[#This Row],[Date]])=2024,B595,0)+IF(ROW(F594)=1,0,F594)</f>
        <v>5831</v>
      </c>
      <c r="G595">
        <f>MAX(Table8[Cumulative 2024])</f>
        <v>5831</v>
      </c>
      <c r="H595">
        <f>IF(YEAR(Table8[[#This Row],[Date]])=2025,B595,0)+IF(ROW(H594)=1,0,H594)</f>
        <v>827</v>
      </c>
      <c r="I595">
        <f>MAX(Table8[Cumulative 2025])</f>
        <v>1377</v>
      </c>
      <c r="J595">
        <f>IF(YEAR(Table8[[#This Row],[Date]])=2026,B595,0)+IF(ROW(J594)=1,0,J594)</f>
        <v>0</v>
      </c>
      <c r="K595">
        <f>MAX(Table8[Cumulative 2026])</f>
        <v>3102</v>
      </c>
    </row>
    <row r="596" spans="1:11" hidden="1" x14ac:dyDescent="0.25">
      <c r="A596" s="1">
        <v>45805</v>
      </c>
      <c r="B596">
        <f>SUM(_xlfn.CHOOSEROWS(Table8[[The Golden Compass]:[end]],ROW()-1))</f>
        <v>0</v>
      </c>
      <c r="C596">
        <f>Table8[[#This Row],[Cumulative 2023 Q4]]+Table8[[#This Row],[Cumulative 2024]]+Table8[[#This Row],[Cumulative 2025]]+Table8[[#This Row],[Cumulative 2026]]</f>
        <v>10853</v>
      </c>
      <c r="D596">
        <f>IF(YEAR(Table8[[#This Row],[Date]])=2023,B596,0)+IF(ROW(D595)=1,0,D595)</f>
        <v>4195</v>
      </c>
      <c r="E596">
        <f>MAX(Table8[Cumulative 2023 Q4])</f>
        <v>4195</v>
      </c>
      <c r="F596">
        <f>IF(YEAR(Table8[[#This Row],[Date]])=2024,B596,0)+IF(ROW(F595)=1,0,F595)</f>
        <v>5831</v>
      </c>
      <c r="G596">
        <f>MAX(Table8[Cumulative 2024])</f>
        <v>5831</v>
      </c>
      <c r="H596">
        <f>IF(YEAR(Table8[[#This Row],[Date]])=2025,B596,0)+IF(ROW(H595)=1,0,H595)</f>
        <v>827</v>
      </c>
      <c r="I596">
        <f>MAX(Table8[Cumulative 2025])</f>
        <v>1377</v>
      </c>
      <c r="J596">
        <f>IF(YEAR(Table8[[#This Row],[Date]])=2026,B596,0)+IF(ROW(J595)=1,0,J595)</f>
        <v>0</v>
      </c>
      <c r="K596">
        <f>MAX(Table8[Cumulative 2026])</f>
        <v>3102</v>
      </c>
    </row>
    <row r="597" spans="1:11" hidden="1" x14ac:dyDescent="0.25">
      <c r="A597" s="1">
        <v>45806</v>
      </c>
      <c r="B597">
        <f>SUM(_xlfn.CHOOSEROWS(Table8[[The Golden Compass]:[end]],ROW()-1))</f>
        <v>0</v>
      </c>
      <c r="C597">
        <f>Table8[[#This Row],[Cumulative 2023 Q4]]+Table8[[#This Row],[Cumulative 2024]]+Table8[[#This Row],[Cumulative 2025]]+Table8[[#This Row],[Cumulative 2026]]</f>
        <v>10853</v>
      </c>
      <c r="D597">
        <f>IF(YEAR(Table8[[#This Row],[Date]])=2023,B597,0)+IF(ROW(D596)=1,0,D596)</f>
        <v>4195</v>
      </c>
      <c r="E597">
        <f>MAX(Table8[Cumulative 2023 Q4])</f>
        <v>4195</v>
      </c>
      <c r="F597">
        <f>IF(YEAR(Table8[[#This Row],[Date]])=2024,B597,0)+IF(ROW(F596)=1,0,F596)</f>
        <v>5831</v>
      </c>
      <c r="G597">
        <f>MAX(Table8[Cumulative 2024])</f>
        <v>5831</v>
      </c>
      <c r="H597">
        <f>IF(YEAR(Table8[[#This Row],[Date]])=2025,B597,0)+IF(ROW(H596)=1,0,H596)</f>
        <v>827</v>
      </c>
      <c r="I597">
        <f>MAX(Table8[Cumulative 2025])</f>
        <v>1377</v>
      </c>
      <c r="J597">
        <f>IF(YEAR(Table8[[#This Row],[Date]])=2026,B597,0)+IF(ROW(J596)=1,0,J596)</f>
        <v>0</v>
      </c>
      <c r="K597">
        <f>MAX(Table8[Cumulative 2026])</f>
        <v>3102</v>
      </c>
    </row>
    <row r="598" spans="1:11" hidden="1" x14ac:dyDescent="0.25">
      <c r="A598" s="1">
        <v>45807</v>
      </c>
      <c r="B598">
        <f>SUM(_xlfn.CHOOSEROWS(Table8[[The Golden Compass]:[end]],ROW()-1))</f>
        <v>0</v>
      </c>
      <c r="C598">
        <f>Table8[[#This Row],[Cumulative 2023 Q4]]+Table8[[#This Row],[Cumulative 2024]]+Table8[[#This Row],[Cumulative 2025]]+Table8[[#This Row],[Cumulative 2026]]</f>
        <v>10853</v>
      </c>
      <c r="D598">
        <f>IF(YEAR(Table8[[#This Row],[Date]])=2023,B598,0)+IF(ROW(D597)=1,0,D597)</f>
        <v>4195</v>
      </c>
      <c r="E598">
        <f>MAX(Table8[Cumulative 2023 Q4])</f>
        <v>4195</v>
      </c>
      <c r="F598">
        <f>IF(YEAR(Table8[[#This Row],[Date]])=2024,B598,0)+IF(ROW(F597)=1,0,F597)</f>
        <v>5831</v>
      </c>
      <c r="G598">
        <f>MAX(Table8[Cumulative 2024])</f>
        <v>5831</v>
      </c>
      <c r="H598">
        <f>IF(YEAR(Table8[[#This Row],[Date]])=2025,B598,0)+IF(ROW(H597)=1,0,H597)</f>
        <v>827</v>
      </c>
      <c r="I598">
        <f>MAX(Table8[Cumulative 2025])</f>
        <v>1377</v>
      </c>
      <c r="J598">
        <f>IF(YEAR(Table8[[#This Row],[Date]])=2026,B598,0)+IF(ROW(J597)=1,0,J597)</f>
        <v>0</v>
      </c>
      <c r="K598">
        <f>MAX(Table8[Cumulative 2026])</f>
        <v>3102</v>
      </c>
    </row>
    <row r="599" spans="1:11" hidden="1" x14ac:dyDescent="0.25">
      <c r="A599" s="1">
        <v>45808</v>
      </c>
      <c r="B599">
        <f>SUM(_xlfn.CHOOSEROWS(Table8[[The Golden Compass]:[end]],ROW()-1))</f>
        <v>0</v>
      </c>
      <c r="C599">
        <f>Table8[[#This Row],[Cumulative 2023 Q4]]+Table8[[#This Row],[Cumulative 2024]]+Table8[[#This Row],[Cumulative 2025]]+Table8[[#This Row],[Cumulative 2026]]</f>
        <v>10853</v>
      </c>
      <c r="D599">
        <f>IF(YEAR(Table8[[#This Row],[Date]])=2023,B599,0)+IF(ROW(D598)=1,0,D598)</f>
        <v>4195</v>
      </c>
      <c r="E599">
        <f>MAX(Table8[Cumulative 2023 Q4])</f>
        <v>4195</v>
      </c>
      <c r="F599">
        <f>IF(YEAR(Table8[[#This Row],[Date]])=2024,B599,0)+IF(ROW(F598)=1,0,F598)</f>
        <v>5831</v>
      </c>
      <c r="G599">
        <f>MAX(Table8[Cumulative 2024])</f>
        <v>5831</v>
      </c>
      <c r="H599">
        <f>IF(YEAR(Table8[[#This Row],[Date]])=2025,B599,0)+IF(ROW(H598)=1,0,H598)</f>
        <v>827</v>
      </c>
      <c r="I599">
        <f>MAX(Table8[Cumulative 2025])</f>
        <v>1377</v>
      </c>
      <c r="J599">
        <f>IF(YEAR(Table8[[#This Row],[Date]])=2026,B599,0)+IF(ROW(J598)=1,0,J598)</f>
        <v>0</v>
      </c>
      <c r="K599">
        <f>MAX(Table8[Cumulative 2026])</f>
        <v>3102</v>
      </c>
    </row>
    <row r="600" spans="1:11" hidden="1" x14ac:dyDescent="0.25">
      <c r="A600" s="1">
        <v>45809</v>
      </c>
      <c r="B600">
        <f>SUM(_xlfn.CHOOSEROWS(Table8[[The Golden Compass]:[end]],ROW()-1))</f>
        <v>0</v>
      </c>
      <c r="C600">
        <f>Table8[[#This Row],[Cumulative 2023 Q4]]+Table8[[#This Row],[Cumulative 2024]]+Table8[[#This Row],[Cumulative 2025]]+Table8[[#This Row],[Cumulative 2026]]</f>
        <v>10853</v>
      </c>
      <c r="D600">
        <f>IF(YEAR(Table8[[#This Row],[Date]])=2023,B600,0)+IF(ROW(D599)=1,0,D599)</f>
        <v>4195</v>
      </c>
      <c r="E600">
        <f>MAX(Table8[Cumulative 2023 Q4])</f>
        <v>4195</v>
      </c>
      <c r="F600">
        <f>IF(YEAR(Table8[[#This Row],[Date]])=2024,B600,0)+IF(ROW(F599)=1,0,F599)</f>
        <v>5831</v>
      </c>
      <c r="G600">
        <f>MAX(Table8[Cumulative 2024])</f>
        <v>5831</v>
      </c>
      <c r="H600">
        <f>IF(YEAR(Table8[[#This Row],[Date]])=2025,B600,0)+IF(ROW(H599)=1,0,H599)</f>
        <v>827</v>
      </c>
      <c r="I600">
        <f>MAX(Table8[Cumulative 2025])</f>
        <v>1377</v>
      </c>
      <c r="J600">
        <f>IF(YEAR(Table8[[#This Row],[Date]])=2026,B600,0)+IF(ROW(J599)=1,0,J599)</f>
        <v>0</v>
      </c>
      <c r="K600">
        <f>MAX(Table8[Cumulative 2026])</f>
        <v>3102</v>
      </c>
    </row>
    <row r="601" spans="1:11" hidden="1" x14ac:dyDescent="0.25">
      <c r="A601" s="1">
        <v>45810</v>
      </c>
      <c r="B601">
        <f>SUM(_xlfn.CHOOSEROWS(Table8[[The Golden Compass]:[end]],ROW()-1))</f>
        <v>0</v>
      </c>
      <c r="C601">
        <f>Table8[[#This Row],[Cumulative 2023 Q4]]+Table8[[#This Row],[Cumulative 2024]]+Table8[[#This Row],[Cumulative 2025]]+Table8[[#This Row],[Cumulative 2026]]</f>
        <v>10853</v>
      </c>
      <c r="D601">
        <f>IF(YEAR(Table8[[#This Row],[Date]])=2023,B601,0)+IF(ROW(D600)=1,0,D600)</f>
        <v>4195</v>
      </c>
      <c r="E601">
        <f>MAX(Table8[Cumulative 2023 Q4])</f>
        <v>4195</v>
      </c>
      <c r="F601">
        <f>IF(YEAR(Table8[[#This Row],[Date]])=2024,B601,0)+IF(ROW(F600)=1,0,F600)</f>
        <v>5831</v>
      </c>
      <c r="G601">
        <f>MAX(Table8[Cumulative 2024])</f>
        <v>5831</v>
      </c>
      <c r="H601">
        <f>IF(YEAR(Table8[[#This Row],[Date]])=2025,B601,0)+IF(ROW(H600)=1,0,H600)</f>
        <v>827</v>
      </c>
      <c r="I601">
        <f>MAX(Table8[Cumulative 2025])</f>
        <v>1377</v>
      </c>
      <c r="J601">
        <f>IF(YEAR(Table8[[#This Row],[Date]])=2026,B601,0)+IF(ROW(J600)=1,0,J600)</f>
        <v>0</v>
      </c>
      <c r="K601">
        <f>MAX(Table8[Cumulative 2026])</f>
        <v>3102</v>
      </c>
    </row>
    <row r="602" spans="1:11" hidden="1" x14ac:dyDescent="0.25">
      <c r="A602" s="1">
        <v>45811</v>
      </c>
      <c r="B602">
        <f>SUM(_xlfn.CHOOSEROWS(Table8[[The Golden Compass]:[end]],ROW()-1))</f>
        <v>0</v>
      </c>
      <c r="C602">
        <f>Table8[[#This Row],[Cumulative 2023 Q4]]+Table8[[#This Row],[Cumulative 2024]]+Table8[[#This Row],[Cumulative 2025]]+Table8[[#This Row],[Cumulative 2026]]</f>
        <v>10853</v>
      </c>
      <c r="D602">
        <f>IF(YEAR(Table8[[#This Row],[Date]])=2023,B602,0)+IF(ROW(D601)=1,0,D601)</f>
        <v>4195</v>
      </c>
      <c r="E602">
        <f>MAX(Table8[Cumulative 2023 Q4])</f>
        <v>4195</v>
      </c>
      <c r="F602">
        <f>IF(YEAR(Table8[[#This Row],[Date]])=2024,B602,0)+IF(ROW(F601)=1,0,F601)</f>
        <v>5831</v>
      </c>
      <c r="G602">
        <f>MAX(Table8[Cumulative 2024])</f>
        <v>5831</v>
      </c>
      <c r="H602">
        <f>IF(YEAR(Table8[[#This Row],[Date]])=2025,B602,0)+IF(ROW(H601)=1,0,H601)</f>
        <v>827</v>
      </c>
      <c r="I602">
        <f>MAX(Table8[Cumulative 2025])</f>
        <v>1377</v>
      </c>
      <c r="J602">
        <f>IF(YEAR(Table8[[#This Row],[Date]])=2026,B602,0)+IF(ROW(J601)=1,0,J601)</f>
        <v>0</v>
      </c>
      <c r="K602">
        <f>MAX(Table8[Cumulative 2026])</f>
        <v>3102</v>
      </c>
    </row>
    <row r="603" spans="1:11" hidden="1" x14ac:dyDescent="0.25">
      <c r="A603" s="1">
        <v>45812</v>
      </c>
      <c r="B603">
        <f>SUM(_xlfn.CHOOSEROWS(Table8[[The Golden Compass]:[end]],ROW()-1))</f>
        <v>0</v>
      </c>
      <c r="C603">
        <f>Table8[[#This Row],[Cumulative 2023 Q4]]+Table8[[#This Row],[Cumulative 2024]]+Table8[[#This Row],[Cumulative 2025]]+Table8[[#This Row],[Cumulative 2026]]</f>
        <v>10853</v>
      </c>
      <c r="D603">
        <f>IF(YEAR(Table8[[#This Row],[Date]])=2023,B603,0)+IF(ROW(D602)=1,0,D602)</f>
        <v>4195</v>
      </c>
      <c r="E603">
        <f>MAX(Table8[Cumulative 2023 Q4])</f>
        <v>4195</v>
      </c>
      <c r="F603">
        <f>IF(YEAR(Table8[[#This Row],[Date]])=2024,B603,0)+IF(ROW(F602)=1,0,F602)</f>
        <v>5831</v>
      </c>
      <c r="G603">
        <f>MAX(Table8[Cumulative 2024])</f>
        <v>5831</v>
      </c>
      <c r="H603">
        <f>IF(YEAR(Table8[[#This Row],[Date]])=2025,B603,0)+IF(ROW(H602)=1,0,H602)</f>
        <v>827</v>
      </c>
      <c r="I603">
        <f>MAX(Table8[Cumulative 2025])</f>
        <v>1377</v>
      </c>
      <c r="J603">
        <f>IF(YEAR(Table8[[#This Row],[Date]])=2026,B603,0)+IF(ROW(J602)=1,0,J602)</f>
        <v>0</v>
      </c>
      <c r="K603">
        <f>MAX(Table8[Cumulative 2026])</f>
        <v>3102</v>
      </c>
    </row>
    <row r="604" spans="1:11" hidden="1" x14ac:dyDescent="0.25">
      <c r="A604" s="1">
        <v>45813</v>
      </c>
      <c r="B604">
        <f>SUM(_xlfn.CHOOSEROWS(Table8[[The Golden Compass]:[end]],ROW()-1))</f>
        <v>0</v>
      </c>
      <c r="C604">
        <f>Table8[[#This Row],[Cumulative 2023 Q4]]+Table8[[#This Row],[Cumulative 2024]]+Table8[[#This Row],[Cumulative 2025]]+Table8[[#This Row],[Cumulative 2026]]</f>
        <v>10853</v>
      </c>
      <c r="D604">
        <f>IF(YEAR(Table8[[#This Row],[Date]])=2023,B604,0)+IF(ROW(D603)=1,0,D603)</f>
        <v>4195</v>
      </c>
      <c r="E604">
        <f>MAX(Table8[Cumulative 2023 Q4])</f>
        <v>4195</v>
      </c>
      <c r="F604">
        <f>IF(YEAR(Table8[[#This Row],[Date]])=2024,B604,0)+IF(ROW(F603)=1,0,F603)</f>
        <v>5831</v>
      </c>
      <c r="G604">
        <f>MAX(Table8[Cumulative 2024])</f>
        <v>5831</v>
      </c>
      <c r="H604">
        <f>IF(YEAR(Table8[[#This Row],[Date]])=2025,B604,0)+IF(ROW(H603)=1,0,H603)</f>
        <v>827</v>
      </c>
      <c r="I604">
        <f>MAX(Table8[Cumulative 2025])</f>
        <v>1377</v>
      </c>
      <c r="J604">
        <f>IF(YEAR(Table8[[#This Row],[Date]])=2026,B604,0)+IF(ROW(J603)=1,0,J603)</f>
        <v>0</v>
      </c>
      <c r="K604">
        <f>MAX(Table8[Cumulative 2026])</f>
        <v>3102</v>
      </c>
    </row>
    <row r="605" spans="1:11" hidden="1" x14ac:dyDescent="0.25">
      <c r="A605" s="1">
        <v>45814</v>
      </c>
      <c r="B605">
        <f>SUM(_xlfn.CHOOSEROWS(Table8[[The Golden Compass]:[end]],ROW()-1))</f>
        <v>0</v>
      </c>
      <c r="C605">
        <f>Table8[[#This Row],[Cumulative 2023 Q4]]+Table8[[#This Row],[Cumulative 2024]]+Table8[[#This Row],[Cumulative 2025]]+Table8[[#This Row],[Cumulative 2026]]</f>
        <v>10853</v>
      </c>
      <c r="D605">
        <f>IF(YEAR(Table8[[#This Row],[Date]])=2023,B605,0)+IF(ROW(D604)=1,0,D604)</f>
        <v>4195</v>
      </c>
      <c r="E605">
        <f>MAX(Table8[Cumulative 2023 Q4])</f>
        <v>4195</v>
      </c>
      <c r="F605">
        <f>IF(YEAR(Table8[[#This Row],[Date]])=2024,B605,0)+IF(ROW(F604)=1,0,F604)</f>
        <v>5831</v>
      </c>
      <c r="G605">
        <f>MAX(Table8[Cumulative 2024])</f>
        <v>5831</v>
      </c>
      <c r="H605">
        <f>IF(YEAR(Table8[[#This Row],[Date]])=2025,B605,0)+IF(ROW(H604)=1,0,H604)</f>
        <v>827</v>
      </c>
      <c r="I605">
        <f>MAX(Table8[Cumulative 2025])</f>
        <v>1377</v>
      </c>
      <c r="J605">
        <f>IF(YEAR(Table8[[#This Row],[Date]])=2026,B605,0)+IF(ROW(J604)=1,0,J604)</f>
        <v>0</v>
      </c>
      <c r="K605">
        <f>MAX(Table8[Cumulative 2026])</f>
        <v>3102</v>
      </c>
    </row>
    <row r="606" spans="1:11" hidden="1" x14ac:dyDescent="0.25">
      <c r="A606" s="1">
        <v>45815</v>
      </c>
      <c r="B606">
        <f>SUM(_xlfn.CHOOSEROWS(Table8[[The Golden Compass]:[end]],ROW()-1))</f>
        <v>0</v>
      </c>
      <c r="C606">
        <f>Table8[[#This Row],[Cumulative 2023 Q4]]+Table8[[#This Row],[Cumulative 2024]]+Table8[[#This Row],[Cumulative 2025]]+Table8[[#This Row],[Cumulative 2026]]</f>
        <v>10853</v>
      </c>
      <c r="D606">
        <f>IF(YEAR(Table8[[#This Row],[Date]])=2023,B606,0)+IF(ROW(D605)=1,0,D605)</f>
        <v>4195</v>
      </c>
      <c r="E606">
        <f>MAX(Table8[Cumulative 2023 Q4])</f>
        <v>4195</v>
      </c>
      <c r="F606">
        <f>IF(YEAR(Table8[[#This Row],[Date]])=2024,B606,0)+IF(ROW(F605)=1,0,F605)</f>
        <v>5831</v>
      </c>
      <c r="G606">
        <f>MAX(Table8[Cumulative 2024])</f>
        <v>5831</v>
      </c>
      <c r="H606">
        <f>IF(YEAR(Table8[[#This Row],[Date]])=2025,B606,0)+IF(ROW(H605)=1,0,H605)</f>
        <v>827</v>
      </c>
      <c r="I606">
        <f>MAX(Table8[Cumulative 2025])</f>
        <v>1377</v>
      </c>
      <c r="J606">
        <f>IF(YEAR(Table8[[#This Row],[Date]])=2026,B606,0)+IF(ROW(J605)=1,0,J605)</f>
        <v>0</v>
      </c>
      <c r="K606">
        <f>MAX(Table8[Cumulative 2026])</f>
        <v>3102</v>
      </c>
    </row>
    <row r="607" spans="1:11" hidden="1" x14ac:dyDescent="0.25">
      <c r="A607" s="1">
        <v>45816</v>
      </c>
      <c r="B607">
        <f>SUM(_xlfn.CHOOSEROWS(Table8[[The Golden Compass]:[end]],ROW()-1))</f>
        <v>0</v>
      </c>
      <c r="C607">
        <f>Table8[[#This Row],[Cumulative 2023 Q4]]+Table8[[#This Row],[Cumulative 2024]]+Table8[[#This Row],[Cumulative 2025]]+Table8[[#This Row],[Cumulative 2026]]</f>
        <v>10853</v>
      </c>
      <c r="D607">
        <f>IF(YEAR(Table8[[#This Row],[Date]])=2023,B607,0)+IF(ROW(D606)=1,0,D606)</f>
        <v>4195</v>
      </c>
      <c r="E607">
        <f>MAX(Table8[Cumulative 2023 Q4])</f>
        <v>4195</v>
      </c>
      <c r="F607">
        <f>IF(YEAR(Table8[[#This Row],[Date]])=2024,B607,0)+IF(ROW(F606)=1,0,F606)</f>
        <v>5831</v>
      </c>
      <c r="G607">
        <f>MAX(Table8[Cumulative 2024])</f>
        <v>5831</v>
      </c>
      <c r="H607">
        <f>IF(YEAR(Table8[[#This Row],[Date]])=2025,B607,0)+IF(ROW(H606)=1,0,H606)</f>
        <v>827</v>
      </c>
      <c r="I607">
        <f>MAX(Table8[Cumulative 2025])</f>
        <v>1377</v>
      </c>
      <c r="J607">
        <f>IF(YEAR(Table8[[#This Row],[Date]])=2026,B607,0)+IF(ROW(J606)=1,0,J606)</f>
        <v>0</v>
      </c>
      <c r="K607">
        <f>MAX(Table8[Cumulative 2026])</f>
        <v>3102</v>
      </c>
    </row>
    <row r="608" spans="1:11" hidden="1" x14ac:dyDescent="0.25">
      <c r="A608" s="1">
        <v>45817</v>
      </c>
      <c r="B608">
        <f>SUM(_xlfn.CHOOSEROWS(Table8[[The Golden Compass]:[end]],ROW()-1))</f>
        <v>0</v>
      </c>
      <c r="C608">
        <f>Table8[[#This Row],[Cumulative 2023 Q4]]+Table8[[#This Row],[Cumulative 2024]]+Table8[[#This Row],[Cumulative 2025]]+Table8[[#This Row],[Cumulative 2026]]</f>
        <v>10853</v>
      </c>
      <c r="D608">
        <f>IF(YEAR(Table8[[#This Row],[Date]])=2023,B608,0)+IF(ROW(D607)=1,0,D607)</f>
        <v>4195</v>
      </c>
      <c r="E608">
        <f>MAX(Table8[Cumulative 2023 Q4])</f>
        <v>4195</v>
      </c>
      <c r="F608">
        <f>IF(YEAR(Table8[[#This Row],[Date]])=2024,B608,0)+IF(ROW(F607)=1,0,F607)</f>
        <v>5831</v>
      </c>
      <c r="G608">
        <f>MAX(Table8[Cumulative 2024])</f>
        <v>5831</v>
      </c>
      <c r="H608">
        <f>IF(YEAR(Table8[[#This Row],[Date]])=2025,B608,0)+IF(ROW(H607)=1,0,H607)</f>
        <v>827</v>
      </c>
      <c r="I608">
        <f>MAX(Table8[Cumulative 2025])</f>
        <v>1377</v>
      </c>
      <c r="J608">
        <f>IF(YEAR(Table8[[#This Row],[Date]])=2026,B608,0)+IF(ROW(J607)=1,0,J607)</f>
        <v>0</v>
      </c>
      <c r="K608">
        <f>MAX(Table8[Cumulative 2026])</f>
        <v>3102</v>
      </c>
    </row>
    <row r="609" spans="1:50" hidden="1" x14ac:dyDescent="0.25">
      <c r="A609" s="1">
        <v>45818</v>
      </c>
      <c r="B609">
        <f>SUM(_xlfn.CHOOSEROWS(Table8[[The Golden Compass]:[end]],ROW()-1))</f>
        <v>0</v>
      </c>
      <c r="C609">
        <f>Table8[[#This Row],[Cumulative 2023 Q4]]+Table8[[#This Row],[Cumulative 2024]]+Table8[[#This Row],[Cumulative 2025]]+Table8[[#This Row],[Cumulative 2026]]</f>
        <v>10853</v>
      </c>
      <c r="D609">
        <f>IF(YEAR(Table8[[#This Row],[Date]])=2023,B609,0)+IF(ROW(D608)=1,0,D608)</f>
        <v>4195</v>
      </c>
      <c r="E609">
        <f>MAX(Table8[Cumulative 2023 Q4])</f>
        <v>4195</v>
      </c>
      <c r="F609">
        <f>IF(YEAR(Table8[[#This Row],[Date]])=2024,B609,0)+IF(ROW(F608)=1,0,F608)</f>
        <v>5831</v>
      </c>
      <c r="G609">
        <f>MAX(Table8[Cumulative 2024])</f>
        <v>5831</v>
      </c>
      <c r="H609">
        <f>IF(YEAR(Table8[[#This Row],[Date]])=2025,B609,0)+IF(ROW(H608)=1,0,H608)</f>
        <v>827</v>
      </c>
      <c r="I609">
        <f>MAX(Table8[Cumulative 2025])</f>
        <v>1377</v>
      </c>
      <c r="J609">
        <f>IF(YEAR(Table8[[#This Row],[Date]])=2026,B609,0)+IF(ROW(J608)=1,0,J608)</f>
        <v>0</v>
      </c>
      <c r="K609">
        <f>MAX(Table8[Cumulative 2026])</f>
        <v>3102</v>
      </c>
    </row>
    <row r="610" spans="1:50" hidden="1" x14ac:dyDescent="0.25">
      <c r="A610" s="1">
        <v>45819</v>
      </c>
      <c r="B610">
        <f>SUM(_xlfn.CHOOSEROWS(Table8[[The Golden Compass]:[end]],ROW()-1))</f>
        <v>4</v>
      </c>
      <c r="C610">
        <f>Table8[[#This Row],[Cumulative 2023 Q4]]+Table8[[#This Row],[Cumulative 2024]]+Table8[[#This Row],[Cumulative 2025]]+Table8[[#This Row],[Cumulative 2026]]</f>
        <v>10857</v>
      </c>
      <c r="D610">
        <f>IF(YEAR(Table8[[#This Row],[Date]])=2023,B610,0)+IF(ROW(D609)=1,0,D609)</f>
        <v>4195</v>
      </c>
      <c r="E610">
        <f>MAX(Table8[Cumulative 2023 Q4])</f>
        <v>4195</v>
      </c>
      <c r="F610">
        <f>IF(YEAR(Table8[[#This Row],[Date]])=2024,B610,0)+IF(ROW(F609)=1,0,F609)</f>
        <v>5831</v>
      </c>
      <c r="G610">
        <f>MAX(Table8[Cumulative 2024])</f>
        <v>5831</v>
      </c>
      <c r="H610">
        <f>IF(YEAR(Table8[[#This Row],[Date]])=2025,B610,0)+IF(ROW(H609)=1,0,H609)</f>
        <v>831</v>
      </c>
      <c r="I610">
        <f>MAX(Table8[Cumulative 2025])</f>
        <v>1377</v>
      </c>
      <c r="J610">
        <f>IF(YEAR(Table8[[#This Row],[Date]])=2026,B610,0)+IF(ROW(J609)=1,0,J609)</f>
        <v>0</v>
      </c>
      <c r="K610">
        <f>MAX(Table8[Cumulative 2026])</f>
        <v>3102</v>
      </c>
      <c r="AX610">
        <v>4</v>
      </c>
    </row>
    <row r="611" spans="1:50" hidden="1" x14ac:dyDescent="0.25">
      <c r="A611" s="1">
        <v>45820</v>
      </c>
      <c r="B611">
        <f>SUM(_xlfn.CHOOSEROWS(Table8[[The Golden Compass]:[end]],ROW()-1))</f>
        <v>0</v>
      </c>
      <c r="C611">
        <f>Table8[[#This Row],[Cumulative 2023 Q4]]+Table8[[#This Row],[Cumulative 2024]]+Table8[[#This Row],[Cumulative 2025]]+Table8[[#This Row],[Cumulative 2026]]</f>
        <v>10857</v>
      </c>
      <c r="D611">
        <f>IF(YEAR(Table8[[#This Row],[Date]])=2023,B611,0)+IF(ROW(D610)=1,0,D610)</f>
        <v>4195</v>
      </c>
      <c r="E611">
        <f>MAX(Table8[Cumulative 2023 Q4])</f>
        <v>4195</v>
      </c>
      <c r="F611">
        <f>IF(YEAR(Table8[[#This Row],[Date]])=2024,B611,0)+IF(ROW(F610)=1,0,F610)</f>
        <v>5831</v>
      </c>
      <c r="G611">
        <f>MAX(Table8[Cumulative 2024])</f>
        <v>5831</v>
      </c>
      <c r="H611">
        <f>IF(YEAR(Table8[[#This Row],[Date]])=2025,B611,0)+IF(ROW(H610)=1,0,H610)</f>
        <v>831</v>
      </c>
      <c r="I611">
        <f>MAX(Table8[Cumulative 2025])</f>
        <v>1377</v>
      </c>
      <c r="J611">
        <f>IF(YEAR(Table8[[#This Row],[Date]])=2026,B611,0)+IF(ROW(J610)=1,0,J610)</f>
        <v>0</v>
      </c>
      <c r="K611">
        <f>MAX(Table8[Cumulative 2026])</f>
        <v>3102</v>
      </c>
    </row>
    <row r="612" spans="1:50" hidden="1" x14ac:dyDescent="0.25">
      <c r="A612" s="1">
        <v>45821</v>
      </c>
      <c r="B612">
        <f>SUM(_xlfn.CHOOSEROWS(Table8[[The Golden Compass]:[end]],ROW()-1))</f>
        <v>0</v>
      </c>
      <c r="C612">
        <f>Table8[[#This Row],[Cumulative 2023 Q4]]+Table8[[#This Row],[Cumulative 2024]]+Table8[[#This Row],[Cumulative 2025]]+Table8[[#This Row],[Cumulative 2026]]</f>
        <v>10857</v>
      </c>
      <c r="D612">
        <f>IF(YEAR(Table8[[#This Row],[Date]])=2023,B612,0)+IF(ROW(D611)=1,0,D611)</f>
        <v>4195</v>
      </c>
      <c r="E612">
        <f>MAX(Table8[Cumulative 2023 Q4])</f>
        <v>4195</v>
      </c>
      <c r="F612">
        <f>IF(YEAR(Table8[[#This Row],[Date]])=2024,B612,0)+IF(ROW(F611)=1,0,F611)</f>
        <v>5831</v>
      </c>
      <c r="G612">
        <f>MAX(Table8[Cumulative 2024])</f>
        <v>5831</v>
      </c>
      <c r="H612">
        <f>IF(YEAR(Table8[[#This Row],[Date]])=2025,B612,0)+IF(ROW(H611)=1,0,H611)</f>
        <v>831</v>
      </c>
      <c r="I612">
        <f>MAX(Table8[Cumulative 2025])</f>
        <v>1377</v>
      </c>
      <c r="J612">
        <f>IF(YEAR(Table8[[#This Row],[Date]])=2026,B612,0)+IF(ROW(J611)=1,0,J611)</f>
        <v>0</v>
      </c>
      <c r="K612">
        <f>MAX(Table8[Cumulative 2026])</f>
        <v>3102</v>
      </c>
    </row>
    <row r="613" spans="1:50" hidden="1" x14ac:dyDescent="0.25">
      <c r="A613" s="1">
        <v>45822</v>
      </c>
      <c r="B613">
        <f>SUM(_xlfn.CHOOSEROWS(Table8[[The Golden Compass]:[end]],ROW()-1))</f>
        <v>0</v>
      </c>
      <c r="C613">
        <f>Table8[[#This Row],[Cumulative 2023 Q4]]+Table8[[#This Row],[Cumulative 2024]]+Table8[[#This Row],[Cumulative 2025]]+Table8[[#This Row],[Cumulative 2026]]</f>
        <v>10857</v>
      </c>
      <c r="D613">
        <f>IF(YEAR(Table8[[#This Row],[Date]])=2023,B613,0)+IF(ROW(D612)=1,0,D612)</f>
        <v>4195</v>
      </c>
      <c r="E613">
        <f>MAX(Table8[Cumulative 2023 Q4])</f>
        <v>4195</v>
      </c>
      <c r="F613">
        <f>IF(YEAR(Table8[[#This Row],[Date]])=2024,B613,0)+IF(ROW(F612)=1,0,F612)</f>
        <v>5831</v>
      </c>
      <c r="G613">
        <f>MAX(Table8[Cumulative 2024])</f>
        <v>5831</v>
      </c>
      <c r="H613">
        <f>IF(YEAR(Table8[[#This Row],[Date]])=2025,B613,0)+IF(ROW(H612)=1,0,H612)</f>
        <v>831</v>
      </c>
      <c r="I613">
        <f>MAX(Table8[Cumulative 2025])</f>
        <v>1377</v>
      </c>
      <c r="J613">
        <f>IF(YEAR(Table8[[#This Row],[Date]])=2026,B613,0)+IF(ROW(J612)=1,0,J612)</f>
        <v>0</v>
      </c>
      <c r="K613">
        <f>MAX(Table8[Cumulative 2026])</f>
        <v>3102</v>
      </c>
    </row>
    <row r="614" spans="1:50" hidden="1" x14ac:dyDescent="0.25">
      <c r="A614" s="1">
        <v>45823</v>
      </c>
      <c r="B614">
        <f>SUM(_xlfn.CHOOSEROWS(Table8[[The Golden Compass]:[end]],ROW()-1))</f>
        <v>0</v>
      </c>
      <c r="C614">
        <f>Table8[[#This Row],[Cumulative 2023 Q4]]+Table8[[#This Row],[Cumulative 2024]]+Table8[[#This Row],[Cumulative 2025]]+Table8[[#This Row],[Cumulative 2026]]</f>
        <v>10857</v>
      </c>
      <c r="D614">
        <f>IF(YEAR(Table8[[#This Row],[Date]])=2023,B614,0)+IF(ROW(D613)=1,0,D613)</f>
        <v>4195</v>
      </c>
      <c r="E614">
        <f>MAX(Table8[Cumulative 2023 Q4])</f>
        <v>4195</v>
      </c>
      <c r="F614">
        <f>IF(YEAR(Table8[[#This Row],[Date]])=2024,B614,0)+IF(ROW(F613)=1,0,F613)</f>
        <v>5831</v>
      </c>
      <c r="G614">
        <f>MAX(Table8[Cumulative 2024])</f>
        <v>5831</v>
      </c>
      <c r="H614">
        <f>IF(YEAR(Table8[[#This Row],[Date]])=2025,B614,0)+IF(ROW(H613)=1,0,H613)</f>
        <v>831</v>
      </c>
      <c r="I614">
        <f>MAX(Table8[Cumulative 2025])</f>
        <v>1377</v>
      </c>
      <c r="J614">
        <f>IF(YEAR(Table8[[#This Row],[Date]])=2026,B614,0)+IF(ROW(J613)=1,0,J613)</f>
        <v>0</v>
      </c>
      <c r="K614">
        <f>MAX(Table8[Cumulative 2026])</f>
        <v>3102</v>
      </c>
    </row>
    <row r="615" spans="1:50" hidden="1" x14ac:dyDescent="0.25">
      <c r="A615" s="1">
        <v>45824</v>
      </c>
      <c r="B615">
        <f>SUM(_xlfn.CHOOSEROWS(Table8[[The Golden Compass]:[end]],ROW()-1))</f>
        <v>0</v>
      </c>
      <c r="C615">
        <f>Table8[[#This Row],[Cumulative 2023 Q4]]+Table8[[#This Row],[Cumulative 2024]]+Table8[[#This Row],[Cumulative 2025]]+Table8[[#This Row],[Cumulative 2026]]</f>
        <v>10857</v>
      </c>
      <c r="D615">
        <f>IF(YEAR(Table8[[#This Row],[Date]])=2023,B615,0)+IF(ROW(D614)=1,0,D614)</f>
        <v>4195</v>
      </c>
      <c r="E615">
        <f>MAX(Table8[Cumulative 2023 Q4])</f>
        <v>4195</v>
      </c>
      <c r="F615">
        <f>IF(YEAR(Table8[[#This Row],[Date]])=2024,B615,0)+IF(ROW(F614)=1,0,F614)</f>
        <v>5831</v>
      </c>
      <c r="G615">
        <f>MAX(Table8[Cumulative 2024])</f>
        <v>5831</v>
      </c>
      <c r="H615">
        <f>IF(YEAR(Table8[[#This Row],[Date]])=2025,B615,0)+IF(ROW(H614)=1,0,H614)</f>
        <v>831</v>
      </c>
      <c r="I615">
        <f>MAX(Table8[Cumulative 2025])</f>
        <v>1377</v>
      </c>
      <c r="J615">
        <f>IF(YEAR(Table8[[#This Row],[Date]])=2026,B615,0)+IF(ROW(J614)=1,0,J614)</f>
        <v>0</v>
      </c>
      <c r="K615">
        <f>MAX(Table8[Cumulative 2026])</f>
        <v>3102</v>
      </c>
    </row>
    <row r="616" spans="1:50" hidden="1" x14ac:dyDescent="0.25">
      <c r="A616" s="1">
        <v>45825</v>
      </c>
      <c r="B616">
        <f>SUM(_xlfn.CHOOSEROWS(Table8[[The Golden Compass]:[end]],ROW()-1))</f>
        <v>0</v>
      </c>
      <c r="C616">
        <f>Table8[[#This Row],[Cumulative 2023 Q4]]+Table8[[#This Row],[Cumulative 2024]]+Table8[[#This Row],[Cumulative 2025]]+Table8[[#This Row],[Cumulative 2026]]</f>
        <v>10857</v>
      </c>
      <c r="D616">
        <f>IF(YEAR(Table8[[#This Row],[Date]])=2023,B616,0)+IF(ROW(D615)=1,0,D615)</f>
        <v>4195</v>
      </c>
      <c r="E616">
        <f>MAX(Table8[Cumulative 2023 Q4])</f>
        <v>4195</v>
      </c>
      <c r="F616">
        <f>IF(YEAR(Table8[[#This Row],[Date]])=2024,B616,0)+IF(ROW(F615)=1,0,F615)</f>
        <v>5831</v>
      </c>
      <c r="G616">
        <f>MAX(Table8[Cumulative 2024])</f>
        <v>5831</v>
      </c>
      <c r="H616">
        <f>IF(YEAR(Table8[[#This Row],[Date]])=2025,B616,0)+IF(ROW(H615)=1,0,H615)</f>
        <v>831</v>
      </c>
      <c r="I616">
        <f>MAX(Table8[Cumulative 2025])</f>
        <v>1377</v>
      </c>
      <c r="J616">
        <f>IF(YEAR(Table8[[#This Row],[Date]])=2026,B616,0)+IF(ROW(J615)=1,0,J615)</f>
        <v>0</v>
      </c>
      <c r="K616">
        <f>MAX(Table8[Cumulative 2026])</f>
        <v>3102</v>
      </c>
    </row>
    <row r="617" spans="1:50" hidden="1" x14ac:dyDescent="0.25">
      <c r="A617" s="1">
        <v>45826</v>
      </c>
      <c r="B617">
        <f>SUM(_xlfn.CHOOSEROWS(Table8[[The Golden Compass]:[end]],ROW()-1))</f>
        <v>0</v>
      </c>
      <c r="C617">
        <f>Table8[[#This Row],[Cumulative 2023 Q4]]+Table8[[#This Row],[Cumulative 2024]]+Table8[[#This Row],[Cumulative 2025]]+Table8[[#This Row],[Cumulative 2026]]</f>
        <v>10857</v>
      </c>
      <c r="D617">
        <f>IF(YEAR(Table8[[#This Row],[Date]])=2023,B617,0)+IF(ROW(D616)=1,0,D616)</f>
        <v>4195</v>
      </c>
      <c r="E617">
        <f>MAX(Table8[Cumulative 2023 Q4])</f>
        <v>4195</v>
      </c>
      <c r="F617">
        <f>IF(YEAR(Table8[[#This Row],[Date]])=2024,B617,0)+IF(ROW(F616)=1,0,F616)</f>
        <v>5831</v>
      </c>
      <c r="G617">
        <f>MAX(Table8[Cumulative 2024])</f>
        <v>5831</v>
      </c>
      <c r="H617">
        <f>IF(YEAR(Table8[[#This Row],[Date]])=2025,B617,0)+IF(ROW(H616)=1,0,H616)</f>
        <v>831</v>
      </c>
      <c r="I617">
        <f>MAX(Table8[Cumulative 2025])</f>
        <v>1377</v>
      </c>
      <c r="J617">
        <f>IF(YEAR(Table8[[#This Row],[Date]])=2026,B617,0)+IF(ROW(J616)=1,0,J616)</f>
        <v>0</v>
      </c>
      <c r="K617">
        <f>MAX(Table8[Cumulative 2026])</f>
        <v>3102</v>
      </c>
    </row>
    <row r="618" spans="1:50" hidden="1" x14ac:dyDescent="0.25">
      <c r="A618" s="1">
        <v>45827</v>
      </c>
      <c r="B618">
        <f>SUM(_xlfn.CHOOSEROWS(Table8[[The Golden Compass]:[end]],ROW()-1))</f>
        <v>0</v>
      </c>
      <c r="C618">
        <f>Table8[[#This Row],[Cumulative 2023 Q4]]+Table8[[#This Row],[Cumulative 2024]]+Table8[[#This Row],[Cumulative 2025]]+Table8[[#This Row],[Cumulative 2026]]</f>
        <v>10857</v>
      </c>
      <c r="D618">
        <f>IF(YEAR(Table8[[#This Row],[Date]])=2023,B618,0)+IF(ROW(D617)=1,0,D617)</f>
        <v>4195</v>
      </c>
      <c r="E618">
        <f>MAX(Table8[Cumulative 2023 Q4])</f>
        <v>4195</v>
      </c>
      <c r="F618">
        <f>IF(YEAR(Table8[[#This Row],[Date]])=2024,B618,0)+IF(ROW(F617)=1,0,F617)</f>
        <v>5831</v>
      </c>
      <c r="G618">
        <f>MAX(Table8[Cumulative 2024])</f>
        <v>5831</v>
      </c>
      <c r="H618">
        <f>IF(YEAR(Table8[[#This Row],[Date]])=2025,B618,0)+IF(ROW(H617)=1,0,H617)</f>
        <v>831</v>
      </c>
      <c r="I618">
        <f>MAX(Table8[Cumulative 2025])</f>
        <v>1377</v>
      </c>
      <c r="J618">
        <f>IF(YEAR(Table8[[#This Row],[Date]])=2026,B618,0)+IF(ROW(J617)=1,0,J617)</f>
        <v>0</v>
      </c>
      <c r="K618">
        <f>MAX(Table8[Cumulative 2026])</f>
        <v>3102</v>
      </c>
    </row>
    <row r="619" spans="1:50" hidden="1" x14ac:dyDescent="0.25">
      <c r="A619" s="1">
        <v>45828</v>
      </c>
      <c r="B619">
        <f>SUM(_xlfn.CHOOSEROWS(Table8[[The Golden Compass]:[end]],ROW()-1))</f>
        <v>0</v>
      </c>
      <c r="C619">
        <f>Table8[[#This Row],[Cumulative 2023 Q4]]+Table8[[#This Row],[Cumulative 2024]]+Table8[[#This Row],[Cumulative 2025]]+Table8[[#This Row],[Cumulative 2026]]</f>
        <v>10857</v>
      </c>
      <c r="D619">
        <f>IF(YEAR(Table8[[#This Row],[Date]])=2023,B619,0)+IF(ROW(D618)=1,0,D618)</f>
        <v>4195</v>
      </c>
      <c r="E619">
        <f>MAX(Table8[Cumulative 2023 Q4])</f>
        <v>4195</v>
      </c>
      <c r="F619">
        <f>IF(YEAR(Table8[[#This Row],[Date]])=2024,B619,0)+IF(ROW(F618)=1,0,F618)</f>
        <v>5831</v>
      </c>
      <c r="G619">
        <f>MAX(Table8[Cumulative 2024])</f>
        <v>5831</v>
      </c>
      <c r="H619">
        <f>IF(YEAR(Table8[[#This Row],[Date]])=2025,B619,0)+IF(ROW(H618)=1,0,H618)</f>
        <v>831</v>
      </c>
      <c r="I619">
        <f>MAX(Table8[Cumulative 2025])</f>
        <v>1377</v>
      </c>
      <c r="J619">
        <f>IF(YEAR(Table8[[#This Row],[Date]])=2026,B619,0)+IF(ROW(J618)=1,0,J618)</f>
        <v>0</v>
      </c>
      <c r="K619">
        <f>MAX(Table8[Cumulative 2026])</f>
        <v>3102</v>
      </c>
    </row>
    <row r="620" spans="1:50" hidden="1" x14ac:dyDescent="0.25">
      <c r="A620" s="1">
        <v>45829</v>
      </c>
      <c r="B620">
        <f>SUM(_xlfn.CHOOSEROWS(Table8[[The Golden Compass]:[end]],ROW()-1))</f>
        <v>0</v>
      </c>
      <c r="C620">
        <f>Table8[[#This Row],[Cumulative 2023 Q4]]+Table8[[#This Row],[Cumulative 2024]]+Table8[[#This Row],[Cumulative 2025]]+Table8[[#This Row],[Cumulative 2026]]</f>
        <v>10857</v>
      </c>
      <c r="D620">
        <f>IF(YEAR(Table8[[#This Row],[Date]])=2023,B620,0)+IF(ROW(D619)=1,0,D619)</f>
        <v>4195</v>
      </c>
      <c r="E620">
        <f>MAX(Table8[Cumulative 2023 Q4])</f>
        <v>4195</v>
      </c>
      <c r="F620">
        <f>IF(YEAR(Table8[[#This Row],[Date]])=2024,B620,0)+IF(ROW(F619)=1,0,F619)</f>
        <v>5831</v>
      </c>
      <c r="G620">
        <f>MAX(Table8[Cumulative 2024])</f>
        <v>5831</v>
      </c>
      <c r="H620">
        <f>IF(YEAR(Table8[[#This Row],[Date]])=2025,B620,0)+IF(ROW(H619)=1,0,H619)</f>
        <v>831</v>
      </c>
      <c r="I620">
        <f>MAX(Table8[Cumulative 2025])</f>
        <v>1377</v>
      </c>
      <c r="J620">
        <f>IF(YEAR(Table8[[#This Row],[Date]])=2026,B620,0)+IF(ROW(J619)=1,0,J619)</f>
        <v>0</v>
      </c>
      <c r="K620">
        <f>MAX(Table8[Cumulative 2026])</f>
        <v>3102</v>
      </c>
    </row>
    <row r="621" spans="1:50" hidden="1" x14ac:dyDescent="0.25">
      <c r="A621" s="1">
        <v>45830</v>
      </c>
      <c r="B621">
        <f>SUM(_xlfn.CHOOSEROWS(Table8[[The Golden Compass]:[end]],ROW()-1))</f>
        <v>0</v>
      </c>
      <c r="C621">
        <f>Table8[[#This Row],[Cumulative 2023 Q4]]+Table8[[#This Row],[Cumulative 2024]]+Table8[[#This Row],[Cumulative 2025]]+Table8[[#This Row],[Cumulative 2026]]</f>
        <v>10857</v>
      </c>
      <c r="D621">
        <f>IF(YEAR(Table8[[#This Row],[Date]])=2023,B621,0)+IF(ROW(D620)=1,0,D620)</f>
        <v>4195</v>
      </c>
      <c r="E621">
        <f>MAX(Table8[Cumulative 2023 Q4])</f>
        <v>4195</v>
      </c>
      <c r="F621">
        <f>IF(YEAR(Table8[[#This Row],[Date]])=2024,B621,0)+IF(ROW(F620)=1,0,F620)</f>
        <v>5831</v>
      </c>
      <c r="G621">
        <f>MAX(Table8[Cumulative 2024])</f>
        <v>5831</v>
      </c>
      <c r="H621">
        <f>IF(YEAR(Table8[[#This Row],[Date]])=2025,B621,0)+IF(ROW(H620)=1,0,H620)</f>
        <v>831</v>
      </c>
      <c r="I621">
        <f>MAX(Table8[Cumulative 2025])</f>
        <v>1377</v>
      </c>
      <c r="J621">
        <f>IF(YEAR(Table8[[#This Row],[Date]])=2026,B621,0)+IF(ROW(J620)=1,0,J620)</f>
        <v>0</v>
      </c>
      <c r="K621">
        <f>MAX(Table8[Cumulative 2026])</f>
        <v>3102</v>
      </c>
    </row>
    <row r="622" spans="1:50" hidden="1" x14ac:dyDescent="0.25">
      <c r="A622" s="1">
        <v>45831</v>
      </c>
      <c r="B622">
        <f>SUM(_xlfn.CHOOSEROWS(Table8[[The Golden Compass]:[end]],ROW()-1))</f>
        <v>0</v>
      </c>
      <c r="C622">
        <f>Table8[[#This Row],[Cumulative 2023 Q4]]+Table8[[#This Row],[Cumulative 2024]]+Table8[[#This Row],[Cumulative 2025]]+Table8[[#This Row],[Cumulative 2026]]</f>
        <v>10857</v>
      </c>
      <c r="D622">
        <f>IF(YEAR(Table8[[#This Row],[Date]])=2023,B622,0)+IF(ROW(D621)=1,0,D621)</f>
        <v>4195</v>
      </c>
      <c r="E622">
        <f>MAX(Table8[Cumulative 2023 Q4])</f>
        <v>4195</v>
      </c>
      <c r="F622">
        <f>IF(YEAR(Table8[[#This Row],[Date]])=2024,B622,0)+IF(ROW(F621)=1,0,F621)</f>
        <v>5831</v>
      </c>
      <c r="G622">
        <f>MAX(Table8[Cumulative 2024])</f>
        <v>5831</v>
      </c>
      <c r="H622">
        <f>IF(YEAR(Table8[[#This Row],[Date]])=2025,B622,0)+IF(ROW(H621)=1,0,H621)</f>
        <v>831</v>
      </c>
      <c r="I622">
        <f>MAX(Table8[Cumulative 2025])</f>
        <v>1377</v>
      </c>
      <c r="J622">
        <f>IF(YEAR(Table8[[#This Row],[Date]])=2026,B622,0)+IF(ROW(J621)=1,0,J621)</f>
        <v>0</v>
      </c>
      <c r="K622">
        <f>MAX(Table8[Cumulative 2026])</f>
        <v>3102</v>
      </c>
    </row>
    <row r="623" spans="1:50" hidden="1" x14ac:dyDescent="0.25">
      <c r="A623" s="1">
        <v>45832</v>
      </c>
      <c r="B623">
        <f>SUM(_xlfn.CHOOSEROWS(Table8[[The Golden Compass]:[end]],ROW()-1))</f>
        <v>0</v>
      </c>
      <c r="C623">
        <f>Table8[[#This Row],[Cumulative 2023 Q4]]+Table8[[#This Row],[Cumulative 2024]]+Table8[[#This Row],[Cumulative 2025]]+Table8[[#This Row],[Cumulative 2026]]</f>
        <v>10857</v>
      </c>
      <c r="D623">
        <f>IF(YEAR(Table8[[#This Row],[Date]])=2023,B623,0)+IF(ROW(D622)=1,0,D622)</f>
        <v>4195</v>
      </c>
      <c r="E623">
        <f>MAX(Table8[Cumulative 2023 Q4])</f>
        <v>4195</v>
      </c>
      <c r="F623">
        <f>IF(YEAR(Table8[[#This Row],[Date]])=2024,B623,0)+IF(ROW(F622)=1,0,F622)</f>
        <v>5831</v>
      </c>
      <c r="G623">
        <f>MAX(Table8[Cumulative 2024])</f>
        <v>5831</v>
      </c>
      <c r="H623">
        <f>IF(YEAR(Table8[[#This Row],[Date]])=2025,B623,0)+IF(ROW(H622)=1,0,H622)</f>
        <v>831</v>
      </c>
      <c r="I623">
        <f>MAX(Table8[Cumulative 2025])</f>
        <v>1377</v>
      </c>
      <c r="J623">
        <f>IF(YEAR(Table8[[#This Row],[Date]])=2026,B623,0)+IF(ROW(J622)=1,0,J622)</f>
        <v>0</v>
      </c>
      <c r="K623">
        <f>MAX(Table8[Cumulative 2026])</f>
        <v>3102</v>
      </c>
    </row>
    <row r="624" spans="1:50" hidden="1" x14ac:dyDescent="0.25">
      <c r="A624" s="1">
        <v>45833</v>
      </c>
      <c r="B624">
        <f>SUM(_xlfn.CHOOSEROWS(Table8[[The Golden Compass]:[end]],ROW()-1))</f>
        <v>0</v>
      </c>
      <c r="C624">
        <f>Table8[[#This Row],[Cumulative 2023 Q4]]+Table8[[#This Row],[Cumulative 2024]]+Table8[[#This Row],[Cumulative 2025]]+Table8[[#This Row],[Cumulative 2026]]</f>
        <v>10857</v>
      </c>
      <c r="D624">
        <f>IF(YEAR(Table8[[#This Row],[Date]])=2023,B624,0)+IF(ROW(D623)=1,0,D623)</f>
        <v>4195</v>
      </c>
      <c r="E624">
        <f>MAX(Table8[Cumulative 2023 Q4])</f>
        <v>4195</v>
      </c>
      <c r="F624">
        <f>IF(YEAR(Table8[[#This Row],[Date]])=2024,B624,0)+IF(ROW(F623)=1,0,F623)</f>
        <v>5831</v>
      </c>
      <c r="G624">
        <f>MAX(Table8[Cumulative 2024])</f>
        <v>5831</v>
      </c>
      <c r="H624">
        <f>IF(YEAR(Table8[[#This Row],[Date]])=2025,B624,0)+IF(ROW(H623)=1,0,H623)</f>
        <v>831</v>
      </c>
      <c r="I624">
        <f>MAX(Table8[Cumulative 2025])</f>
        <v>1377</v>
      </c>
      <c r="J624">
        <f>IF(YEAR(Table8[[#This Row],[Date]])=2026,B624,0)+IF(ROW(J623)=1,0,J623)</f>
        <v>0</v>
      </c>
      <c r="K624">
        <f>MAX(Table8[Cumulative 2026])</f>
        <v>3102</v>
      </c>
    </row>
    <row r="625" spans="1:11" hidden="1" x14ac:dyDescent="0.25">
      <c r="A625" s="1">
        <v>45834</v>
      </c>
      <c r="B625">
        <f>SUM(_xlfn.CHOOSEROWS(Table8[[The Golden Compass]:[end]],ROW()-1))</f>
        <v>0</v>
      </c>
      <c r="C625">
        <f>Table8[[#This Row],[Cumulative 2023 Q4]]+Table8[[#This Row],[Cumulative 2024]]+Table8[[#This Row],[Cumulative 2025]]+Table8[[#This Row],[Cumulative 2026]]</f>
        <v>10857</v>
      </c>
      <c r="D625">
        <f>IF(YEAR(Table8[[#This Row],[Date]])=2023,B625,0)+IF(ROW(D624)=1,0,D624)</f>
        <v>4195</v>
      </c>
      <c r="E625">
        <f>MAX(Table8[Cumulative 2023 Q4])</f>
        <v>4195</v>
      </c>
      <c r="F625">
        <f>IF(YEAR(Table8[[#This Row],[Date]])=2024,B625,0)+IF(ROW(F624)=1,0,F624)</f>
        <v>5831</v>
      </c>
      <c r="G625">
        <f>MAX(Table8[Cumulative 2024])</f>
        <v>5831</v>
      </c>
      <c r="H625">
        <f>IF(YEAR(Table8[[#This Row],[Date]])=2025,B625,0)+IF(ROW(H624)=1,0,H624)</f>
        <v>831</v>
      </c>
      <c r="I625">
        <f>MAX(Table8[Cumulative 2025])</f>
        <v>1377</v>
      </c>
      <c r="J625">
        <f>IF(YEAR(Table8[[#This Row],[Date]])=2026,B625,0)+IF(ROW(J624)=1,0,J624)</f>
        <v>0</v>
      </c>
      <c r="K625">
        <f>MAX(Table8[Cumulative 2026])</f>
        <v>3102</v>
      </c>
    </row>
    <row r="626" spans="1:11" hidden="1" x14ac:dyDescent="0.25">
      <c r="A626" s="1">
        <v>45835</v>
      </c>
      <c r="B626">
        <f>SUM(_xlfn.CHOOSEROWS(Table8[[The Golden Compass]:[end]],ROW()-1))</f>
        <v>0</v>
      </c>
      <c r="C626">
        <f>Table8[[#This Row],[Cumulative 2023 Q4]]+Table8[[#This Row],[Cumulative 2024]]+Table8[[#This Row],[Cumulative 2025]]+Table8[[#This Row],[Cumulative 2026]]</f>
        <v>10857</v>
      </c>
      <c r="D626">
        <f>IF(YEAR(Table8[[#This Row],[Date]])=2023,B626,0)+IF(ROW(D625)=1,0,D625)</f>
        <v>4195</v>
      </c>
      <c r="E626">
        <f>MAX(Table8[Cumulative 2023 Q4])</f>
        <v>4195</v>
      </c>
      <c r="F626">
        <f>IF(YEAR(Table8[[#This Row],[Date]])=2024,B626,0)+IF(ROW(F625)=1,0,F625)</f>
        <v>5831</v>
      </c>
      <c r="G626">
        <f>MAX(Table8[Cumulative 2024])</f>
        <v>5831</v>
      </c>
      <c r="H626">
        <f>IF(YEAR(Table8[[#This Row],[Date]])=2025,B626,0)+IF(ROW(H625)=1,0,H625)</f>
        <v>831</v>
      </c>
      <c r="I626">
        <f>MAX(Table8[Cumulative 2025])</f>
        <v>1377</v>
      </c>
      <c r="J626">
        <f>IF(YEAR(Table8[[#This Row],[Date]])=2026,B626,0)+IF(ROW(J625)=1,0,J625)</f>
        <v>0</v>
      </c>
      <c r="K626">
        <f>MAX(Table8[Cumulative 2026])</f>
        <v>3102</v>
      </c>
    </row>
    <row r="627" spans="1:11" hidden="1" x14ac:dyDescent="0.25">
      <c r="A627" s="1">
        <v>45836</v>
      </c>
      <c r="B627">
        <f>SUM(_xlfn.CHOOSEROWS(Table8[[The Golden Compass]:[end]],ROW()-1))</f>
        <v>0</v>
      </c>
      <c r="C627">
        <f>Table8[[#This Row],[Cumulative 2023 Q4]]+Table8[[#This Row],[Cumulative 2024]]+Table8[[#This Row],[Cumulative 2025]]+Table8[[#This Row],[Cumulative 2026]]</f>
        <v>10857</v>
      </c>
      <c r="D627">
        <f>IF(YEAR(Table8[[#This Row],[Date]])=2023,B627,0)+IF(ROW(D626)=1,0,D626)</f>
        <v>4195</v>
      </c>
      <c r="E627">
        <f>MAX(Table8[Cumulative 2023 Q4])</f>
        <v>4195</v>
      </c>
      <c r="F627">
        <f>IF(YEAR(Table8[[#This Row],[Date]])=2024,B627,0)+IF(ROW(F626)=1,0,F626)</f>
        <v>5831</v>
      </c>
      <c r="G627">
        <f>MAX(Table8[Cumulative 2024])</f>
        <v>5831</v>
      </c>
      <c r="H627">
        <f>IF(YEAR(Table8[[#This Row],[Date]])=2025,B627,0)+IF(ROW(H626)=1,0,H626)</f>
        <v>831</v>
      </c>
      <c r="I627">
        <f>MAX(Table8[Cumulative 2025])</f>
        <v>1377</v>
      </c>
      <c r="J627">
        <f>IF(YEAR(Table8[[#This Row],[Date]])=2026,B627,0)+IF(ROW(J626)=1,0,J626)</f>
        <v>0</v>
      </c>
      <c r="K627">
        <f>MAX(Table8[Cumulative 2026])</f>
        <v>3102</v>
      </c>
    </row>
    <row r="628" spans="1:11" hidden="1" x14ac:dyDescent="0.25">
      <c r="A628" s="1">
        <v>45837</v>
      </c>
      <c r="B628">
        <f>SUM(_xlfn.CHOOSEROWS(Table8[[The Golden Compass]:[end]],ROW()-1))</f>
        <v>0</v>
      </c>
      <c r="C628">
        <f>Table8[[#This Row],[Cumulative 2023 Q4]]+Table8[[#This Row],[Cumulative 2024]]+Table8[[#This Row],[Cumulative 2025]]+Table8[[#This Row],[Cumulative 2026]]</f>
        <v>10857</v>
      </c>
      <c r="D628">
        <f>IF(YEAR(Table8[[#This Row],[Date]])=2023,B628,0)+IF(ROW(D627)=1,0,D627)</f>
        <v>4195</v>
      </c>
      <c r="E628">
        <f>MAX(Table8[Cumulative 2023 Q4])</f>
        <v>4195</v>
      </c>
      <c r="F628">
        <f>IF(YEAR(Table8[[#This Row],[Date]])=2024,B628,0)+IF(ROW(F627)=1,0,F627)</f>
        <v>5831</v>
      </c>
      <c r="G628">
        <f>MAX(Table8[Cumulative 2024])</f>
        <v>5831</v>
      </c>
      <c r="H628">
        <f>IF(YEAR(Table8[[#This Row],[Date]])=2025,B628,0)+IF(ROW(H627)=1,0,H627)</f>
        <v>831</v>
      </c>
      <c r="I628">
        <f>MAX(Table8[Cumulative 2025])</f>
        <v>1377</v>
      </c>
      <c r="J628">
        <f>IF(YEAR(Table8[[#This Row],[Date]])=2026,B628,0)+IF(ROW(J627)=1,0,J627)</f>
        <v>0</v>
      </c>
      <c r="K628">
        <f>MAX(Table8[Cumulative 2026])</f>
        <v>3102</v>
      </c>
    </row>
    <row r="629" spans="1:11" hidden="1" x14ac:dyDescent="0.25">
      <c r="A629" s="1">
        <v>45838</v>
      </c>
      <c r="B629">
        <f>SUM(_xlfn.CHOOSEROWS(Table8[[The Golden Compass]:[end]],ROW()-1))</f>
        <v>0</v>
      </c>
      <c r="C629">
        <f>Table8[[#This Row],[Cumulative 2023 Q4]]+Table8[[#This Row],[Cumulative 2024]]+Table8[[#This Row],[Cumulative 2025]]+Table8[[#This Row],[Cumulative 2026]]</f>
        <v>10857</v>
      </c>
      <c r="D629">
        <f>IF(YEAR(Table8[[#This Row],[Date]])=2023,B629,0)+IF(ROW(D628)=1,0,D628)</f>
        <v>4195</v>
      </c>
      <c r="E629">
        <f>MAX(Table8[Cumulative 2023 Q4])</f>
        <v>4195</v>
      </c>
      <c r="F629">
        <f>IF(YEAR(Table8[[#This Row],[Date]])=2024,B629,0)+IF(ROW(F628)=1,0,F628)</f>
        <v>5831</v>
      </c>
      <c r="G629">
        <f>MAX(Table8[Cumulative 2024])</f>
        <v>5831</v>
      </c>
      <c r="H629">
        <f>IF(YEAR(Table8[[#This Row],[Date]])=2025,B629,0)+IF(ROW(H628)=1,0,H628)</f>
        <v>831</v>
      </c>
      <c r="I629">
        <f>MAX(Table8[Cumulative 2025])</f>
        <v>1377</v>
      </c>
      <c r="J629">
        <f>IF(YEAR(Table8[[#This Row],[Date]])=2026,B629,0)+IF(ROW(J628)=1,0,J628)</f>
        <v>0</v>
      </c>
      <c r="K629">
        <f>MAX(Table8[Cumulative 2026])</f>
        <v>3102</v>
      </c>
    </row>
    <row r="630" spans="1:11" hidden="1" x14ac:dyDescent="0.25">
      <c r="A630" s="1">
        <v>45839</v>
      </c>
      <c r="B630">
        <f>SUM(_xlfn.CHOOSEROWS(Table8[[The Golden Compass]:[end]],ROW()-1))</f>
        <v>0</v>
      </c>
      <c r="C630">
        <f>Table8[[#This Row],[Cumulative 2023 Q4]]+Table8[[#This Row],[Cumulative 2024]]+Table8[[#This Row],[Cumulative 2025]]+Table8[[#This Row],[Cumulative 2026]]</f>
        <v>10857</v>
      </c>
      <c r="D630">
        <f>IF(YEAR(Table8[[#This Row],[Date]])=2023,B630,0)+IF(ROW(D629)=1,0,D629)</f>
        <v>4195</v>
      </c>
      <c r="E630">
        <f>MAX(Table8[Cumulative 2023 Q4])</f>
        <v>4195</v>
      </c>
      <c r="F630">
        <f>IF(YEAR(Table8[[#This Row],[Date]])=2024,B630,0)+IF(ROW(F629)=1,0,F629)</f>
        <v>5831</v>
      </c>
      <c r="G630">
        <f>MAX(Table8[Cumulative 2024])</f>
        <v>5831</v>
      </c>
      <c r="H630">
        <f>IF(YEAR(Table8[[#This Row],[Date]])=2025,B630,0)+IF(ROW(H629)=1,0,H629)</f>
        <v>831</v>
      </c>
      <c r="I630">
        <f>MAX(Table8[Cumulative 2025])</f>
        <v>1377</v>
      </c>
      <c r="J630">
        <f>IF(YEAR(Table8[[#This Row],[Date]])=2026,B630,0)+IF(ROW(J629)=1,0,J629)</f>
        <v>0</v>
      </c>
      <c r="K630">
        <f>MAX(Table8[Cumulative 2026])</f>
        <v>3102</v>
      </c>
    </row>
    <row r="631" spans="1:11" hidden="1" x14ac:dyDescent="0.25">
      <c r="A631" s="1">
        <v>45840</v>
      </c>
      <c r="B631">
        <f>SUM(_xlfn.CHOOSEROWS(Table8[[The Golden Compass]:[end]],ROW()-1))</f>
        <v>0</v>
      </c>
      <c r="C631">
        <f>Table8[[#This Row],[Cumulative 2023 Q4]]+Table8[[#This Row],[Cumulative 2024]]+Table8[[#This Row],[Cumulative 2025]]+Table8[[#This Row],[Cumulative 2026]]</f>
        <v>10857</v>
      </c>
      <c r="D631">
        <f>IF(YEAR(Table8[[#This Row],[Date]])=2023,B631,0)+IF(ROW(D630)=1,0,D630)</f>
        <v>4195</v>
      </c>
      <c r="E631">
        <f>MAX(Table8[Cumulative 2023 Q4])</f>
        <v>4195</v>
      </c>
      <c r="F631">
        <f>IF(YEAR(Table8[[#This Row],[Date]])=2024,B631,0)+IF(ROW(F630)=1,0,F630)</f>
        <v>5831</v>
      </c>
      <c r="G631">
        <f>MAX(Table8[Cumulative 2024])</f>
        <v>5831</v>
      </c>
      <c r="H631">
        <f>IF(YEAR(Table8[[#This Row],[Date]])=2025,B631,0)+IF(ROW(H630)=1,0,H630)</f>
        <v>831</v>
      </c>
      <c r="I631">
        <f>MAX(Table8[Cumulative 2025])</f>
        <v>1377</v>
      </c>
      <c r="J631">
        <f>IF(YEAR(Table8[[#This Row],[Date]])=2026,B631,0)+IF(ROW(J630)=1,0,J630)</f>
        <v>0</v>
      </c>
      <c r="K631">
        <f>MAX(Table8[Cumulative 2026])</f>
        <v>3102</v>
      </c>
    </row>
    <row r="632" spans="1:11" hidden="1" x14ac:dyDescent="0.25">
      <c r="A632" s="1">
        <v>45841</v>
      </c>
      <c r="B632">
        <f>SUM(_xlfn.CHOOSEROWS(Table8[[The Golden Compass]:[end]],ROW()-1))</f>
        <v>0</v>
      </c>
      <c r="C632">
        <f>Table8[[#This Row],[Cumulative 2023 Q4]]+Table8[[#This Row],[Cumulative 2024]]+Table8[[#This Row],[Cumulative 2025]]+Table8[[#This Row],[Cumulative 2026]]</f>
        <v>10857</v>
      </c>
      <c r="D632">
        <f>IF(YEAR(Table8[[#This Row],[Date]])=2023,B632,0)+IF(ROW(D631)=1,0,D631)</f>
        <v>4195</v>
      </c>
      <c r="E632">
        <f>MAX(Table8[Cumulative 2023 Q4])</f>
        <v>4195</v>
      </c>
      <c r="F632">
        <f>IF(YEAR(Table8[[#This Row],[Date]])=2024,B632,0)+IF(ROW(F631)=1,0,F631)</f>
        <v>5831</v>
      </c>
      <c r="G632">
        <f>MAX(Table8[Cumulative 2024])</f>
        <v>5831</v>
      </c>
      <c r="H632">
        <f>IF(YEAR(Table8[[#This Row],[Date]])=2025,B632,0)+IF(ROW(H631)=1,0,H631)</f>
        <v>831</v>
      </c>
      <c r="I632">
        <f>MAX(Table8[Cumulative 2025])</f>
        <v>1377</v>
      </c>
      <c r="J632">
        <f>IF(YEAR(Table8[[#This Row],[Date]])=2026,B632,0)+IF(ROW(J631)=1,0,J631)</f>
        <v>0</v>
      </c>
      <c r="K632">
        <f>MAX(Table8[Cumulative 2026])</f>
        <v>3102</v>
      </c>
    </row>
    <row r="633" spans="1:11" hidden="1" x14ac:dyDescent="0.25">
      <c r="A633" s="1">
        <v>45842</v>
      </c>
      <c r="B633">
        <f>SUM(_xlfn.CHOOSEROWS(Table8[[The Golden Compass]:[end]],ROW()-1))</f>
        <v>0</v>
      </c>
      <c r="C633">
        <f>Table8[[#This Row],[Cumulative 2023 Q4]]+Table8[[#This Row],[Cumulative 2024]]+Table8[[#This Row],[Cumulative 2025]]+Table8[[#This Row],[Cumulative 2026]]</f>
        <v>10857</v>
      </c>
      <c r="D633">
        <f>IF(YEAR(Table8[[#This Row],[Date]])=2023,B633,0)+IF(ROW(D632)=1,0,D632)</f>
        <v>4195</v>
      </c>
      <c r="E633">
        <f>MAX(Table8[Cumulative 2023 Q4])</f>
        <v>4195</v>
      </c>
      <c r="F633">
        <f>IF(YEAR(Table8[[#This Row],[Date]])=2024,B633,0)+IF(ROW(F632)=1,0,F632)</f>
        <v>5831</v>
      </c>
      <c r="G633">
        <f>MAX(Table8[Cumulative 2024])</f>
        <v>5831</v>
      </c>
      <c r="H633">
        <f>IF(YEAR(Table8[[#This Row],[Date]])=2025,B633,0)+IF(ROW(H632)=1,0,H632)</f>
        <v>831</v>
      </c>
      <c r="I633">
        <f>MAX(Table8[Cumulative 2025])</f>
        <v>1377</v>
      </c>
      <c r="J633">
        <f>IF(YEAR(Table8[[#This Row],[Date]])=2026,B633,0)+IF(ROW(J632)=1,0,J632)</f>
        <v>0</v>
      </c>
      <c r="K633">
        <f>MAX(Table8[Cumulative 2026])</f>
        <v>3102</v>
      </c>
    </row>
    <row r="634" spans="1:11" hidden="1" x14ac:dyDescent="0.25">
      <c r="A634" s="1">
        <v>45843</v>
      </c>
      <c r="B634">
        <f>SUM(_xlfn.CHOOSEROWS(Table8[[The Golden Compass]:[end]],ROW()-1))</f>
        <v>0</v>
      </c>
      <c r="C634">
        <f>Table8[[#This Row],[Cumulative 2023 Q4]]+Table8[[#This Row],[Cumulative 2024]]+Table8[[#This Row],[Cumulative 2025]]+Table8[[#This Row],[Cumulative 2026]]</f>
        <v>10857</v>
      </c>
      <c r="D634">
        <f>IF(YEAR(Table8[[#This Row],[Date]])=2023,B634,0)+IF(ROW(D633)=1,0,D633)</f>
        <v>4195</v>
      </c>
      <c r="E634">
        <f>MAX(Table8[Cumulative 2023 Q4])</f>
        <v>4195</v>
      </c>
      <c r="F634">
        <f>IF(YEAR(Table8[[#This Row],[Date]])=2024,B634,0)+IF(ROW(F633)=1,0,F633)</f>
        <v>5831</v>
      </c>
      <c r="G634">
        <f>MAX(Table8[Cumulative 2024])</f>
        <v>5831</v>
      </c>
      <c r="H634">
        <f>IF(YEAR(Table8[[#This Row],[Date]])=2025,B634,0)+IF(ROW(H633)=1,0,H633)</f>
        <v>831</v>
      </c>
      <c r="I634">
        <f>MAX(Table8[Cumulative 2025])</f>
        <v>1377</v>
      </c>
      <c r="J634">
        <f>IF(YEAR(Table8[[#This Row],[Date]])=2026,B634,0)+IF(ROW(J633)=1,0,J633)</f>
        <v>0</v>
      </c>
      <c r="K634">
        <f>MAX(Table8[Cumulative 2026])</f>
        <v>3102</v>
      </c>
    </row>
    <row r="635" spans="1:11" hidden="1" x14ac:dyDescent="0.25">
      <c r="A635" s="1">
        <v>45844</v>
      </c>
      <c r="B635">
        <f>SUM(_xlfn.CHOOSEROWS(Table8[[The Golden Compass]:[end]],ROW()-1))</f>
        <v>0</v>
      </c>
      <c r="C635">
        <f>Table8[[#This Row],[Cumulative 2023 Q4]]+Table8[[#This Row],[Cumulative 2024]]+Table8[[#This Row],[Cumulative 2025]]+Table8[[#This Row],[Cumulative 2026]]</f>
        <v>10857</v>
      </c>
      <c r="D635">
        <f>IF(YEAR(Table8[[#This Row],[Date]])=2023,B635,0)+IF(ROW(D634)=1,0,D634)</f>
        <v>4195</v>
      </c>
      <c r="E635">
        <f>MAX(Table8[Cumulative 2023 Q4])</f>
        <v>4195</v>
      </c>
      <c r="F635">
        <f>IF(YEAR(Table8[[#This Row],[Date]])=2024,B635,0)+IF(ROW(F634)=1,0,F634)</f>
        <v>5831</v>
      </c>
      <c r="G635">
        <f>MAX(Table8[Cumulative 2024])</f>
        <v>5831</v>
      </c>
      <c r="H635">
        <f>IF(YEAR(Table8[[#This Row],[Date]])=2025,B635,0)+IF(ROW(H634)=1,0,H634)</f>
        <v>831</v>
      </c>
      <c r="I635">
        <f>MAX(Table8[Cumulative 2025])</f>
        <v>1377</v>
      </c>
      <c r="J635">
        <f>IF(YEAR(Table8[[#This Row],[Date]])=2026,B635,0)+IF(ROW(J634)=1,0,J634)</f>
        <v>0</v>
      </c>
      <c r="K635">
        <f>MAX(Table8[Cumulative 2026])</f>
        <v>3102</v>
      </c>
    </row>
    <row r="636" spans="1:11" hidden="1" x14ac:dyDescent="0.25">
      <c r="A636" s="1">
        <v>45845</v>
      </c>
      <c r="B636">
        <f>SUM(_xlfn.CHOOSEROWS(Table8[[The Golden Compass]:[end]],ROW()-1))</f>
        <v>0</v>
      </c>
      <c r="C636">
        <f>Table8[[#This Row],[Cumulative 2023 Q4]]+Table8[[#This Row],[Cumulative 2024]]+Table8[[#This Row],[Cumulative 2025]]+Table8[[#This Row],[Cumulative 2026]]</f>
        <v>10857</v>
      </c>
      <c r="D636">
        <f>IF(YEAR(Table8[[#This Row],[Date]])=2023,B636,0)+IF(ROW(D635)=1,0,D635)</f>
        <v>4195</v>
      </c>
      <c r="E636">
        <f>MAX(Table8[Cumulative 2023 Q4])</f>
        <v>4195</v>
      </c>
      <c r="F636">
        <f>IF(YEAR(Table8[[#This Row],[Date]])=2024,B636,0)+IF(ROW(F635)=1,0,F635)</f>
        <v>5831</v>
      </c>
      <c r="G636">
        <f>MAX(Table8[Cumulative 2024])</f>
        <v>5831</v>
      </c>
      <c r="H636">
        <f>IF(YEAR(Table8[[#This Row],[Date]])=2025,B636,0)+IF(ROW(H635)=1,0,H635)</f>
        <v>831</v>
      </c>
      <c r="I636">
        <f>MAX(Table8[Cumulative 2025])</f>
        <v>1377</v>
      </c>
      <c r="J636">
        <f>IF(YEAR(Table8[[#This Row],[Date]])=2026,B636,0)+IF(ROW(J635)=1,0,J635)</f>
        <v>0</v>
      </c>
      <c r="K636">
        <f>MAX(Table8[Cumulative 2026])</f>
        <v>3102</v>
      </c>
    </row>
    <row r="637" spans="1:11" hidden="1" x14ac:dyDescent="0.25">
      <c r="A637" s="1">
        <v>45846</v>
      </c>
      <c r="B637">
        <f>SUM(_xlfn.CHOOSEROWS(Table8[[The Golden Compass]:[end]],ROW()-1))</f>
        <v>0</v>
      </c>
      <c r="C637">
        <f>Table8[[#This Row],[Cumulative 2023 Q4]]+Table8[[#This Row],[Cumulative 2024]]+Table8[[#This Row],[Cumulative 2025]]+Table8[[#This Row],[Cumulative 2026]]</f>
        <v>10857</v>
      </c>
      <c r="D637">
        <f>IF(YEAR(Table8[[#This Row],[Date]])=2023,B637,0)+IF(ROW(D636)=1,0,D636)</f>
        <v>4195</v>
      </c>
      <c r="E637">
        <f>MAX(Table8[Cumulative 2023 Q4])</f>
        <v>4195</v>
      </c>
      <c r="F637">
        <f>IF(YEAR(Table8[[#This Row],[Date]])=2024,B637,0)+IF(ROW(F636)=1,0,F636)</f>
        <v>5831</v>
      </c>
      <c r="G637">
        <f>MAX(Table8[Cumulative 2024])</f>
        <v>5831</v>
      </c>
      <c r="H637">
        <f>IF(YEAR(Table8[[#This Row],[Date]])=2025,B637,0)+IF(ROW(H636)=1,0,H636)</f>
        <v>831</v>
      </c>
      <c r="I637">
        <f>MAX(Table8[Cumulative 2025])</f>
        <v>1377</v>
      </c>
      <c r="J637">
        <f>IF(YEAR(Table8[[#This Row],[Date]])=2026,B637,0)+IF(ROW(J636)=1,0,J636)</f>
        <v>0</v>
      </c>
      <c r="K637">
        <f>MAX(Table8[Cumulative 2026])</f>
        <v>3102</v>
      </c>
    </row>
    <row r="638" spans="1:11" hidden="1" x14ac:dyDescent="0.25">
      <c r="A638" s="1">
        <v>45847</v>
      </c>
      <c r="B638">
        <f>SUM(_xlfn.CHOOSEROWS(Table8[[The Golden Compass]:[end]],ROW()-1))</f>
        <v>0</v>
      </c>
      <c r="C638">
        <f>Table8[[#This Row],[Cumulative 2023 Q4]]+Table8[[#This Row],[Cumulative 2024]]+Table8[[#This Row],[Cumulative 2025]]+Table8[[#This Row],[Cumulative 2026]]</f>
        <v>10857</v>
      </c>
      <c r="D638">
        <f>IF(YEAR(Table8[[#This Row],[Date]])=2023,B638,0)+IF(ROW(D637)=1,0,D637)</f>
        <v>4195</v>
      </c>
      <c r="E638">
        <f>MAX(Table8[Cumulative 2023 Q4])</f>
        <v>4195</v>
      </c>
      <c r="F638">
        <f>IF(YEAR(Table8[[#This Row],[Date]])=2024,B638,0)+IF(ROW(F637)=1,0,F637)</f>
        <v>5831</v>
      </c>
      <c r="G638">
        <f>MAX(Table8[Cumulative 2024])</f>
        <v>5831</v>
      </c>
      <c r="H638">
        <f>IF(YEAR(Table8[[#This Row],[Date]])=2025,B638,0)+IF(ROW(H637)=1,0,H637)</f>
        <v>831</v>
      </c>
      <c r="I638">
        <f>MAX(Table8[Cumulative 2025])</f>
        <v>1377</v>
      </c>
      <c r="J638">
        <f>IF(YEAR(Table8[[#This Row],[Date]])=2026,B638,0)+IF(ROW(J637)=1,0,J637)</f>
        <v>0</v>
      </c>
      <c r="K638">
        <f>MAX(Table8[Cumulative 2026])</f>
        <v>3102</v>
      </c>
    </row>
    <row r="639" spans="1:11" hidden="1" x14ac:dyDescent="0.25">
      <c r="A639" s="1">
        <v>45848</v>
      </c>
      <c r="B639">
        <f>SUM(_xlfn.CHOOSEROWS(Table8[[The Golden Compass]:[end]],ROW()-1))</f>
        <v>0</v>
      </c>
      <c r="C639">
        <f>Table8[[#This Row],[Cumulative 2023 Q4]]+Table8[[#This Row],[Cumulative 2024]]+Table8[[#This Row],[Cumulative 2025]]+Table8[[#This Row],[Cumulative 2026]]</f>
        <v>10857</v>
      </c>
      <c r="D639">
        <f>IF(YEAR(Table8[[#This Row],[Date]])=2023,B639,0)+IF(ROW(D638)=1,0,D638)</f>
        <v>4195</v>
      </c>
      <c r="E639">
        <f>MAX(Table8[Cumulative 2023 Q4])</f>
        <v>4195</v>
      </c>
      <c r="F639">
        <f>IF(YEAR(Table8[[#This Row],[Date]])=2024,B639,0)+IF(ROW(F638)=1,0,F638)</f>
        <v>5831</v>
      </c>
      <c r="G639">
        <f>MAX(Table8[Cumulative 2024])</f>
        <v>5831</v>
      </c>
      <c r="H639">
        <f>IF(YEAR(Table8[[#This Row],[Date]])=2025,B639,0)+IF(ROW(H638)=1,0,H638)</f>
        <v>831</v>
      </c>
      <c r="I639">
        <f>MAX(Table8[Cumulative 2025])</f>
        <v>1377</v>
      </c>
      <c r="J639">
        <f>IF(YEAR(Table8[[#This Row],[Date]])=2026,B639,0)+IF(ROW(J638)=1,0,J638)</f>
        <v>0</v>
      </c>
      <c r="K639">
        <f>MAX(Table8[Cumulative 2026])</f>
        <v>3102</v>
      </c>
    </row>
    <row r="640" spans="1:11" hidden="1" x14ac:dyDescent="0.25">
      <c r="A640" s="1">
        <v>45849</v>
      </c>
      <c r="B640">
        <f>SUM(_xlfn.CHOOSEROWS(Table8[[The Golden Compass]:[end]],ROW()-1))</f>
        <v>0</v>
      </c>
      <c r="C640">
        <f>Table8[[#This Row],[Cumulative 2023 Q4]]+Table8[[#This Row],[Cumulative 2024]]+Table8[[#This Row],[Cumulative 2025]]+Table8[[#This Row],[Cumulative 2026]]</f>
        <v>10857</v>
      </c>
      <c r="D640">
        <f>IF(YEAR(Table8[[#This Row],[Date]])=2023,B640,0)+IF(ROW(D639)=1,0,D639)</f>
        <v>4195</v>
      </c>
      <c r="E640">
        <f>MAX(Table8[Cumulative 2023 Q4])</f>
        <v>4195</v>
      </c>
      <c r="F640">
        <f>IF(YEAR(Table8[[#This Row],[Date]])=2024,B640,0)+IF(ROW(F639)=1,0,F639)</f>
        <v>5831</v>
      </c>
      <c r="G640">
        <f>MAX(Table8[Cumulative 2024])</f>
        <v>5831</v>
      </c>
      <c r="H640">
        <f>IF(YEAR(Table8[[#This Row],[Date]])=2025,B640,0)+IF(ROW(H639)=1,0,H639)</f>
        <v>831</v>
      </c>
      <c r="I640">
        <f>MAX(Table8[Cumulative 2025])</f>
        <v>1377</v>
      </c>
      <c r="J640">
        <f>IF(YEAR(Table8[[#This Row],[Date]])=2026,B640,0)+IF(ROW(J639)=1,0,J639)</f>
        <v>0</v>
      </c>
      <c r="K640">
        <f>MAX(Table8[Cumulative 2026])</f>
        <v>3102</v>
      </c>
    </row>
    <row r="641" spans="1:11" hidden="1" x14ac:dyDescent="0.25">
      <c r="A641" s="1">
        <v>45850</v>
      </c>
      <c r="B641">
        <f>SUM(_xlfn.CHOOSEROWS(Table8[[The Golden Compass]:[end]],ROW()-1))</f>
        <v>0</v>
      </c>
      <c r="C641">
        <f>Table8[[#This Row],[Cumulative 2023 Q4]]+Table8[[#This Row],[Cumulative 2024]]+Table8[[#This Row],[Cumulative 2025]]+Table8[[#This Row],[Cumulative 2026]]</f>
        <v>10857</v>
      </c>
      <c r="D641">
        <f>IF(YEAR(Table8[[#This Row],[Date]])=2023,B641,0)+IF(ROW(D640)=1,0,D640)</f>
        <v>4195</v>
      </c>
      <c r="E641">
        <f>MAX(Table8[Cumulative 2023 Q4])</f>
        <v>4195</v>
      </c>
      <c r="F641">
        <f>IF(YEAR(Table8[[#This Row],[Date]])=2024,B641,0)+IF(ROW(F640)=1,0,F640)</f>
        <v>5831</v>
      </c>
      <c r="G641">
        <f>MAX(Table8[Cumulative 2024])</f>
        <v>5831</v>
      </c>
      <c r="H641">
        <f>IF(YEAR(Table8[[#This Row],[Date]])=2025,B641,0)+IF(ROW(H640)=1,0,H640)</f>
        <v>831</v>
      </c>
      <c r="I641">
        <f>MAX(Table8[Cumulative 2025])</f>
        <v>1377</v>
      </c>
      <c r="J641">
        <f>IF(YEAR(Table8[[#This Row],[Date]])=2026,B641,0)+IF(ROW(J640)=1,0,J640)</f>
        <v>0</v>
      </c>
      <c r="K641">
        <f>MAX(Table8[Cumulative 2026])</f>
        <v>3102</v>
      </c>
    </row>
    <row r="642" spans="1:11" hidden="1" x14ac:dyDescent="0.25">
      <c r="A642" s="1">
        <v>45851</v>
      </c>
      <c r="B642">
        <f>SUM(_xlfn.CHOOSEROWS(Table8[[The Golden Compass]:[end]],ROW()-1))</f>
        <v>0</v>
      </c>
      <c r="C642">
        <f>Table8[[#This Row],[Cumulative 2023 Q4]]+Table8[[#This Row],[Cumulative 2024]]+Table8[[#This Row],[Cumulative 2025]]+Table8[[#This Row],[Cumulative 2026]]</f>
        <v>10857</v>
      </c>
      <c r="D642">
        <f>IF(YEAR(Table8[[#This Row],[Date]])=2023,B642,0)+IF(ROW(D641)=1,0,D641)</f>
        <v>4195</v>
      </c>
      <c r="E642">
        <f>MAX(Table8[Cumulative 2023 Q4])</f>
        <v>4195</v>
      </c>
      <c r="F642">
        <f>IF(YEAR(Table8[[#This Row],[Date]])=2024,B642,0)+IF(ROW(F641)=1,0,F641)</f>
        <v>5831</v>
      </c>
      <c r="G642">
        <f>MAX(Table8[Cumulative 2024])</f>
        <v>5831</v>
      </c>
      <c r="H642">
        <f>IF(YEAR(Table8[[#This Row],[Date]])=2025,B642,0)+IF(ROW(H641)=1,0,H641)</f>
        <v>831</v>
      </c>
      <c r="I642">
        <f>MAX(Table8[Cumulative 2025])</f>
        <v>1377</v>
      </c>
      <c r="J642">
        <f>IF(YEAR(Table8[[#This Row],[Date]])=2026,B642,0)+IF(ROW(J641)=1,0,J641)</f>
        <v>0</v>
      </c>
      <c r="K642">
        <f>MAX(Table8[Cumulative 2026])</f>
        <v>3102</v>
      </c>
    </row>
    <row r="643" spans="1:11" hidden="1" x14ac:dyDescent="0.25">
      <c r="A643" s="1">
        <v>45852</v>
      </c>
      <c r="B643">
        <f>SUM(_xlfn.CHOOSEROWS(Table8[[The Golden Compass]:[end]],ROW()-1))</f>
        <v>0</v>
      </c>
      <c r="C643">
        <f>Table8[[#This Row],[Cumulative 2023 Q4]]+Table8[[#This Row],[Cumulative 2024]]+Table8[[#This Row],[Cumulative 2025]]+Table8[[#This Row],[Cumulative 2026]]</f>
        <v>10857</v>
      </c>
      <c r="D643">
        <f>IF(YEAR(Table8[[#This Row],[Date]])=2023,B643,0)+IF(ROW(D642)=1,0,D642)</f>
        <v>4195</v>
      </c>
      <c r="E643">
        <f>MAX(Table8[Cumulative 2023 Q4])</f>
        <v>4195</v>
      </c>
      <c r="F643">
        <f>IF(YEAR(Table8[[#This Row],[Date]])=2024,B643,0)+IF(ROW(F642)=1,0,F642)</f>
        <v>5831</v>
      </c>
      <c r="G643">
        <f>MAX(Table8[Cumulative 2024])</f>
        <v>5831</v>
      </c>
      <c r="H643">
        <f>IF(YEAR(Table8[[#This Row],[Date]])=2025,B643,0)+IF(ROW(H642)=1,0,H642)</f>
        <v>831</v>
      </c>
      <c r="I643">
        <f>MAX(Table8[Cumulative 2025])</f>
        <v>1377</v>
      </c>
      <c r="J643">
        <f>IF(YEAR(Table8[[#This Row],[Date]])=2026,B643,0)+IF(ROW(J642)=1,0,J642)</f>
        <v>0</v>
      </c>
      <c r="K643">
        <f>MAX(Table8[Cumulative 2026])</f>
        <v>3102</v>
      </c>
    </row>
    <row r="644" spans="1:11" hidden="1" x14ac:dyDescent="0.25">
      <c r="A644" s="1">
        <v>45853</v>
      </c>
      <c r="B644">
        <f>SUM(_xlfn.CHOOSEROWS(Table8[[The Golden Compass]:[end]],ROW()-1))</f>
        <v>0</v>
      </c>
      <c r="C644">
        <f>Table8[[#This Row],[Cumulative 2023 Q4]]+Table8[[#This Row],[Cumulative 2024]]+Table8[[#This Row],[Cumulative 2025]]+Table8[[#This Row],[Cumulative 2026]]</f>
        <v>10857</v>
      </c>
      <c r="D644">
        <f>IF(YEAR(Table8[[#This Row],[Date]])=2023,B644,0)+IF(ROW(D643)=1,0,D643)</f>
        <v>4195</v>
      </c>
      <c r="E644">
        <f>MAX(Table8[Cumulative 2023 Q4])</f>
        <v>4195</v>
      </c>
      <c r="F644">
        <f>IF(YEAR(Table8[[#This Row],[Date]])=2024,B644,0)+IF(ROW(F643)=1,0,F643)</f>
        <v>5831</v>
      </c>
      <c r="G644">
        <f>MAX(Table8[Cumulative 2024])</f>
        <v>5831</v>
      </c>
      <c r="H644">
        <f>IF(YEAR(Table8[[#This Row],[Date]])=2025,B644,0)+IF(ROW(H643)=1,0,H643)</f>
        <v>831</v>
      </c>
      <c r="I644">
        <f>MAX(Table8[Cumulative 2025])</f>
        <v>1377</v>
      </c>
      <c r="J644">
        <f>IF(YEAR(Table8[[#This Row],[Date]])=2026,B644,0)+IF(ROW(J643)=1,0,J643)</f>
        <v>0</v>
      </c>
      <c r="K644">
        <f>MAX(Table8[Cumulative 2026])</f>
        <v>3102</v>
      </c>
    </row>
    <row r="645" spans="1:11" hidden="1" x14ac:dyDescent="0.25">
      <c r="A645" s="1">
        <v>45854</v>
      </c>
      <c r="B645">
        <f>SUM(_xlfn.CHOOSEROWS(Table8[[The Golden Compass]:[end]],ROW()-1))</f>
        <v>0</v>
      </c>
      <c r="C645">
        <f>Table8[[#This Row],[Cumulative 2023 Q4]]+Table8[[#This Row],[Cumulative 2024]]+Table8[[#This Row],[Cumulative 2025]]+Table8[[#This Row],[Cumulative 2026]]</f>
        <v>10857</v>
      </c>
      <c r="D645">
        <f>IF(YEAR(Table8[[#This Row],[Date]])=2023,B645,0)+IF(ROW(D644)=1,0,D644)</f>
        <v>4195</v>
      </c>
      <c r="E645">
        <f>MAX(Table8[Cumulative 2023 Q4])</f>
        <v>4195</v>
      </c>
      <c r="F645">
        <f>IF(YEAR(Table8[[#This Row],[Date]])=2024,B645,0)+IF(ROW(F644)=1,0,F644)</f>
        <v>5831</v>
      </c>
      <c r="G645">
        <f>MAX(Table8[Cumulative 2024])</f>
        <v>5831</v>
      </c>
      <c r="H645">
        <f>IF(YEAR(Table8[[#This Row],[Date]])=2025,B645,0)+IF(ROW(H644)=1,0,H644)</f>
        <v>831</v>
      </c>
      <c r="I645">
        <f>MAX(Table8[Cumulative 2025])</f>
        <v>1377</v>
      </c>
      <c r="J645">
        <f>IF(YEAR(Table8[[#This Row],[Date]])=2026,B645,0)+IF(ROW(J644)=1,0,J644)</f>
        <v>0</v>
      </c>
      <c r="K645">
        <f>MAX(Table8[Cumulative 2026])</f>
        <v>3102</v>
      </c>
    </row>
    <row r="646" spans="1:11" hidden="1" x14ac:dyDescent="0.25">
      <c r="A646" s="1">
        <v>45855</v>
      </c>
      <c r="B646">
        <f>SUM(_xlfn.CHOOSEROWS(Table8[[The Golden Compass]:[end]],ROW()-1))</f>
        <v>0</v>
      </c>
      <c r="C646">
        <f>Table8[[#This Row],[Cumulative 2023 Q4]]+Table8[[#This Row],[Cumulative 2024]]+Table8[[#This Row],[Cumulative 2025]]+Table8[[#This Row],[Cumulative 2026]]</f>
        <v>10857</v>
      </c>
      <c r="D646">
        <f>IF(YEAR(Table8[[#This Row],[Date]])=2023,B646,0)+IF(ROW(D645)=1,0,D645)</f>
        <v>4195</v>
      </c>
      <c r="E646">
        <f>MAX(Table8[Cumulative 2023 Q4])</f>
        <v>4195</v>
      </c>
      <c r="F646">
        <f>IF(YEAR(Table8[[#This Row],[Date]])=2024,B646,0)+IF(ROW(F645)=1,0,F645)</f>
        <v>5831</v>
      </c>
      <c r="G646">
        <f>MAX(Table8[Cumulative 2024])</f>
        <v>5831</v>
      </c>
      <c r="H646">
        <f>IF(YEAR(Table8[[#This Row],[Date]])=2025,B646,0)+IF(ROW(H645)=1,0,H645)</f>
        <v>831</v>
      </c>
      <c r="I646">
        <f>MAX(Table8[Cumulative 2025])</f>
        <v>1377</v>
      </c>
      <c r="J646">
        <f>IF(YEAR(Table8[[#This Row],[Date]])=2026,B646,0)+IF(ROW(J645)=1,0,J645)</f>
        <v>0</v>
      </c>
      <c r="K646">
        <f>MAX(Table8[Cumulative 2026])</f>
        <v>3102</v>
      </c>
    </row>
    <row r="647" spans="1:11" hidden="1" x14ac:dyDescent="0.25">
      <c r="A647" s="1">
        <v>45856</v>
      </c>
      <c r="B647">
        <f>SUM(_xlfn.CHOOSEROWS(Table8[[The Golden Compass]:[end]],ROW()-1))</f>
        <v>0</v>
      </c>
      <c r="C647">
        <f>Table8[[#This Row],[Cumulative 2023 Q4]]+Table8[[#This Row],[Cumulative 2024]]+Table8[[#This Row],[Cumulative 2025]]+Table8[[#This Row],[Cumulative 2026]]</f>
        <v>10857</v>
      </c>
      <c r="D647">
        <f>IF(YEAR(Table8[[#This Row],[Date]])=2023,B647,0)+IF(ROW(D646)=1,0,D646)</f>
        <v>4195</v>
      </c>
      <c r="E647">
        <f>MAX(Table8[Cumulative 2023 Q4])</f>
        <v>4195</v>
      </c>
      <c r="F647">
        <f>IF(YEAR(Table8[[#This Row],[Date]])=2024,B647,0)+IF(ROW(F646)=1,0,F646)</f>
        <v>5831</v>
      </c>
      <c r="G647">
        <f>MAX(Table8[Cumulative 2024])</f>
        <v>5831</v>
      </c>
      <c r="H647">
        <f>IF(YEAR(Table8[[#This Row],[Date]])=2025,B647,0)+IF(ROW(H646)=1,0,H646)</f>
        <v>831</v>
      </c>
      <c r="I647">
        <f>MAX(Table8[Cumulative 2025])</f>
        <v>1377</v>
      </c>
      <c r="J647">
        <f>IF(YEAR(Table8[[#This Row],[Date]])=2026,B647,0)+IF(ROW(J646)=1,0,J646)</f>
        <v>0</v>
      </c>
      <c r="K647">
        <f>MAX(Table8[Cumulative 2026])</f>
        <v>3102</v>
      </c>
    </row>
    <row r="648" spans="1:11" hidden="1" x14ac:dyDescent="0.25">
      <c r="A648" s="1">
        <v>45857</v>
      </c>
      <c r="B648">
        <f>SUM(_xlfn.CHOOSEROWS(Table8[[The Golden Compass]:[end]],ROW()-1))</f>
        <v>0</v>
      </c>
      <c r="C648">
        <f>Table8[[#This Row],[Cumulative 2023 Q4]]+Table8[[#This Row],[Cumulative 2024]]+Table8[[#This Row],[Cumulative 2025]]+Table8[[#This Row],[Cumulative 2026]]</f>
        <v>10857</v>
      </c>
      <c r="D648">
        <f>IF(YEAR(Table8[[#This Row],[Date]])=2023,B648,0)+IF(ROW(D647)=1,0,D647)</f>
        <v>4195</v>
      </c>
      <c r="E648">
        <f>MAX(Table8[Cumulative 2023 Q4])</f>
        <v>4195</v>
      </c>
      <c r="F648">
        <f>IF(YEAR(Table8[[#This Row],[Date]])=2024,B648,0)+IF(ROW(F647)=1,0,F647)</f>
        <v>5831</v>
      </c>
      <c r="G648">
        <f>MAX(Table8[Cumulative 2024])</f>
        <v>5831</v>
      </c>
      <c r="H648">
        <f>IF(YEAR(Table8[[#This Row],[Date]])=2025,B648,0)+IF(ROW(H647)=1,0,H647)</f>
        <v>831</v>
      </c>
      <c r="I648">
        <f>MAX(Table8[Cumulative 2025])</f>
        <v>1377</v>
      </c>
      <c r="J648">
        <f>IF(YEAR(Table8[[#This Row],[Date]])=2026,B648,0)+IF(ROW(J647)=1,0,J647)</f>
        <v>0</v>
      </c>
      <c r="K648">
        <f>MAX(Table8[Cumulative 2026])</f>
        <v>3102</v>
      </c>
    </row>
    <row r="649" spans="1:11" hidden="1" x14ac:dyDescent="0.25">
      <c r="A649" s="1">
        <v>45858</v>
      </c>
      <c r="B649">
        <f>SUM(_xlfn.CHOOSEROWS(Table8[[The Golden Compass]:[end]],ROW()-1))</f>
        <v>0</v>
      </c>
      <c r="C649">
        <f>Table8[[#This Row],[Cumulative 2023 Q4]]+Table8[[#This Row],[Cumulative 2024]]+Table8[[#This Row],[Cumulative 2025]]+Table8[[#This Row],[Cumulative 2026]]</f>
        <v>10857</v>
      </c>
      <c r="D649">
        <f>IF(YEAR(Table8[[#This Row],[Date]])=2023,B649,0)+IF(ROW(D648)=1,0,D648)</f>
        <v>4195</v>
      </c>
      <c r="E649">
        <f>MAX(Table8[Cumulative 2023 Q4])</f>
        <v>4195</v>
      </c>
      <c r="F649">
        <f>IF(YEAR(Table8[[#This Row],[Date]])=2024,B649,0)+IF(ROW(F648)=1,0,F648)</f>
        <v>5831</v>
      </c>
      <c r="G649">
        <f>MAX(Table8[Cumulative 2024])</f>
        <v>5831</v>
      </c>
      <c r="H649">
        <f>IF(YEAR(Table8[[#This Row],[Date]])=2025,B649,0)+IF(ROW(H648)=1,0,H648)</f>
        <v>831</v>
      </c>
      <c r="I649">
        <f>MAX(Table8[Cumulative 2025])</f>
        <v>1377</v>
      </c>
      <c r="J649">
        <f>IF(YEAR(Table8[[#This Row],[Date]])=2026,B649,0)+IF(ROW(J648)=1,0,J648)</f>
        <v>0</v>
      </c>
      <c r="K649">
        <f>MAX(Table8[Cumulative 2026])</f>
        <v>3102</v>
      </c>
    </row>
    <row r="650" spans="1:11" hidden="1" x14ac:dyDescent="0.25">
      <c r="A650" s="1">
        <v>45859</v>
      </c>
      <c r="B650">
        <f>SUM(_xlfn.CHOOSEROWS(Table8[[The Golden Compass]:[end]],ROW()-1))</f>
        <v>0</v>
      </c>
      <c r="C650">
        <f>Table8[[#This Row],[Cumulative 2023 Q4]]+Table8[[#This Row],[Cumulative 2024]]+Table8[[#This Row],[Cumulative 2025]]+Table8[[#This Row],[Cumulative 2026]]</f>
        <v>10857</v>
      </c>
      <c r="D650">
        <f>IF(YEAR(Table8[[#This Row],[Date]])=2023,B650,0)+IF(ROW(D649)=1,0,D649)</f>
        <v>4195</v>
      </c>
      <c r="E650">
        <f>MAX(Table8[Cumulative 2023 Q4])</f>
        <v>4195</v>
      </c>
      <c r="F650">
        <f>IF(YEAR(Table8[[#This Row],[Date]])=2024,B650,0)+IF(ROW(F649)=1,0,F649)</f>
        <v>5831</v>
      </c>
      <c r="G650">
        <f>MAX(Table8[Cumulative 2024])</f>
        <v>5831</v>
      </c>
      <c r="H650">
        <f>IF(YEAR(Table8[[#This Row],[Date]])=2025,B650,0)+IF(ROW(H649)=1,0,H649)</f>
        <v>831</v>
      </c>
      <c r="I650">
        <f>MAX(Table8[Cumulative 2025])</f>
        <v>1377</v>
      </c>
      <c r="J650">
        <f>IF(YEAR(Table8[[#This Row],[Date]])=2026,B650,0)+IF(ROW(J649)=1,0,J649)</f>
        <v>0</v>
      </c>
      <c r="K650">
        <f>MAX(Table8[Cumulative 2026])</f>
        <v>3102</v>
      </c>
    </row>
    <row r="651" spans="1:11" hidden="1" x14ac:dyDescent="0.25">
      <c r="A651" s="1">
        <v>45860</v>
      </c>
      <c r="B651">
        <f>SUM(_xlfn.CHOOSEROWS(Table8[[The Golden Compass]:[end]],ROW()-1))</f>
        <v>0</v>
      </c>
      <c r="C651">
        <f>Table8[[#This Row],[Cumulative 2023 Q4]]+Table8[[#This Row],[Cumulative 2024]]+Table8[[#This Row],[Cumulative 2025]]+Table8[[#This Row],[Cumulative 2026]]</f>
        <v>10857</v>
      </c>
      <c r="D651">
        <f>IF(YEAR(Table8[[#This Row],[Date]])=2023,B651,0)+IF(ROW(D650)=1,0,D650)</f>
        <v>4195</v>
      </c>
      <c r="E651">
        <f>MAX(Table8[Cumulative 2023 Q4])</f>
        <v>4195</v>
      </c>
      <c r="F651">
        <f>IF(YEAR(Table8[[#This Row],[Date]])=2024,B651,0)+IF(ROW(F650)=1,0,F650)</f>
        <v>5831</v>
      </c>
      <c r="G651">
        <f>MAX(Table8[Cumulative 2024])</f>
        <v>5831</v>
      </c>
      <c r="H651">
        <f>IF(YEAR(Table8[[#This Row],[Date]])=2025,B651,0)+IF(ROW(H650)=1,0,H650)</f>
        <v>831</v>
      </c>
      <c r="I651">
        <f>MAX(Table8[Cumulative 2025])</f>
        <v>1377</v>
      </c>
      <c r="J651">
        <f>IF(YEAR(Table8[[#This Row],[Date]])=2026,B651,0)+IF(ROW(J650)=1,0,J650)</f>
        <v>0</v>
      </c>
      <c r="K651">
        <f>MAX(Table8[Cumulative 2026])</f>
        <v>3102</v>
      </c>
    </row>
    <row r="652" spans="1:11" hidden="1" x14ac:dyDescent="0.25">
      <c r="A652" s="1">
        <v>45861</v>
      </c>
      <c r="B652">
        <f>SUM(_xlfn.CHOOSEROWS(Table8[[The Golden Compass]:[end]],ROW()-1))</f>
        <v>0</v>
      </c>
      <c r="C652">
        <f>Table8[[#This Row],[Cumulative 2023 Q4]]+Table8[[#This Row],[Cumulative 2024]]+Table8[[#This Row],[Cumulative 2025]]+Table8[[#This Row],[Cumulative 2026]]</f>
        <v>10857</v>
      </c>
      <c r="D652">
        <f>IF(YEAR(Table8[[#This Row],[Date]])=2023,B652,0)+IF(ROW(D651)=1,0,D651)</f>
        <v>4195</v>
      </c>
      <c r="E652">
        <f>MAX(Table8[Cumulative 2023 Q4])</f>
        <v>4195</v>
      </c>
      <c r="F652">
        <f>IF(YEAR(Table8[[#This Row],[Date]])=2024,B652,0)+IF(ROW(F651)=1,0,F651)</f>
        <v>5831</v>
      </c>
      <c r="G652">
        <f>MAX(Table8[Cumulative 2024])</f>
        <v>5831</v>
      </c>
      <c r="H652">
        <f>IF(YEAR(Table8[[#This Row],[Date]])=2025,B652,0)+IF(ROW(H651)=1,0,H651)</f>
        <v>831</v>
      </c>
      <c r="I652">
        <f>MAX(Table8[Cumulative 2025])</f>
        <v>1377</v>
      </c>
      <c r="J652">
        <f>IF(YEAR(Table8[[#This Row],[Date]])=2026,B652,0)+IF(ROW(J651)=1,0,J651)</f>
        <v>0</v>
      </c>
      <c r="K652">
        <f>MAX(Table8[Cumulative 2026])</f>
        <v>3102</v>
      </c>
    </row>
    <row r="653" spans="1:11" hidden="1" x14ac:dyDescent="0.25">
      <c r="A653" s="1">
        <v>45862</v>
      </c>
      <c r="B653">
        <f>SUM(_xlfn.CHOOSEROWS(Table8[[The Golden Compass]:[end]],ROW()-1))</f>
        <v>0</v>
      </c>
      <c r="C653">
        <f>Table8[[#This Row],[Cumulative 2023 Q4]]+Table8[[#This Row],[Cumulative 2024]]+Table8[[#This Row],[Cumulative 2025]]+Table8[[#This Row],[Cumulative 2026]]</f>
        <v>10857</v>
      </c>
      <c r="D653">
        <f>IF(YEAR(Table8[[#This Row],[Date]])=2023,B653,0)+IF(ROW(D652)=1,0,D652)</f>
        <v>4195</v>
      </c>
      <c r="E653">
        <f>MAX(Table8[Cumulative 2023 Q4])</f>
        <v>4195</v>
      </c>
      <c r="F653">
        <f>IF(YEAR(Table8[[#This Row],[Date]])=2024,B653,0)+IF(ROW(F652)=1,0,F652)</f>
        <v>5831</v>
      </c>
      <c r="G653">
        <f>MAX(Table8[Cumulative 2024])</f>
        <v>5831</v>
      </c>
      <c r="H653">
        <f>IF(YEAR(Table8[[#This Row],[Date]])=2025,B653,0)+IF(ROW(H652)=1,0,H652)</f>
        <v>831</v>
      </c>
      <c r="I653">
        <f>MAX(Table8[Cumulative 2025])</f>
        <v>1377</v>
      </c>
      <c r="J653">
        <f>IF(YEAR(Table8[[#This Row],[Date]])=2026,B653,0)+IF(ROW(J652)=1,0,J652)</f>
        <v>0</v>
      </c>
      <c r="K653">
        <f>MAX(Table8[Cumulative 2026])</f>
        <v>3102</v>
      </c>
    </row>
    <row r="654" spans="1:11" hidden="1" x14ac:dyDescent="0.25">
      <c r="A654" s="1">
        <v>45863</v>
      </c>
      <c r="B654">
        <f>SUM(_xlfn.CHOOSEROWS(Table8[[The Golden Compass]:[end]],ROW()-1))</f>
        <v>0</v>
      </c>
      <c r="C654">
        <f>Table8[[#This Row],[Cumulative 2023 Q4]]+Table8[[#This Row],[Cumulative 2024]]+Table8[[#This Row],[Cumulative 2025]]+Table8[[#This Row],[Cumulative 2026]]</f>
        <v>10857</v>
      </c>
      <c r="D654">
        <f>IF(YEAR(Table8[[#This Row],[Date]])=2023,B654,0)+IF(ROW(D653)=1,0,D653)</f>
        <v>4195</v>
      </c>
      <c r="E654">
        <f>MAX(Table8[Cumulative 2023 Q4])</f>
        <v>4195</v>
      </c>
      <c r="F654">
        <f>IF(YEAR(Table8[[#This Row],[Date]])=2024,B654,0)+IF(ROW(F653)=1,0,F653)</f>
        <v>5831</v>
      </c>
      <c r="G654">
        <f>MAX(Table8[Cumulative 2024])</f>
        <v>5831</v>
      </c>
      <c r="H654">
        <f>IF(YEAR(Table8[[#This Row],[Date]])=2025,B654,0)+IF(ROW(H653)=1,0,H653)</f>
        <v>831</v>
      </c>
      <c r="I654">
        <f>MAX(Table8[Cumulative 2025])</f>
        <v>1377</v>
      </c>
      <c r="J654">
        <f>IF(YEAR(Table8[[#This Row],[Date]])=2026,B654,0)+IF(ROW(J653)=1,0,J653)</f>
        <v>0</v>
      </c>
      <c r="K654">
        <f>MAX(Table8[Cumulative 2026])</f>
        <v>3102</v>
      </c>
    </row>
    <row r="655" spans="1:11" hidden="1" x14ac:dyDescent="0.25">
      <c r="A655" s="1">
        <v>45864</v>
      </c>
      <c r="B655">
        <f>SUM(_xlfn.CHOOSEROWS(Table8[[The Golden Compass]:[end]],ROW()-1))</f>
        <v>0</v>
      </c>
      <c r="C655">
        <f>Table8[[#This Row],[Cumulative 2023 Q4]]+Table8[[#This Row],[Cumulative 2024]]+Table8[[#This Row],[Cumulative 2025]]+Table8[[#This Row],[Cumulative 2026]]</f>
        <v>10857</v>
      </c>
      <c r="D655">
        <f>IF(YEAR(Table8[[#This Row],[Date]])=2023,B655,0)+IF(ROW(D654)=1,0,D654)</f>
        <v>4195</v>
      </c>
      <c r="E655">
        <f>MAX(Table8[Cumulative 2023 Q4])</f>
        <v>4195</v>
      </c>
      <c r="F655">
        <f>IF(YEAR(Table8[[#This Row],[Date]])=2024,B655,0)+IF(ROW(F654)=1,0,F654)</f>
        <v>5831</v>
      </c>
      <c r="G655">
        <f>MAX(Table8[Cumulative 2024])</f>
        <v>5831</v>
      </c>
      <c r="H655">
        <f>IF(YEAR(Table8[[#This Row],[Date]])=2025,B655,0)+IF(ROW(H654)=1,0,H654)</f>
        <v>831</v>
      </c>
      <c r="I655">
        <f>MAX(Table8[Cumulative 2025])</f>
        <v>1377</v>
      </c>
      <c r="J655">
        <f>IF(YEAR(Table8[[#This Row],[Date]])=2026,B655,0)+IF(ROW(J654)=1,0,J654)</f>
        <v>0</v>
      </c>
      <c r="K655">
        <f>MAX(Table8[Cumulative 2026])</f>
        <v>3102</v>
      </c>
    </row>
    <row r="656" spans="1:11" hidden="1" x14ac:dyDescent="0.25">
      <c r="A656" s="1">
        <v>45865</v>
      </c>
      <c r="B656">
        <f>SUM(_xlfn.CHOOSEROWS(Table8[[The Golden Compass]:[end]],ROW()-1))</f>
        <v>0</v>
      </c>
      <c r="C656">
        <f>Table8[[#This Row],[Cumulative 2023 Q4]]+Table8[[#This Row],[Cumulative 2024]]+Table8[[#This Row],[Cumulative 2025]]+Table8[[#This Row],[Cumulative 2026]]</f>
        <v>10857</v>
      </c>
      <c r="D656">
        <f>IF(YEAR(Table8[[#This Row],[Date]])=2023,B656,0)+IF(ROW(D655)=1,0,D655)</f>
        <v>4195</v>
      </c>
      <c r="E656">
        <f>MAX(Table8[Cumulative 2023 Q4])</f>
        <v>4195</v>
      </c>
      <c r="F656">
        <f>IF(YEAR(Table8[[#This Row],[Date]])=2024,B656,0)+IF(ROW(F655)=1,0,F655)</f>
        <v>5831</v>
      </c>
      <c r="G656">
        <f>MAX(Table8[Cumulative 2024])</f>
        <v>5831</v>
      </c>
      <c r="H656">
        <f>IF(YEAR(Table8[[#This Row],[Date]])=2025,B656,0)+IF(ROW(H655)=1,0,H655)</f>
        <v>831</v>
      </c>
      <c r="I656">
        <f>MAX(Table8[Cumulative 2025])</f>
        <v>1377</v>
      </c>
      <c r="J656">
        <f>IF(YEAR(Table8[[#This Row],[Date]])=2026,B656,0)+IF(ROW(J655)=1,0,J655)</f>
        <v>0</v>
      </c>
      <c r="K656">
        <f>MAX(Table8[Cumulative 2026])</f>
        <v>3102</v>
      </c>
    </row>
    <row r="657" spans="1:11" hidden="1" x14ac:dyDescent="0.25">
      <c r="A657" s="1">
        <v>45866</v>
      </c>
      <c r="B657">
        <f>SUM(_xlfn.CHOOSEROWS(Table8[[The Golden Compass]:[end]],ROW()-1))</f>
        <v>0</v>
      </c>
      <c r="C657">
        <f>Table8[[#This Row],[Cumulative 2023 Q4]]+Table8[[#This Row],[Cumulative 2024]]+Table8[[#This Row],[Cumulative 2025]]+Table8[[#This Row],[Cumulative 2026]]</f>
        <v>10857</v>
      </c>
      <c r="D657">
        <f>IF(YEAR(Table8[[#This Row],[Date]])=2023,B657,0)+IF(ROW(D656)=1,0,D656)</f>
        <v>4195</v>
      </c>
      <c r="E657">
        <f>MAX(Table8[Cumulative 2023 Q4])</f>
        <v>4195</v>
      </c>
      <c r="F657">
        <f>IF(YEAR(Table8[[#This Row],[Date]])=2024,B657,0)+IF(ROW(F656)=1,0,F656)</f>
        <v>5831</v>
      </c>
      <c r="G657">
        <f>MAX(Table8[Cumulative 2024])</f>
        <v>5831</v>
      </c>
      <c r="H657">
        <f>IF(YEAR(Table8[[#This Row],[Date]])=2025,B657,0)+IF(ROW(H656)=1,0,H656)</f>
        <v>831</v>
      </c>
      <c r="I657">
        <f>MAX(Table8[Cumulative 2025])</f>
        <v>1377</v>
      </c>
      <c r="J657">
        <f>IF(YEAR(Table8[[#This Row],[Date]])=2026,B657,0)+IF(ROW(J656)=1,0,J656)</f>
        <v>0</v>
      </c>
      <c r="K657">
        <f>MAX(Table8[Cumulative 2026])</f>
        <v>3102</v>
      </c>
    </row>
    <row r="658" spans="1:11" hidden="1" x14ac:dyDescent="0.25">
      <c r="A658" s="1">
        <v>45867</v>
      </c>
      <c r="B658">
        <f>SUM(_xlfn.CHOOSEROWS(Table8[[The Golden Compass]:[end]],ROW()-1))</f>
        <v>0</v>
      </c>
      <c r="C658">
        <f>Table8[[#This Row],[Cumulative 2023 Q4]]+Table8[[#This Row],[Cumulative 2024]]+Table8[[#This Row],[Cumulative 2025]]+Table8[[#This Row],[Cumulative 2026]]</f>
        <v>10857</v>
      </c>
      <c r="D658">
        <f>IF(YEAR(Table8[[#This Row],[Date]])=2023,B658,0)+IF(ROW(D657)=1,0,D657)</f>
        <v>4195</v>
      </c>
      <c r="E658">
        <f>MAX(Table8[Cumulative 2023 Q4])</f>
        <v>4195</v>
      </c>
      <c r="F658">
        <f>IF(YEAR(Table8[[#This Row],[Date]])=2024,B658,0)+IF(ROW(F657)=1,0,F657)</f>
        <v>5831</v>
      </c>
      <c r="G658">
        <f>MAX(Table8[Cumulative 2024])</f>
        <v>5831</v>
      </c>
      <c r="H658">
        <f>IF(YEAR(Table8[[#This Row],[Date]])=2025,B658,0)+IF(ROW(H657)=1,0,H657)</f>
        <v>831</v>
      </c>
      <c r="I658">
        <f>MAX(Table8[Cumulative 2025])</f>
        <v>1377</v>
      </c>
      <c r="J658">
        <f>IF(YEAR(Table8[[#This Row],[Date]])=2026,B658,0)+IF(ROW(J657)=1,0,J657)</f>
        <v>0</v>
      </c>
      <c r="K658">
        <f>MAX(Table8[Cumulative 2026])</f>
        <v>3102</v>
      </c>
    </row>
    <row r="659" spans="1:11" hidden="1" x14ac:dyDescent="0.25">
      <c r="A659" s="1">
        <v>45868</v>
      </c>
      <c r="B659">
        <f>SUM(_xlfn.CHOOSEROWS(Table8[[The Golden Compass]:[end]],ROW()-1))</f>
        <v>0</v>
      </c>
      <c r="C659">
        <f>Table8[[#This Row],[Cumulative 2023 Q4]]+Table8[[#This Row],[Cumulative 2024]]+Table8[[#This Row],[Cumulative 2025]]+Table8[[#This Row],[Cumulative 2026]]</f>
        <v>10857</v>
      </c>
      <c r="D659">
        <f>IF(YEAR(Table8[[#This Row],[Date]])=2023,B659,0)+IF(ROW(D658)=1,0,D658)</f>
        <v>4195</v>
      </c>
      <c r="E659">
        <f>MAX(Table8[Cumulative 2023 Q4])</f>
        <v>4195</v>
      </c>
      <c r="F659">
        <f>IF(YEAR(Table8[[#This Row],[Date]])=2024,B659,0)+IF(ROW(F658)=1,0,F658)</f>
        <v>5831</v>
      </c>
      <c r="G659">
        <f>MAX(Table8[Cumulative 2024])</f>
        <v>5831</v>
      </c>
      <c r="H659">
        <f>IF(YEAR(Table8[[#This Row],[Date]])=2025,B659,0)+IF(ROW(H658)=1,0,H658)</f>
        <v>831</v>
      </c>
      <c r="I659">
        <f>MAX(Table8[Cumulative 2025])</f>
        <v>1377</v>
      </c>
      <c r="J659">
        <f>IF(YEAR(Table8[[#This Row],[Date]])=2026,B659,0)+IF(ROW(J658)=1,0,J658)</f>
        <v>0</v>
      </c>
      <c r="K659">
        <f>MAX(Table8[Cumulative 2026])</f>
        <v>3102</v>
      </c>
    </row>
    <row r="660" spans="1:11" hidden="1" x14ac:dyDescent="0.25">
      <c r="A660" s="1">
        <v>45869</v>
      </c>
      <c r="B660">
        <f>SUM(_xlfn.CHOOSEROWS(Table8[[The Golden Compass]:[end]],ROW()-1))</f>
        <v>0</v>
      </c>
      <c r="C660">
        <f>Table8[[#This Row],[Cumulative 2023 Q4]]+Table8[[#This Row],[Cumulative 2024]]+Table8[[#This Row],[Cumulative 2025]]+Table8[[#This Row],[Cumulative 2026]]</f>
        <v>10857</v>
      </c>
      <c r="D660">
        <f>IF(YEAR(Table8[[#This Row],[Date]])=2023,B660,0)+IF(ROW(D659)=1,0,D659)</f>
        <v>4195</v>
      </c>
      <c r="E660">
        <f>MAX(Table8[Cumulative 2023 Q4])</f>
        <v>4195</v>
      </c>
      <c r="F660">
        <f>IF(YEAR(Table8[[#This Row],[Date]])=2024,B660,0)+IF(ROW(F659)=1,0,F659)</f>
        <v>5831</v>
      </c>
      <c r="G660">
        <f>MAX(Table8[Cumulative 2024])</f>
        <v>5831</v>
      </c>
      <c r="H660">
        <f>IF(YEAR(Table8[[#This Row],[Date]])=2025,B660,0)+IF(ROW(H659)=1,0,H659)</f>
        <v>831</v>
      </c>
      <c r="I660">
        <f>MAX(Table8[Cumulative 2025])</f>
        <v>1377</v>
      </c>
      <c r="J660">
        <f>IF(YEAR(Table8[[#This Row],[Date]])=2026,B660,0)+IF(ROW(J659)=1,0,J659)</f>
        <v>0</v>
      </c>
      <c r="K660">
        <f>MAX(Table8[Cumulative 2026])</f>
        <v>3102</v>
      </c>
    </row>
    <row r="661" spans="1:11" hidden="1" x14ac:dyDescent="0.25">
      <c r="A661" s="1">
        <v>45870</v>
      </c>
      <c r="B661">
        <f>SUM(_xlfn.CHOOSEROWS(Table8[[The Golden Compass]:[end]],ROW()-1))</f>
        <v>0</v>
      </c>
      <c r="C661">
        <f>Table8[[#This Row],[Cumulative 2023 Q4]]+Table8[[#This Row],[Cumulative 2024]]+Table8[[#This Row],[Cumulative 2025]]+Table8[[#This Row],[Cumulative 2026]]</f>
        <v>10857</v>
      </c>
      <c r="D661">
        <f>IF(YEAR(Table8[[#This Row],[Date]])=2023,B661,0)+IF(ROW(D660)=1,0,D660)</f>
        <v>4195</v>
      </c>
      <c r="E661">
        <f>MAX(Table8[Cumulative 2023 Q4])</f>
        <v>4195</v>
      </c>
      <c r="F661">
        <f>IF(YEAR(Table8[[#This Row],[Date]])=2024,B661,0)+IF(ROW(F660)=1,0,F660)</f>
        <v>5831</v>
      </c>
      <c r="G661">
        <f>MAX(Table8[Cumulative 2024])</f>
        <v>5831</v>
      </c>
      <c r="H661">
        <f>IF(YEAR(Table8[[#This Row],[Date]])=2025,B661,0)+IF(ROW(H660)=1,0,H660)</f>
        <v>831</v>
      </c>
      <c r="I661">
        <f>MAX(Table8[Cumulative 2025])</f>
        <v>1377</v>
      </c>
      <c r="J661">
        <f>IF(YEAR(Table8[[#This Row],[Date]])=2026,B661,0)+IF(ROW(J660)=1,0,J660)</f>
        <v>0</v>
      </c>
      <c r="K661">
        <f>MAX(Table8[Cumulative 2026])</f>
        <v>3102</v>
      </c>
    </row>
    <row r="662" spans="1:11" hidden="1" x14ac:dyDescent="0.25">
      <c r="A662" s="1">
        <v>45871</v>
      </c>
      <c r="B662">
        <f>SUM(_xlfn.CHOOSEROWS(Table8[[The Golden Compass]:[end]],ROW()-1))</f>
        <v>0</v>
      </c>
      <c r="C662">
        <f>Table8[[#This Row],[Cumulative 2023 Q4]]+Table8[[#This Row],[Cumulative 2024]]+Table8[[#This Row],[Cumulative 2025]]+Table8[[#This Row],[Cumulative 2026]]</f>
        <v>10857</v>
      </c>
      <c r="D662">
        <f>IF(YEAR(Table8[[#This Row],[Date]])=2023,B662,0)+IF(ROW(D661)=1,0,D661)</f>
        <v>4195</v>
      </c>
      <c r="E662">
        <f>MAX(Table8[Cumulative 2023 Q4])</f>
        <v>4195</v>
      </c>
      <c r="F662">
        <f>IF(YEAR(Table8[[#This Row],[Date]])=2024,B662,0)+IF(ROW(F661)=1,0,F661)</f>
        <v>5831</v>
      </c>
      <c r="G662">
        <f>MAX(Table8[Cumulative 2024])</f>
        <v>5831</v>
      </c>
      <c r="H662">
        <f>IF(YEAR(Table8[[#This Row],[Date]])=2025,B662,0)+IF(ROW(H661)=1,0,H661)</f>
        <v>831</v>
      </c>
      <c r="I662">
        <f>MAX(Table8[Cumulative 2025])</f>
        <v>1377</v>
      </c>
      <c r="J662">
        <f>IF(YEAR(Table8[[#This Row],[Date]])=2026,B662,0)+IF(ROW(J661)=1,0,J661)</f>
        <v>0</v>
      </c>
      <c r="K662">
        <f>MAX(Table8[Cumulative 2026])</f>
        <v>3102</v>
      </c>
    </row>
    <row r="663" spans="1:11" hidden="1" x14ac:dyDescent="0.25">
      <c r="A663" s="1">
        <v>45872</v>
      </c>
      <c r="B663">
        <f>SUM(_xlfn.CHOOSEROWS(Table8[[The Golden Compass]:[end]],ROW()-1))</f>
        <v>0</v>
      </c>
      <c r="C663">
        <f>Table8[[#This Row],[Cumulative 2023 Q4]]+Table8[[#This Row],[Cumulative 2024]]+Table8[[#This Row],[Cumulative 2025]]+Table8[[#This Row],[Cumulative 2026]]</f>
        <v>10857</v>
      </c>
      <c r="D663">
        <f>IF(YEAR(Table8[[#This Row],[Date]])=2023,B663,0)+IF(ROW(D662)=1,0,D662)</f>
        <v>4195</v>
      </c>
      <c r="E663">
        <f>MAX(Table8[Cumulative 2023 Q4])</f>
        <v>4195</v>
      </c>
      <c r="F663">
        <f>IF(YEAR(Table8[[#This Row],[Date]])=2024,B663,0)+IF(ROW(F662)=1,0,F662)</f>
        <v>5831</v>
      </c>
      <c r="G663">
        <f>MAX(Table8[Cumulative 2024])</f>
        <v>5831</v>
      </c>
      <c r="H663">
        <f>IF(YEAR(Table8[[#This Row],[Date]])=2025,B663,0)+IF(ROW(H662)=1,0,H662)</f>
        <v>831</v>
      </c>
      <c r="I663">
        <f>MAX(Table8[Cumulative 2025])</f>
        <v>1377</v>
      </c>
      <c r="J663">
        <f>IF(YEAR(Table8[[#This Row],[Date]])=2026,B663,0)+IF(ROW(J662)=1,0,J662)</f>
        <v>0</v>
      </c>
      <c r="K663">
        <f>MAX(Table8[Cumulative 2026])</f>
        <v>3102</v>
      </c>
    </row>
    <row r="664" spans="1:11" hidden="1" x14ac:dyDescent="0.25">
      <c r="A664" s="1">
        <v>45873</v>
      </c>
      <c r="B664">
        <f>SUM(_xlfn.CHOOSEROWS(Table8[[The Golden Compass]:[end]],ROW()-1))</f>
        <v>0</v>
      </c>
      <c r="C664">
        <f>Table8[[#This Row],[Cumulative 2023 Q4]]+Table8[[#This Row],[Cumulative 2024]]+Table8[[#This Row],[Cumulative 2025]]+Table8[[#This Row],[Cumulative 2026]]</f>
        <v>10857</v>
      </c>
      <c r="D664">
        <f>IF(YEAR(Table8[[#This Row],[Date]])=2023,B664,0)+IF(ROW(D663)=1,0,D663)</f>
        <v>4195</v>
      </c>
      <c r="E664">
        <f>MAX(Table8[Cumulative 2023 Q4])</f>
        <v>4195</v>
      </c>
      <c r="F664">
        <f>IF(YEAR(Table8[[#This Row],[Date]])=2024,B664,0)+IF(ROW(F663)=1,0,F663)</f>
        <v>5831</v>
      </c>
      <c r="G664">
        <f>MAX(Table8[Cumulative 2024])</f>
        <v>5831</v>
      </c>
      <c r="H664">
        <f>IF(YEAR(Table8[[#This Row],[Date]])=2025,B664,0)+IF(ROW(H663)=1,0,H663)</f>
        <v>831</v>
      </c>
      <c r="I664">
        <f>MAX(Table8[Cumulative 2025])</f>
        <v>1377</v>
      </c>
      <c r="J664">
        <f>IF(YEAR(Table8[[#This Row],[Date]])=2026,B664,0)+IF(ROW(J663)=1,0,J663)</f>
        <v>0</v>
      </c>
      <c r="K664">
        <f>MAX(Table8[Cumulative 2026])</f>
        <v>3102</v>
      </c>
    </row>
    <row r="665" spans="1:11" hidden="1" x14ac:dyDescent="0.25">
      <c r="A665" s="1">
        <v>45874</v>
      </c>
      <c r="B665">
        <f>SUM(_xlfn.CHOOSEROWS(Table8[[The Golden Compass]:[end]],ROW()-1))</f>
        <v>0</v>
      </c>
      <c r="C665">
        <f>Table8[[#This Row],[Cumulative 2023 Q4]]+Table8[[#This Row],[Cumulative 2024]]+Table8[[#This Row],[Cumulative 2025]]+Table8[[#This Row],[Cumulative 2026]]</f>
        <v>10857</v>
      </c>
      <c r="D665">
        <f>IF(YEAR(Table8[[#This Row],[Date]])=2023,B665,0)+IF(ROW(D664)=1,0,D664)</f>
        <v>4195</v>
      </c>
      <c r="E665">
        <f>MAX(Table8[Cumulative 2023 Q4])</f>
        <v>4195</v>
      </c>
      <c r="F665">
        <f>IF(YEAR(Table8[[#This Row],[Date]])=2024,B665,0)+IF(ROW(F664)=1,0,F664)</f>
        <v>5831</v>
      </c>
      <c r="G665">
        <f>MAX(Table8[Cumulative 2024])</f>
        <v>5831</v>
      </c>
      <c r="H665">
        <f>IF(YEAR(Table8[[#This Row],[Date]])=2025,B665,0)+IF(ROW(H664)=1,0,H664)</f>
        <v>831</v>
      </c>
      <c r="I665">
        <f>MAX(Table8[Cumulative 2025])</f>
        <v>1377</v>
      </c>
      <c r="J665">
        <f>IF(YEAR(Table8[[#This Row],[Date]])=2026,B665,0)+IF(ROW(J664)=1,0,J664)</f>
        <v>0</v>
      </c>
      <c r="K665">
        <f>MAX(Table8[Cumulative 2026])</f>
        <v>3102</v>
      </c>
    </row>
    <row r="666" spans="1:11" hidden="1" x14ac:dyDescent="0.25">
      <c r="A666" s="1">
        <v>45875</v>
      </c>
      <c r="B666">
        <f>SUM(_xlfn.CHOOSEROWS(Table8[[The Golden Compass]:[end]],ROW()-1))</f>
        <v>0</v>
      </c>
      <c r="C666">
        <f>Table8[[#This Row],[Cumulative 2023 Q4]]+Table8[[#This Row],[Cumulative 2024]]+Table8[[#This Row],[Cumulative 2025]]+Table8[[#This Row],[Cumulative 2026]]</f>
        <v>10857</v>
      </c>
      <c r="D666">
        <f>IF(YEAR(Table8[[#This Row],[Date]])=2023,B666,0)+IF(ROW(D665)=1,0,D665)</f>
        <v>4195</v>
      </c>
      <c r="E666">
        <f>MAX(Table8[Cumulative 2023 Q4])</f>
        <v>4195</v>
      </c>
      <c r="F666">
        <f>IF(YEAR(Table8[[#This Row],[Date]])=2024,B666,0)+IF(ROW(F665)=1,0,F665)</f>
        <v>5831</v>
      </c>
      <c r="G666">
        <f>MAX(Table8[Cumulative 2024])</f>
        <v>5831</v>
      </c>
      <c r="H666">
        <f>IF(YEAR(Table8[[#This Row],[Date]])=2025,B666,0)+IF(ROW(H665)=1,0,H665)</f>
        <v>831</v>
      </c>
      <c r="I666">
        <f>MAX(Table8[Cumulative 2025])</f>
        <v>1377</v>
      </c>
      <c r="J666">
        <f>IF(YEAR(Table8[[#This Row],[Date]])=2026,B666,0)+IF(ROW(J665)=1,0,J665)</f>
        <v>0</v>
      </c>
      <c r="K666">
        <f>MAX(Table8[Cumulative 2026])</f>
        <v>3102</v>
      </c>
    </row>
    <row r="667" spans="1:11" hidden="1" x14ac:dyDescent="0.25">
      <c r="A667" s="1">
        <v>45876</v>
      </c>
      <c r="B667">
        <f>SUM(_xlfn.CHOOSEROWS(Table8[[The Golden Compass]:[end]],ROW()-1))</f>
        <v>0</v>
      </c>
      <c r="C667">
        <f>Table8[[#This Row],[Cumulative 2023 Q4]]+Table8[[#This Row],[Cumulative 2024]]+Table8[[#This Row],[Cumulative 2025]]+Table8[[#This Row],[Cumulative 2026]]</f>
        <v>10857</v>
      </c>
      <c r="D667">
        <f>IF(YEAR(Table8[[#This Row],[Date]])=2023,B667,0)+IF(ROW(D666)=1,0,D666)</f>
        <v>4195</v>
      </c>
      <c r="E667">
        <f>MAX(Table8[Cumulative 2023 Q4])</f>
        <v>4195</v>
      </c>
      <c r="F667">
        <f>IF(YEAR(Table8[[#This Row],[Date]])=2024,B667,0)+IF(ROW(F666)=1,0,F666)</f>
        <v>5831</v>
      </c>
      <c r="G667">
        <f>MAX(Table8[Cumulative 2024])</f>
        <v>5831</v>
      </c>
      <c r="H667">
        <f>IF(YEAR(Table8[[#This Row],[Date]])=2025,B667,0)+IF(ROW(H666)=1,0,H666)</f>
        <v>831</v>
      </c>
      <c r="I667">
        <f>MAX(Table8[Cumulative 2025])</f>
        <v>1377</v>
      </c>
      <c r="J667">
        <f>IF(YEAR(Table8[[#This Row],[Date]])=2026,B667,0)+IF(ROW(J666)=1,0,J666)</f>
        <v>0</v>
      </c>
      <c r="K667">
        <f>MAX(Table8[Cumulative 2026])</f>
        <v>3102</v>
      </c>
    </row>
    <row r="668" spans="1:11" hidden="1" x14ac:dyDescent="0.25">
      <c r="A668" s="1">
        <v>45877</v>
      </c>
      <c r="B668">
        <f>SUM(_xlfn.CHOOSEROWS(Table8[[The Golden Compass]:[end]],ROW()-1))</f>
        <v>0</v>
      </c>
      <c r="C668">
        <f>Table8[[#This Row],[Cumulative 2023 Q4]]+Table8[[#This Row],[Cumulative 2024]]+Table8[[#This Row],[Cumulative 2025]]+Table8[[#This Row],[Cumulative 2026]]</f>
        <v>10857</v>
      </c>
      <c r="D668">
        <f>IF(YEAR(Table8[[#This Row],[Date]])=2023,B668,0)+IF(ROW(D667)=1,0,D667)</f>
        <v>4195</v>
      </c>
      <c r="E668">
        <f>MAX(Table8[Cumulative 2023 Q4])</f>
        <v>4195</v>
      </c>
      <c r="F668">
        <f>IF(YEAR(Table8[[#This Row],[Date]])=2024,B668,0)+IF(ROW(F667)=1,0,F667)</f>
        <v>5831</v>
      </c>
      <c r="G668">
        <f>MAX(Table8[Cumulative 2024])</f>
        <v>5831</v>
      </c>
      <c r="H668">
        <f>IF(YEAR(Table8[[#This Row],[Date]])=2025,B668,0)+IF(ROW(H667)=1,0,H667)</f>
        <v>831</v>
      </c>
      <c r="I668">
        <f>MAX(Table8[Cumulative 2025])</f>
        <v>1377</v>
      </c>
      <c r="J668">
        <f>IF(YEAR(Table8[[#This Row],[Date]])=2026,B668,0)+IF(ROW(J667)=1,0,J667)</f>
        <v>0</v>
      </c>
      <c r="K668">
        <f>MAX(Table8[Cumulative 2026])</f>
        <v>3102</v>
      </c>
    </row>
    <row r="669" spans="1:11" hidden="1" x14ac:dyDescent="0.25">
      <c r="A669" s="1">
        <v>45878</v>
      </c>
      <c r="B669">
        <f>SUM(_xlfn.CHOOSEROWS(Table8[[The Golden Compass]:[end]],ROW()-1))</f>
        <v>0</v>
      </c>
      <c r="C669">
        <f>Table8[[#This Row],[Cumulative 2023 Q4]]+Table8[[#This Row],[Cumulative 2024]]+Table8[[#This Row],[Cumulative 2025]]+Table8[[#This Row],[Cumulative 2026]]</f>
        <v>10857</v>
      </c>
      <c r="D669">
        <f>IF(YEAR(Table8[[#This Row],[Date]])=2023,B669,0)+IF(ROW(D668)=1,0,D668)</f>
        <v>4195</v>
      </c>
      <c r="E669">
        <f>MAX(Table8[Cumulative 2023 Q4])</f>
        <v>4195</v>
      </c>
      <c r="F669">
        <f>IF(YEAR(Table8[[#This Row],[Date]])=2024,B669,0)+IF(ROW(F668)=1,0,F668)</f>
        <v>5831</v>
      </c>
      <c r="G669">
        <f>MAX(Table8[Cumulative 2024])</f>
        <v>5831</v>
      </c>
      <c r="H669">
        <f>IF(YEAR(Table8[[#This Row],[Date]])=2025,B669,0)+IF(ROW(H668)=1,0,H668)</f>
        <v>831</v>
      </c>
      <c r="I669">
        <f>MAX(Table8[Cumulative 2025])</f>
        <v>1377</v>
      </c>
      <c r="J669">
        <f>IF(YEAR(Table8[[#This Row],[Date]])=2026,B669,0)+IF(ROW(J668)=1,0,J668)</f>
        <v>0</v>
      </c>
      <c r="K669">
        <f>MAX(Table8[Cumulative 2026])</f>
        <v>3102</v>
      </c>
    </row>
    <row r="670" spans="1:11" hidden="1" x14ac:dyDescent="0.25">
      <c r="A670" s="1">
        <v>45879</v>
      </c>
      <c r="B670">
        <f>SUM(_xlfn.CHOOSEROWS(Table8[[The Golden Compass]:[end]],ROW()-1))</f>
        <v>0</v>
      </c>
      <c r="C670">
        <f>Table8[[#This Row],[Cumulative 2023 Q4]]+Table8[[#This Row],[Cumulative 2024]]+Table8[[#This Row],[Cumulative 2025]]+Table8[[#This Row],[Cumulative 2026]]</f>
        <v>10857</v>
      </c>
      <c r="D670">
        <f>IF(YEAR(Table8[[#This Row],[Date]])=2023,B670,0)+IF(ROW(D669)=1,0,D669)</f>
        <v>4195</v>
      </c>
      <c r="E670">
        <f>MAX(Table8[Cumulative 2023 Q4])</f>
        <v>4195</v>
      </c>
      <c r="F670">
        <f>IF(YEAR(Table8[[#This Row],[Date]])=2024,B670,0)+IF(ROW(F669)=1,0,F669)</f>
        <v>5831</v>
      </c>
      <c r="G670">
        <f>MAX(Table8[Cumulative 2024])</f>
        <v>5831</v>
      </c>
      <c r="H670">
        <f>IF(YEAR(Table8[[#This Row],[Date]])=2025,B670,0)+IF(ROW(H669)=1,0,H669)</f>
        <v>831</v>
      </c>
      <c r="I670">
        <f>MAX(Table8[Cumulative 2025])</f>
        <v>1377</v>
      </c>
      <c r="J670">
        <f>IF(YEAR(Table8[[#This Row],[Date]])=2026,B670,0)+IF(ROW(J669)=1,0,J669)</f>
        <v>0</v>
      </c>
      <c r="K670">
        <f>MAX(Table8[Cumulative 2026])</f>
        <v>3102</v>
      </c>
    </row>
    <row r="671" spans="1:11" hidden="1" x14ac:dyDescent="0.25">
      <c r="A671" s="1">
        <v>45880</v>
      </c>
      <c r="B671">
        <f>SUM(_xlfn.CHOOSEROWS(Table8[[The Golden Compass]:[end]],ROW()-1))</f>
        <v>0</v>
      </c>
      <c r="C671">
        <f>Table8[[#This Row],[Cumulative 2023 Q4]]+Table8[[#This Row],[Cumulative 2024]]+Table8[[#This Row],[Cumulative 2025]]+Table8[[#This Row],[Cumulative 2026]]</f>
        <v>10857</v>
      </c>
      <c r="D671">
        <f>IF(YEAR(Table8[[#This Row],[Date]])=2023,B671,0)+IF(ROW(D670)=1,0,D670)</f>
        <v>4195</v>
      </c>
      <c r="E671">
        <f>MAX(Table8[Cumulative 2023 Q4])</f>
        <v>4195</v>
      </c>
      <c r="F671">
        <f>IF(YEAR(Table8[[#This Row],[Date]])=2024,B671,0)+IF(ROW(F670)=1,0,F670)</f>
        <v>5831</v>
      </c>
      <c r="G671">
        <f>MAX(Table8[Cumulative 2024])</f>
        <v>5831</v>
      </c>
      <c r="H671">
        <f>IF(YEAR(Table8[[#This Row],[Date]])=2025,B671,0)+IF(ROW(H670)=1,0,H670)</f>
        <v>831</v>
      </c>
      <c r="I671">
        <f>MAX(Table8[Cumulative 2025])</f>
        <v>1377</v>
      </c>
      <c r="J671">
        <f>IF(YEAR(Table8[[#This Row],[Date]])=2026,B671,0)+IF(ROW(J670)=1,0,J670)</f>
        <v>0</v>
      </c>
      <c r="K671">
        <f>MAX(Table8[Cumulative 2026])</f>
        <v>3102</v>
      </c>
    </row>
    <row r="672" spans="1:11" hidden="1" x14ac:dyDescent="0.25">
      <c r="A672" s="1">
        <v>45881</v>
      </c>
      <c r="B672">
        <f>SUM(_xlfn.CHOOSEROWS(Table8[[The Golden Compass]:[end]],ROW()-1))</f>
        <v>0</v>
      </c>
      <c r="C672">
        <f>Table8[[#This Row],[Cumulative 2023 Q4]]+Table8[[#This Row],[Cumulative 2024]]+Table8[[#This Row],[Cumulative 2025]]+Table8[[#This Row],[Cumulative 2026]]</f>
        <v>10857</v>
      </c>
      <c r="D672">
        <f>IF(YEAR(Table8[[#This Row],[Date]])=2023,B672,0)+IF(ROW(D671)=1,0,D671)</f>
        <v>4195</v>
      </c>
      <c r="E672">
        <f>MAX(Table8[Cumulative 2023 Q4])</f>
        <v>4195</v>
      </c>
      <c r="F672">
        <f>IF(YEAR(Table8[[#This Row],[Date]])=2024,B672,0)+IF(ROW(F671)=1,0,F671)</f>
        <v>5831</v>
      </c>
      <c r="G672">
        <f>MAX(Table8[Cumulative 2024])</f>
        <v>5831</v>
      </c>
      <c r="H672">
        <f>IF(YEAR(Table8[[#This Row],[Date]])=2025,B672,0)+IF(ROW(H671)=1,0,H671)</f>
        <v>831</v>
      </c>
      <c r="I672">
        <f>MAX(Table8[Cumulative 2025])</f>
        <v>1377</v>
      </c>
      <c r="J672">
        <f>IF(YEAR(Table8[[#This Row],[Date]])=2026,B672,0)+IF(ROW(J671)=1,0,J671)</f>
        <v>0</v>
      </c>
      <c r="K672">
        <f>MAX(Table8[Cumulative 2026])</f>
        <v>3102</v>
      </c>
    </row>
    <row r="673" spans="1:50" hidden="1" x14ac:dyDescent="0.25">
      <c r="A673" s="1">
        <v>45882</v>
      </c>
      <c r="B673">
        <f>SUM(_xlfn.CHOOSEROWS(Table8[[The Golden Compass]:[end]],ROW()-1))</f>
        <v>0</v>
      </c>
      <c r="C673">
        <f>Table8[[#This Row],[Cumulative 2023 Q4]]+Table8[[#This Row],[Cumulative 2024]]+Table8[[#This Row],[Cumulative 2025]]+Table8[[#This Row],[Cumulative 2026]]</f>
        <v>10857</v>
      </c>
      <c r="D673">
        <f>IF(YEAR(Table8[[#This Row],[Date]])=2023,B673,0)+IF(ROW(D672)=1,0,D672)</f>
        <v>4195</v>
      </c>
      <c r="E673">
        <f>MAX(Table8[Cumulative 2023 Q4])</f>
        <v>4195</v>
      </c>
      <c r="F673">
        <f>IF(YEAR(Table8[[#This Row],[Date]])=2024,B673,0)+IF(ROW(F672)=1,0,F672)</f>
        <v>5831</v>
      </c>
      <c r="G673">
        <f>MAX(Table8[Cumulative 2024])</f>
        <v>5831</v>
      </c>
      <c r="H673">
        <f>IF(YEAR(Table8[[#This Row],[Date]])=2025,B673,0)+IF(ROW(H672)=1,0,H672)</f>
        <v>831</v>
      </c>
      <c r="I673">
        <f>MAX(Table8[Cumulative 2025])</f>
        <v>1377</v>
      </c>
      <c r="J673">
        <f>IF(YEAR(Table8[[#This Row],[Date]])=2026,B673,0)+IF(ROW(J672)=1,0,J672)</f>
        <v>0</v>
      </c>
      <c r="K673">
        <f>MAX(Table8[Cumulative 2026])</f>
        <v>3102</v>
      </c>
    </row>
    <row r="674" spans="1:50" hidden="1" x14ac:dyDescent="0.25">
      <c r="A674" s="1">
        <v>45883</v>
      </c>
      <c r="B674">
        <f>SUM(_xlfn.CHOOSEROWS(Table8[[The Golden Compass]:[end]],ROW()-1))</f>
        <v>0</v>
      </c>
      <c r="C674">
        <f>Table8[[#This Row],[Cumulative 2023 Q4]]+Table8[[#This Row],[Cumulative 2024]]+Table8[[#This Row],[Cumulative 2025]]+Table8[[#This Row],[Cumulative 2026]]</f>
        <v>10857</v>
      </c>
      <c r="D674">
        <f>IF(YEAR(Table8[[#This Row],[Date]])=2023,B674,0)+IF(ROW(D673)=1,0,D673)</f>
        <v>4195</v>
      </c>
      <c r="E674">
        <f>MAX(Table8[Cumulative 2023 Q4])</f>
        <v>4195</v>
      </c>
      <c r="F674">
        <f>IF(YEAR(Table8[[#This Row],[Date]])=2024,B674,0)+IF(ROW(F673)=1,0,F673)</f>
        <v>5831</v>
      </c>
      <c r="G674">
        <f>MAX(Table8[Cumulative 2024])</f>
        <v>5831</v>
      </c>
      <c r="H674">
        <f>IF(YEAR(Table8[[#This Row],[Date]])=2025,B674,0)+IF(ROW(H673)=1,0,H673)</f>
        <v>831</v>
      </c>
      <c r="I674">
        <f>MAX(Table8[Cumulative 2025])</f>
        <v>1377</v>
      </c>
      <c r="J674">
        <f>IF(YEAR(Table8[[#This Row],[Date]])=2026,B674,0)+IF(ROW(J673)=1,0,J673)</f>
        <v>0</v>
      </c>
      <c r="K674">
        <f>MAX(Table8[Cumulative 2026])</f>
        <v>3102</v>
      </c>
    </row>
    <row r="675" spans="1:50" hidden="1" x14ac:dyDescent="0.25">
      <c r="A675" s="1">
        <v>45884</v>
      </c>
      <c r="B675">
        <f>SUM(_xlfn.CHOOSEROWS(Table8[[The Golden Compass]:[end]],ROW()-1))</f>
        <v>0</v>
      </c>
      <c r="C675">
        <f>Table8[[#This Row],[Cumulative 2023 Q4]]+Table8[[#This Row],[Cumulative 2024]]+Table8[[#This Row],[Cumulative 2025]]+Table8[[#This Row],[Cumulative 2026]]</f>
        <v>10857</v>
      </c>
      <c r="D675">
        <f>IF(YEAR(Table8[[#This Row],[Date]])=2023,B675,0)+IF(ROW(D674)=1,0,D674)</f>
        <v>4195</v>
      </c>
      <c r="E675">
        <f>MAX(Table8[Cumulative 2023 Q4])</f>
        <v>4195</v>
      </c>
      <c r="F675">
        <f>IF(YEAR(Table8[[#This Row],[Date]])=2024,B675,0)+IF(ROW(F674)=1,0,F674)</f>
        <v>5831</v>
      </c>
      <c r="G675">
        <f>MAX(Table8[Cumulative 2024])</f>
        <v>5831</v>
      </c>
      <c r="H675">
        <f>IF(YEAR(Table8[[#This Row],[Date]])=2025,B675,0)+IF(ROW(H674)=1,0,H674)</f>
        <v>831</v>
      </c>
      <c r="I675">
        <f>MAX(Table8[Cumulative 2025])</f>
        <v>1377</v>
      </c>
      <c r="J675">
        <f>IF(YEAR(Table8[[#This Row],[Date]])=2026,B675,0)+IF(ROW(J674)=1,0,J674)</f>
        <v>0</v>
      </c>
      <c r="K675">
        <f>MAX(Table8[Cumulative 2026])</f>
        <v>3102</v>
      </c>
    </row>
    <row r="676" spans="1:50" hidden="1" x14ac:dyDescent="0.25">
      <c r="A676" s="1">
        <v>45885</v>
      </c>
      <c r="B676">
        <f>SUM(_xlfn.CHOOSEROWS(Table8[[The Golden Compass]:[end]],ROW()-1))</f>
        <v>37</v>
      </c>
      <c r="C676">
        <f>Table8[[#This Row],[Cumulative 2023 Q4]]+Table8[[#This Row],[Cumulative 2024]]+Table8[[#This Row],[Cumulative 2025]]+Table8[[#This Row],[Cumulative 2026]]</f>
        <v>10894</v>
      </c>
      <c r="D676">
        <f>IF(YEAR(Table8[[#This Row],[Date]])=2023,B676,0)+IF(ROW(D675)=1,0,D675)</f>
        <v>4195</v>
      </c>
      <c r="E676">
        <f>MAX(Table8[Cumulative 2023 Q4])</f>
        <v>4195</v>
      </c>
      <c r="F676">
        <f>IF(YEAR(Table8[[#This Row],[Date]])=2024,B676,0)+IF(ROW(F675)=1,0,F675)</f>
        <v>5831</v>
      </c>
      <c r="G676">
        <f>MAX(Table8[Cumulative 2024])</f>
        <v>5831</v>
      </c>
      <c r="H676">
        <f>IF(YEAR(Table8[[#This Row],[Date]])=2025,B676,0)+IF(ROW(H675)=1,0,H675)</f>
        <v>868</v>
      </c>
      <c r="I676">
        <f>MAX(Table8[Cumulative 2025])</f>
        <v>1377</v>
      </c>
      <c r="J676">
        <f>IF(YEAR(Table8[[#This Row],[Date]])=2026,B676,0)+IF(ROW(J675)=1,0,J675)</f>
        <v>0</v>
      </c>
      <c r="K676">
        <f>MAX(Table8[Cumulative 2026])</f>
        <v>3102</v>
      </c>
      <c r="AX676">
        <v>37</v>
      </c>
    </row>
    <row r="677" spans="1:50" hidden="1" x14ac:dyDescent="0.25">
      <c r="A677" s="1">
        <v>45886</v>
      </c>
      <c r="B677">
        <f>SUM(_xlfn.CHOOSEROWS(Table8[[The Golden Compass]:[end]],ROW()-1))</f>
        <v>0</v>
      </c>
      <c r="C677">
        <f>Table8[[#This Row],[Cumulative 2023 Q4]]+Table8[[#This Row],[Cumulative 2024]]+Table8[[#This Row],[Cumulative 2025]]+Table8[[#This Row],[Cumulative 2026]]</f>
        <v>10894</v>
      </c>
      <c r="D677">
        <f>IF(YEAR(Table8[[#This Row],[Date]])=2023,B677,0)+IF(ROW(D676)=1,0,D676)</f>
        <v>4195</v>
      </c>
      <c r="E677">
        <f>MAX(Table8[Cumulative 2023 Q4])</f>
        <v>4195</v>
      </c>
      <c r="F677">
        <f>IF(YEAR(Table8[[#This Row],[Date]])=2024,B677,0)+IF(ROW(F676)=1,0,F676)</f>
        <v>5831</v>
      </c>
      <c r="G677">
        <f>MAX(Table8[Cumulative 2024])</f>
        <v>5831</v>
      </c>
      <c r="H677">
        <f>IF(YEAR(Table8[[#This Row],[Date]])=2025,B677,0)+IF(ROW(H676)=1,0,H676)</f>
        <v>868</v>
      </c>
      <c r="I677">
        <f>MAX(Table8[Cumulative 2025])</f>
        <v>1377</v>
      </c>
      <c r="J677">
        <f>IF(YEAR(Table8[[#This Row],[Date]])=2026,B677,0)+IF(ROW(J676)=1,0,J676)</f>
        <v>0</v>
      </c>
      <c r="K677">
        <f>MAX(Table8[Cumulative 2026])</f>
        <v>3102</v>
      </c>
    </row>
    <row r="678" spans="1:50" hidden="1" x14ac:dyDescent="0.25">
      <c r="A678" s="1">
        <v>45887</v>
      </c>
      <c r="B678">
        <f>SUM(_xlfn.CHOOSEROWS(Table8[[The Golden Compass]:[end]],ROW()-1))</f>
        <v>0</v>
      </c>
      <c r="C678">
        <f>Table8[[#This Row],[Cumulative 2023 Q4]]+Table8[[#This Row],[Cumulative 2024]]+Table8[[#This Row],[Cumulative 2025]]+Table8[[#This Row],[Cumulative 2026]]</f>
        <v>10894</v>
      </c>
      <c r="D678">
        <f>IF(YEAR(Table8[[#This Row],[Date]])=2023,B678,0)+IF(ROW(D677)=1,0,D677)</f>
        <v>4195</v>
      </c>
      <c r="E678">
        <f>MAX(Table8[Cumulative 2023 Q4])</f>
        <v>4195</v>
      </c>
      <c r="F678">
        <f>IF(YEAR(Table8[[#This Row],[Date]])=2024,B678,0)+IF(ROW(F677)=1,0,F677)</f>
        <v>5831</v>
      </c>
      <c r="G678">
        <f>MAX(Table8[Cumulative 2024])</f>
        <v>5831</v>
      </c>
      <c r="H678">
        <f>IF(YEAR(Table8[[#This Row],[Date]])=2025,B678,0)+IF(ROW(H677)=1,0,H677)</f>
        <v>868</v>
      </c>
      <c r="I678">
        <f>MAX(Table8[Cumulative 2025])</f>
        <v>1377</v>
      </c>
      <c r="J678">
        <f>IF(YEAR(Table8[[#This Row],[Date]])=2026,B678,0)+IF(ROW(J677)=1,0,J677)</f>
        <v>0</v>
      </c>
      <c r="K678">
        <f>MAX(Table8[Cumulative 2026])</f>
        <v>3102</v>
      </c>
    </row>
    <row r="679" spans="1:50" hidden="1" x14ac:dyDescent="0.25">
      <c r="A679" s="1">
        <v>45888</v>
      </c>
      <c r="B679">
        <f>SUM(_xlfn.CHOOSEROWS(Table8[[The Golden Compass]:[end]],ROW()-1))</f>
        <v>0</v>
      </c>
      <c r="C679">
        <f>Table8[[#This Row],[Cumulative 2023 Q4]]+Table8[[#This Row],[Cumulative 2024]]+Table8[[#This Row],[Cumulative 2025]]+Table8[[#This Row],[Cumulative 2026]]</f>
        <v>10894</v>
      </c>
      <c r="D679">
        <f>IF(YEAR(Table8[[#This Row],[Date]])=2023,B679,0)+IF(ROW(D678)=1,0,D678)</f>
        <v>4195</v>
      </c>
      <c r="E679">
        <f>MAX(Table8[Cumulative 2023 Q4])</f>
        <v>4195</v>
      </c>
      <c r="F679">
        <f>IF(YEAR(Table8[[#This Row],[Date]])=2024,B679,0)+IF(ROW(F678)=1,0,F678)</f>
        <v>5831</v>
      </c>
      <c r="G679">
        <f>MAX(Table8[Cumulative 2024])</f>
        <v>5831</v>
      </c>
      <c r="H679">
        <f>IF(YEAR(Table8[[#This Row],[Date]])=2025,B679,0)+IF(ROW(H678)=1,0,H678)</f>
        <v>868</v>
      </c>
      <c r="I679">
        <f>MAX(Table8[Cumulative 2025])</f>
        <v>1377</v>
      </c>
      <c r="J679">
        <f>IF(YEAR(Table8[[#This Row],[Date]])=2026,B679,0)+IF(ROW(J678)=1,0,J678)</f>
        <v>0</v>
      </c>
      <c r="K679">
        <f>MAX(Table8[Cumulative 2026])</f>
        <v>3102</v>
      </c>
    </row>
    <row r="680" spans="1:50" hidden="1" x14ac:dyDescent="0.25">
      <c r="A680" s="1">
        <v>45889</v>
      </c>
      <c r="B680">
        <f>SUM(_xlfn.CHOOSEROWS(Table8[[The Golden Compass]:[end]],ROW()-1))</f>
        <v>0</v>
      </c>
      <c r="C680">
        <f>Table8[[#This Row],[Cumulative 2023 Q4]]+Table8[[#This Row],[Cumulative 2024]]+Table8[[#This Row],[Cumulative 2025]]+Table8[[#This Row],[Cumulative 2026]]</f>
        <v>10894</v>
      </c>
      <c r="D680">
        <f>IF(YEAR(Table8[[#This Row],[Date]])=2023,B680,0)+IF(ROW(D679)=1,0,D679)</f>
        <v>4195</v>
      </c>
      <c r="E680">
        <f>MAX(Table8[Cumulative 2023 Q4])</f>
        <v>4195</v>
      </c>
      <c r="F680">
        <f>IF(YEAR(Table8[[#This Row],[Date]])=2024,B680,0)+IF(ROW(F679)=1,0,F679)</f>
        <v>5831</v>
      </c>
      <c r="G680">
        <f>MAX(Table8[Cumulative 2024])</f>
        <v>5831</v>
      </c>
      <c r="H680">
        <f>IF(YEAR(Table8[[#This Row],[Date]])=2025,B680,0)+IF(ROW(H679)=1,0,H679)</f>
        <v>868</v>
      </c>
      <c r="I680">
        <f>MAX(Table8[Cumulative 2025])</f>
        <v>1377</v>
      </c>
      <c r="J680">
        <f>IF(YEAR(Table8[[#This Row],[Date]])=2026,B680,0)+IF(ROW(J679)=1,0,J679)</f>
        <v>0</v>
      </c>
      <c r="K680">
        <f>MAX(Table8[Cumulative 2026])</f>
        <v>3102</v>
      </c>
    </row>
    <row r="681" spans="1:50" hidden="1" x14ac:dyDescent="0.25">
      <c r="A681" s="1">
        <v>45890</v>
      </c>
      <c r="B681">
        <f>SUM(_xlfn.CHOOSEROWS(Table8[[The Golden Compass]:[end]],ROW()-1))</f>
        <v>43</v>
      </c>
      <c r="C681">
        <f>Table8[[#This Row],[Cumulative 2023 Q4]]+Table8[[#This Row],[Cumulative 2024]]+Table8[[#This Row],[Cumulative 2025]]+Table8[[#This Row],[Cumulative 2026]]</f>
        <v>10937</v>
      </c>
      <c r="D681">
        <f>IF(YEAR(Table8[[#This Row],[Date]])=2023,B681,0)+IF(ROW(D680)=1,0,D680)</f>
        <v>4195</v>
      </c>
      <c r="E681">
        <f>MAX(Table8[Cumulative 2023 Q4])</f>
        <v>4195</v>
      </c>
      <c r="F681">
        <f>IF(YEAR(Table8[[#This Row],[Date]])=2024,B681,0)+IF(ROW(F680)=1,0,F680)</f>
        <v>5831</v>
      </c>
      <c r="G681">
        <f>MAX(Table8[Cumulative 2024])</f>
        <v>5831</v>
      </c>
      <c r="H681">
        <f>IF(YEAR(Table8[[#This Row],[Date]])=2025,B681,0)+IF(ROW(H680)=1,0,H680)</f>
        <v>911</v>
      </c>
      <c r="I681">
        <f>MAX(Table8[Cumulative 2025])</f>
        <v>1377</v>
      </c>
      <c r="J681">
        <f>IF(YEAR(Table8[[#This Row],[Date]])=2026,B681,0)+IF(ROW(J680)=1,0,J680)</f>
        <v>0</v>
      </c>
      <c r="K681">
        <f>MAX(Table8[Cumulative 2026])</f>
        <v>3102</v>
      </c>
      <c r="AX681">
        <v>43</v>
      </c>
    </row>
    <row r="682" spans="1:50" hidden="1" x14ac:dyDescent="0.25">
      <c r="A682" s="1">
        <v>45891</v>
      </c>
      <c r="B682">
        <f>SUM(_xlfn.CHOOSEROWS(Table8[[The Golden Compass]:[end]],ROW()-1))</f>
        <v>0</v>
      </c>
      <c r="C682">
        <f>Table8[[#This Row],[Cumulative 2023 Q4]]+Table8[[#This Row],[Cumulative 2024]]+Table8[[#This Row],[Cumulative 2025]]+Table8[[#This Row],[Cumulative 2026]]</f>
        <v>10937</v>
      </c>
      <c r="D682">
        <f>IF(YEAR(Table8[[#This Row],[Date]])=2023,B682,0)+IF(ROW(D681)=1,0,D681)</f>
        <v>4195</v>
      </c>
      <c r="E682">
        <f>MAX(Table8[Cumulative 2023 Q4])</f>
        <v>4195</v>
      </c>
      <c r="F682">
        <f>IF(YEAR(Table8[[#This Row],[Date]])=2024,B682,0)+IF(ROW(F681)=1,0,F681)</f>
        <v>5831</v>
      </c>
      <c r="G682">
        <f>MAX(Table8[Cumulative 2024])</f>
        <v>5831</v>
      </c>
      <c r="H682">
        <f>IF(YEAR(Table8[[#This Row],[Date]])=2025,B682,0)+IF(ROW(H681)=1,0,H681)</f>
        <v>911</v>
      </c>
      <c r="I682">
        <f>MAX(Table8[Cumulative 2025])</f>
        <v>1377</v>
      </c>
      <c r="J682">
        <f>IF(YEAR(Table8[[#This Row],[Date]])=2026,B682,0)+IF(ROW(J681)=1,0,J681)</f>
        <v>0</v>
      </c>
      <c r="K682">
        <f>MAX(Table8[Cumulative 2026])</f>
        <v>3102</v>
      </c>
    </row>
    <row r="683" spans="1:50" hidden="1" x14ac:dyDescent="0.25">
      <c r="A683" s="1">
        <v>45892</v>
      </c>
      <c r="B683">
        <f>SUM(_xlfn.CHOOSEROWS(Table8[[The Golden Compass]:[end]],ROW()-1))</f>
        <v>25</v>
      </c>
      <c r="C683">
        <f>Table8[[#This Row],[Cumulative 2023 Q4]]+Table8[[#This Row],[Cumulative 2024]]+Table8[[#This Row],[Cumulative 2025]]+Table8[[#This Row],[Cumulative 2026]]</f>
        <v>10962</v>
      </c>
      <c r="D683">
        <f>IF(YEAR(Table8[[#This Row],[Date]])=2023,B683,0)+IF(ROW(D682)=1,0,D682)</f>
        <v>4195</v>
      </c>
      <c r="E683">
        <f>MAX(Table8[Cumulative 2023 Q4])</f>
        <v>4195</v>
      </c>
      <c r="F683">
        <f>IF(YEAR(Table8[[#This Row],[Date]])=2024,B683,0)+IF(ROW(F682)=1,0,F682)</f>
        <v>5831</v>
      </c>
      <c r="G683">
        <f>MAX(Table8[Cumulative 2024])</f>
        <v>5831</v>
      </c>
      <c r="H683">
        <f>IF(YEAR(Table8[[#This Row],[Date]])=2025,B683,0)+IF(ROW(H682)=1,0,H682)</f>
        <v>936</v>
      </c>
      <c r="I683">
        <f>MAX(Table8[Cumulative 2025])</f>
        <v>1377</v>
      </c>
      <c r="J683">
        <f>IF(YEAR(Table8[[#This Row],[Date]])=2026,B683,0)+IF(ROW(J682)=1,0,J682)</f>
        <v>0</v>
      </c>
      <c r="K683">
        <f>MAX(Table8[Cumulative 2026])</f>
        <v>3102</v>
      </c>
      <c r="AX683">
        <v>25</v>
      </c>
    </row>
    <row r="684" spans="1:50" hidden="1" x14ac:dyDescent="0.25">
      <c r="A684" s="1">
        <v>45893</v>
      </c>
      <c r="B684">
        <f>SUM(_xlfn.CHOOSEROWS(Table8[[The Golden Compass]:[end]],ROW()-1))</f>
        <v>0</v>
      </c>
      <c r="C684">
        <f>Table8[[#This Row],[Cumulative 2023 Q4]]+Table8[[#This Row],[Cumulative 2024]]+Table8[[#This Row],[Cumulative 2025]]+Table8[[#This Row],[Cumulative 2026]]</f>
        <v>10962</v>
      </c>
      <c r="D684">
        <f>IF(YEAR(Table8[[#This Row],[Date]])=2023,B684,0)+IF(ROW(D683)=1,0,D683)</f>
        <v>4195</v>
      </c>
      <c r="E684">
        <f>MAX(Table8[Cumulative 2023 Q4])</f>
        <v>4195</v>
      </c>
      <c r="F684">
        <f>IF(YEAR(Table8[[#This Row],[Date]])=2024,B684,0)+IF(ROW(F683)=1,0,F683)</f>
        <v>5831</v>
      </c>
      <c r="G684">
        <f>MAX(Table8[Cumulative 2024])</f>
        <v>5831</v>
      </c>
      <c r="H684">
        <f>IF(YEAR(Table8[[#This Row],[Date]])=2025,B684,0)+IF(ROW(H683)=1,0,H683)</f>
        <v>936</v>
      </c>
      <c r="I684">
        <f>MAX(Table8[Cumulative 2025])</f>
        <v>1377</v>
      </c>
      <c r="J684">
        <f>IF(YEAR(Table8[[#This Row],[Date]])=2026,B684,0)+IF(ROW(J683)=1,0,J683)</f>
        <v>0</v>
      </c>
      <c r="K684">
        <f>MAX(Table8[Cumulative 2026])</f>
        <v>3102</v>
      </c>
    </row>
    <row r="685" spans="1:50" hidden="1" x14ac:dyDescent="0.25">
      <c r="A685" s="1">
        <v>45894</v>
      </c>
      <c r="B685">
        <f>SUM(_xlfn.CHOOSEROWS(Table8[[The Golden Compass]:[end]],ROW()-1))</f>
        <v>0</v>
      </c>
      <c r="C685">
        <f>Table8[[#This Row],[Cumulative 2023 Q4]]+Table8[[#This Row],[Cumulative 2024]]+Table8[[#This Row],[Cumulative 2025]]+Table8[[#This Row],[Cumulative 2026]]</f>
        <v>10962</v>
      </c>
      <c r="D685">
        <f>IF(YEAR(Table8[[#This Row],[Date]])=2023,B685,0)+IF(ROW(D684)=1,0,D684)</f>
        <v>4195</v>
      </c>
      <c r="E685">
        <f>MAX(Table8[Cumulative 2023 Q4])</f>
        <v>4195</v>
      </c>
      <c r="F685">
        <f>IF(YEAR(Table8[[#This Row],[Date]])=2024,B685,0)+IF(ROW(F684)=1,0,F684)</f>
        <v>5831</v>
      </c>
      <c r="G685">
        <f>MAX(Table8[Cumulative 2024])</f>
        <v>5831</v>
      </c>
      <c r="H685">
        <f>IF(YEAR(Table8[[#This Row],[Date]])=2025,B685,0)+IF(ROW(H684)=1,0,H684)</f>
        <v>936</v>
      </c>
      <c r="I685">
        <f>MAX(Table8[Cumulative 2025])</f>
        <v>1377</v>
      </c>
      <c r="J685">
        <f>IF(YEAR(Table8[[#This Row],[Date]])=2026,B685,0)+IF(ROW(J684)=1,0,J684)</f>
        <v>0</v>
      </c>
      <c r="K685">
        <f>MAX(Table8[Cumulative 2026])</f>
        <v>3102</v>
      </c>
    </row>
    <row r="686" spans="1:50" hidden="1" x14ac:dyDescent="0.25">
      <c r="A686" s="1">
        <v>45895</v>
      </c>
      <c r="B686">
        <f>SUM(_xlfn.CHOOSEROWS(Table8[[The Golden Compass]:[end]],ROW()-1))</f>
        <v>0</v>
      </c>
      <c r="C686">
        <f>Table8[[#This Row],[Cumulative 2023 Q4]]+Table8[[#This Row],[Cumulative 2024]]+Table8[[#This Row],[Cumulative 2025]]+Table8[[#This Row],[Cumulative 2026]]</f>
        <v>10962</v>
      </c>
      <c r="D686">
        <f>IF(YEAR(Table8[[#This Row],[Date]])=2023,B686,0)+IF(ROW(D685)=1,0,D685)</f>
        <v>4195</v>
      </c>
      <c r="E686">
        <f>MAX(Table8[Cumulative 2023 Q4])</f>
        <v>4195</v>
      </c>
      <c r="F686">
        <f>IF(YEAR(Table8[[#This Row],[Date]])=2024,B686,0)+IF(ROW(F685)=1,0,F685)</f>
        <v>5831</v>
      </c>
      <c r="G686">
        <f>MAX(Table8[Cumulative 2024])</f>
        <v>5831</v>
      </c>
      <c r="H686">
        <f>IF(YEAR(Table8[[#This Row],[Date]])=2025,B686,0)+IF(ROW(H685)=1,0,H685)</f>
        <v>936</v>
      </c>
      <c r="I686">
        <f>MAX(Table8[Cumulative 2025])</f>
        <v>1377</v>
      </c>
      <c r="J686">
        <f>IF(YEAR(Table8[[#This Row],[Date]])=2026,B686,0)+IF(ROW(J685)=1,0,J685)</f>
        <v>0</v>
      </c>
      <c r="K686">
        <f>MAX(Table8[Cumulative 2026])</f>
        <v>3102</v>
      </c>
    </row>
    <row r="687" spans="1:50" hidden="1" x14ac:dyDescent="0.25">
      <c r="A687" s="1">
        <v>45896</v>
      </c>
      <c r="B687">
        <f>SUM(_xlfn.CHOOSEROWS(Table8[[The Golden Compass]:[end]],ROW()-1))</f>
        <v>0</v>
      </c>
      <c r="C687">
        <f>Table8[[#This Row],[Cumulative 2023 Q4]]+Table8[[#This Row],[Cumulative 2024]]+Table8[[#This Row],[Cumulative 2025]]+Table8[[#This Row],[Cumulative 2026]]</f>
        <v>10962</v>
      </c>
      <c r="D687">
        <f>IF(YEAR(Table8[[#This Row],[Date]])=2023,B687,0)+IF(ROW(D686)=1,0,D686)</f>
        <v>4195</v>
      </c>
      <c r="E687">
        <f>MAX(Table8[Cumulative 2023 Q4])</f>
        <v>4195</v>
      </c>
      <c r="F687">
        <f>IF(YEAR(Table8[[#This Row],[Date]])=2024,B687,0)+IF(ROW(F686)=1,0,F686)</f>
        <v>5831</v>
      </c>
      <c r="G687">
        <f>MAX(Table8[Cumulative 2024])</f>
        <v>5831</v>
      </c>
      <c r="H687">
        <f>IF(YEAR(Table8[[#This Row],[Date]])=2025,B687,0)+IF(ROW(H686)=1,0,H686)</f>
        <v>936</v>
      </c>
      <c r="I687">
        <f>MAX(Table8[Cumulative 2025])</f>
        <v>1377</v>
      </c>
      <c r="J687">
        <f>IF(YEAR(Table8[[#This Row],[Date]])=2026,B687,0)+IF(ROW(J686)=1,0,J686)</f>
        <v>0</v>
      </c>
      <c r="K687">
        <f>MAX(Table8[Cumulative 2026])</f>
        <v>3102</v>
      </c>
    </row>
    <row r="688" spans="1:50" hidden="1" x14ac:dyDescent="0.25">
      <c r="A688" s="1">
        <v>45897</v>
      </c>
      <c r="B688">
        <f>SUM(_xlfn.CHOOSEROWS(Table8[[The Golden Compass]:[end]],ROW()-1))</f>
        <v>43</v>
      </c>
      <c r="C688">
        <f>Table8[[#This Row],[Cumulative 2023 Q4]]+Table8[[#This Row],[Cumulative 2024]]+Table8[[#This Row],[Cumulative 2025]]+Table8[[#This Row],[Cumulative 2026]]</f>
        <v>11005</v>
      </c>
      <c r="D688">
        <f>IF(YEAR(Table8[[#This Row],[Date]])=2023,B688,0)+IF(ROW(D687)=1,0,D687)</f>
        <v>4195</v>
      </c>
      <c r="E688">
        <f>MAX(Table8[Cumulative 2023 Q4])</f>
        <v>4195</v>
      </c>
      <c r="F688">
        <f>IF(YEAR(Table8[[#This Row],[Date]])=2024,B688,0)+IF(ROW(F687)=1,0,F687)</f>
        <v>5831</v>
      </c>
      <c r="G688">
        <f>MAX(Table8[Cumulative 2024])</f>
        <v>5831</v>
      </c>
      <c r="H688">
        <f>IF(YEAR(Table8[[#This Row],[Date]])=2025,B688,0)+IF(ROW(H687)=1,0,H687)</f>
        <v>979</v>
      </c>
      <c r="I688">
        <f>MAX(Table8[Cumulative 2025])</f>
        <v>1377</v>
      </c>
      <c r="J688">
        <f>IF(YEAR(Table8[[#This Row],[Date]])=2026,B688,0)+IF(ROW(J687)=1,0,J687)</f>
        <v>0</v>
      </c>
      <c r="K688">
        <f>MAX(Table8[Cumulative 2026])</f>
        <v>3102</v>
      </c>
      <c r="AX688">
        <v>43</v>
      </c>
    </row>
    <row r="689" spans="1:60" hidden="1" x14ac:dyDescent="0.25">
      <c r="A689" s="1">
        <v>45898</v>
      </c>
      <c r="B689">
        <f>SUM(_xlfn.CHOOSEROWS(Table8[[The Golden Compass]:[end]],ROW()-1))</f>
        <v>0</v>
      </c>
      <c r="C689">
        <f>Table8[[#This Row],[Cumulative 2023 Q4]]+Table8[[#This Row],[Cumulative 2024]]+Table8[[#This Row],[Cumulative 2025]]+Table8[[#This Row],[Cumulative 2026]]</f>
        <v>11005</v>
      </c>
      <c r="D689">
        <f>IF(YEAR(Table8[[#This Row],[Date]])=2023,B689,0)+IF(ROW(D688)=1,0,D688)</f>
        <v>4195</v>
      </c>
      <c r="E689">
        <f>MAX(Table8[Cumulative 2023 Q4])</f>
        <v>4195</v>
      </c>
      <c r="F689">
        <f>IF(YEAR(Table8[[#This Row],[Date]])=2024,B689,0)+IF(ROW(F688)=1,0,F688)</f>
        <v>5831</v>
      </c>
      <c r="G689">
        <f>MAX(Table8[Cumulative 2024])</f>
        <v>5831</v>
      </c>
      <c r="H689">
        <f>IF(YEAR(Table8[[#This Row],[Date]])=2025,B689,0)+IF(ROW(H688)=1,0,H688)</f>
        <v>979</v>
      </c>
      <c r="I689">
        <f>MAX(Table8[Cumulative 2025])</f>
        <v>1377</v>
      </c>
      <c r="J689">
        <f>IF(YEAR(Table8[[#This Row],[Date]])=2026,B689,0)+IF(ROW(J688)=1,0,J688)</f>
        <v>0</v>
      </c>
      <c r="K689">
        <f>MAX(Table8[Cumulative 2026])</f>
        <v>3102</v>
      </c>
    </row>
    <row r="690" spans="1:60" hidden="1" x14ac:dyDescent="0.25">
      <c r="A690" s="1">
        <v>45899</v>
      </c>
      <c r="B690">
        <f>SUM(_xlfn.CHOOSEROWS(Table8[[The Golden Compass]:[end]],ROW()-1))</f>
        <v>30</v>
      </c>
      <c r="C690">
        <f>Table8[[#This Row],[Cumulative 2023 Q4]]+Table8[[#This Row],[Cumulative 2024]]+Table8[[#This Row],[Cumulative 2025]]+Table8[[#This Row],[Cumulative 2026]]</f>
        <v>11035</v>
      </c>
      <c r="D690">
        <f>IF(YEAR(Table8[[#This Row],[Date]])=2023,B690,0)+IF(ROW(D689)=1,0,D689)</f>
        <v>4195</v>
      </c>
      <c r="E690">
        <f>MAX(Table8[Cumulative 2023 Q4])</f>
        <v>4195</v>
      </c>
      <c r="F690">
        <f>IF(YEAR(Table8[[#This Row],[Date]])=2024,B690,0)+IF(ROW(F689)=1,0,F689)</f>
        <v>5831</v>
      </c>
      <c r="G690">
        <f>MAX(Table8[Cumulative 2024])</f>
        <v>5831</v>
      </c>
      <c r="H690">
        <f>IF(YEAR(Table8[[#This Row],[Date]])=2025,B690,0)+IF(ROW(H689)=1,0,H689)</f>
        <v>1009</v>
      </c>
      <c r="I690">
        <f>MAX(Table8[Cumulative 2025])</f>
        <v>1377</v>
      </c>
      <c r="J690">
        <f>IF(YEAR(Table8[[#This Row],[Date]])=2026,B690,0)+IF(ROW(J689)=1,0,J689)</f>
        <v>0</v>
      </c>
      <c r="K690">
        <f>MAX(Table8[Cumulative 2026])</f>
        <v>3102</v>
      </c>
      <c r="AX690">
        <v>30</v>
      </c>
    </row>
    <row r="691" spans="1:60" x14ac:dyDescent="0.25">
      <c r="A691" s="1">
        <v>45900</v>
      </c>
      <c r="B691">
        <f>SUM(_xlfn.CHOOSEROWS(Table8[[The Golden Compass]:[end]],ROW()-1))</f>
        <v>125</v>
      </c>
      <c r="C691">
        <f>Table8[[#This Row],[Cumulative 2023 Q4]]+Table8[[#This Row],[Cumulative 2024]]+Table8[[#This Row],[Cumulative 2025]]+Table8[[#This Row],[Cumulative 2026]]</f>
        <v>11160</v>
      </c>
      <c r="D691">
        <f>IF(YEAR(Table8[[#This Row],[Date]])=2023,B691,0)+IF(ROW(D690)=1,0,D690)</f>
        <v>4195</v>
      </c>
      <c r="E691">
        <f>MAX(Table8[Cumulative 2023 Q4])</f>
        <v>4195</v>
      </c>
      <c r="F691">
        <f>IF(YEAR(Table8[[#This Row],[Date]])=2024,B691,0)+IF(ROW(F690)=1,0,F690)</f>
        <v>5831</v>
      </c>
      <c r="G691">
        <f>MAX(Table8[Cumulative 2024])</f>
        <v>5831</v>
      </c>
      <c r="H691">
        <f>IF(YEAR(Table8[[#This Row],[Date]])=2025,B691,0)+IF(ROW(H690)=1,0,H690)</f>
        <v>1134</v>
      </c>
      <c r="I691">
        <f>MAX(Table8[Cumulative 2025])</f>
        <v>1377</v>
      </c>
      <c r="J691">
        <f>IF(YEAR(Table8[[#This Row],[Date]])=2026,B691,0)+IF(ROW(J690)=1,0,J690)</f>
        <v>0</v>
      </c>
      <c r="K691">
        <f>MAX(Table8[Cumulative 2026])</f>
        <v>3102</v>
      </c>
      <c r="AX691">
        <v>69</v>
      </c>
      <c r="BH691">
        <v>56</v>
      </c>
    </row>
    <row r="692" spans="1:60" hidden="1" x14ac:dyDescent="0.25">
      <c r="A692" s="1">
        <v>45901</v>
      </c>
      <c r="B692">
        <f>SUM(_xlfn.CHOOSEROWS(Table8[[The Golden Compass]:[end]],ROW()-1))</f>
        <v>0</v>
      </c>
      <c r="C692">
        <f>Table8[[#This Row],[Cumulative 2023 Q4]]+Table8[[#This Row],[Cumulative 2024]]+Table8[[#This Row],[Cumulative 2025]]+Table8[[#This Row],[Cumulative 2026]]</f>
        <v>11160</v>
      </c>
      <c r="D692">
        <f>IF(YEAR(Table8[[#This Row],[Date]])=2023,B692,0)+IF(ROW(D691)=1,0,D691)</f>
        <v>4195</v>
      </c>
      <c r="E692">
        <f>MAX(Table8[Cumulative 2023 Q4])</f>
        <v>4195</v>
      </c>
      <c r="F692">
        <f>IF(YEAR(Table8[[#This Row],[Date]])=2024,B692,0)+IF(ROW(F691)=1,0,F691)</f>
        <v>5831</v>
      </c>
      <c r="G692">
        <f>MAX(Table8[Cumulative 2024])</f>
        <v>5831</v>
      </c>
      <c r="H692">
        <f>IF(YEAR(Table8[[#This Row],[Date]])=2025,B692,0)+IF(ROW(H691)=1,0,H691)</f>
        <v>1134</v>
      </c>
      <c r="I692">
        <f>MAX(Table8[Cumulative 2025])</f>
        <v>1377</v>
      </c>
      <c r="J692">
        <f>IF(YEAR(Table8[[#This Row],[Date]])=2026,B692,0)+IF(ROW(J691)=1,0,J691)</f>
        <v>0</v>
      </c>
      <c r="K692">
        <f>MAX(Table8[Cumulative 2026])</f>
        <v>3102</v>
      </c>
    </row>
    <row r="693" spans="1:60" hidden="1" x14ac:dyDescent="0.25">
      <c r="A693" s="1">
        <v>45902</v>
      </c>
      <c r="B693">
        <f>SUM(_xlfn.CHOOSEROWS(Table8[[The Golden Compass]:[end]],ROW()-1))</f>
        <v>0</v>
      </c>
      <c r="C693">
        <f>Table8[[#This Row],[Cumulative 2023 Q4]]+Table8[[#This Row],[Cumulative 2024]]+Table8[[#This Row],[Cumulative 2025]]+Table8[[#This Row],[Cumulative 2026]]</f>
        <v>11160</v>
      </c>
      <c r="D693">
        <f>IF(YEAR(Table8[[#This Row],[Date]])=2023,B693,0)+IF(ROW(D692)=1,0,D692)</f>
        <v>4195</v>
      </c>
      <c r="E693">
        <f>MAX(Table8[Cumulative 2023 Q4])</f>
        <v>4195</v>
      </c>
      <c r="F693">
        <f>IF(YEAR(Table8[[#This Row],[Date]])=2024,B693,0)+IF(ROW(F692)=1,0,F692)</f>
        <v>5831</v>
      </c>
      <c r="G693">
        <f>MAX(Table8[Cumulative 2024])</f>
        <v>5831</v>
      </c>
      <c r="H693">
        <f>IF(YEAR(Table8[[#This Row],[Date]])=2025,B693,0)+IF(ROW(H692)=1,0,H692)</f>
        <v>1134</v>
      </c>
      <c r="I693">
        <f>MAX(Table8[Cumulative 2025])</f>
        <v>1377</v>
      </c>
      <c r="J693">
        <f>IF(YEAR(Table8[[#This Row],[Date]])=2026,B693,0)+IF(ROW(J692)=1,0,J692)</f>
        <v>0</v>
      </c>
      <c r="K693">
        <f>MAX(Table8[Cumulative 2026])</f>
        <v>3102</v>
      </c>
    </row>
    <row r="694" spans="1:60" hidden="1" x14ac:dyDescent="0.25">
      <c r="A694" s="1">
        <v>45903</v>
      </c>
      <c r="B694">
        <f>SUM(_xlfn.CHOOSEROWS(Table8[[The Golden Compass]:[end]],ROW()-1))</f>
        <v>0</v>
      </c>
      <c r="C694">
        <f>Table8[[#This Row],[Cumulative 2023 Q4]]+Table8[[#This Row],[Cumulative 2024]]+Table8[[#This Row],[Cumulative 2025]]+Table8[[#This Row],[Cumulative 2026]]</f>
        <v>11160</v>
      </c>
      <c r="D694">
        <f>IF(YEAR(Table8[[#This Row],[Date]])=2023,B694,0)+IF(ROW(D693)=1,0,D693)</f>
        <v>4195</v>
      </c>
      <c r="E694">
        <f>MAX(Table8[Cumulative 2023 Q4])</f>
        <v>4195</v>
      </c>
      <c r="F694">
        <f>IF(YEAR(Table8[[#This Row],[Date]])=2024,B694,0)+IF(ROW(F693)=1,0,F693)</f>
        <v>5831</v>
      </c>
      <c r="G694">
        <f>MAX(Table8[Cumulative 2024])</f>
        <v>5831</v>
      </c>
      <c r="H694">
        <f>IF(YEAR(Table8[[#This Row],[Date]])=2025,B694,0)+IF(ROW(H693)=1,0,H693)</f>
        <v>1134</v>
      </c>
      <c r="I694">
        <f>MAX(Table8[Cumulative 2025])</f>
        <v>1377</v>
      </c>
      <c r="J694">
        <f>IF(YEAR(Table8[[#This Row],[Date]])=2026,B694,0)+IF(ROW(J693)=1,0,J693)</f>
        <v>0</v>
      </c>
      <c r="K694">
        <f>MAX(Table8[Cumulative 2026])</f>
        <v>3102</v>
      </c>
    </row>
    <row r="695" spans="1:60" hidden="1" x14ac:dyDescent="0.25">
      <c r="A695" s="1">
        <v>45904</v>
      </c>
      <c r="B695">
        <f>SUM(_xlfn.CHOOSEROWS(Table8[[The Golden Compass]:[end]],ROW()-1))</f>
        <v>0</v>
      </c>
      <c r="C695">
        <f>Table8[[#This Row],[Cumulative 2023 Q4]]+Table8[[#This Row],[Cumulative 2024]]+Table8[[#This Row],[Cumulative 2025]]+Table8[[#This Row],[Cumulative 2026]]</f>
        <v>11160</v>
      </c>
      <c r="D695">
        <f>IF(YEAR(Table8[[#This Row],[Date]])=2023,B695,0)+IF(ROW(D694)=1,0,D694)</f>
        <v>4195</v>
      </c>
      <c r="E695">
        <f>MAX(Table8[Cumulative 2023 Q4])</f>
        <v>4195</v>
      </c>
      <c r="F695">
        <f>IF(YEAR(Table8[[#This Row],[Date]])=2024,B695,0)+IF(ROW(F694)=1,0,F694)</f>
        <v>5831</v>
      </c>
      <c r="G695">
        <f>MAX(Table8[Cumulative 2024])</f>
        <v>5831</v>
      </c>
      <c r="H695">
        <f>IF(YEAR(Table8[[#This Row],[Date]])=2025,B695,0)+IF(ROW(H694)=1,0,H694)</f>
        <v>1134</v>
      </c>
      <c r="I695">
        <f>MAX(Table8[Cumulative 2025])</f>
        <v>1377</v>
      </c>
      <c r="J695">
        <f>IF(YEAR(Table8[[#This Row],[Date]])=2026,B695,0)+IF(ROW(J694)=1,0,J694)</f>
        <v>0</v>
      </c>
      <c r="K695">
        <f>MAX(Table8[Cumulative 2026])</f>
        <v>3102</v>
      </c>
    </row>
    <row r="696" spans="1:60" hidden="1" x14ac:dyDescent="0.25">
      <c r="A696" s="1">
        <v>45905</v>
      </c>
      <c r="B696">
        <f>SUM(_xlfn.CHOOSEROWS(Table8[[The Golden Compass]:[end]],ROW()-1))</f>
        <v>0</v>
      </c>
      <c r="C696">
        <f>Table8[[#This Row],[Cumulative 2023 Q4]]+Table8[[#This Row],[Cumulative 2024]]+Table8[[#This Row],[Cumulative 2025]]+Table8[[#This Row],[Cumulative 2026]]</f>
        <v>11160</v>
      </c>
      <c r="D696">
        <f>IF(YEAR(Table8[[#This Row],[Date]])=2023,B696,0)+IF(ROW(D695)=1,0,D695)</f>
        <v>4195</v>
      </c>
      <c r="E696">
        <f>MAX(Table8[Cumulative 2023 Q4])</f>
        <v>4195</v>
      </c>
      <c r="F696">
        <f>IF(YEAR(Table8[[#This Row],[Date]])=2024,B696,0)+IF(ROW(F695)=1,0,F695)</f>
        <v>5831</v>
      </c>
      <c r="G696">
        <f>MAX(Table8[Cumulative 2024])</f>
        <v>5831</v>
      </c>
      <c r="H696">
        <f>IF(YEAR(Table8[[#This Row],[Date]])=2025,B696,0)+IF(ROW(H695)=1,0,H695)</f>
        <v>1134</v>
      </c>
      <c r="I696">
        <f>MAX(Table8[Cumulative 2025])</f>
        <v>1377</v>
      </c>
      <c r="J696">
        <f>IF(YEAR(Table8[[#This Row],[Date]])=2026,B696,0)+IF(ROW(J695)=1,0,J695)</f>
        <v>0</v>
      </c>
      <c r="K696">
        <f>MAX(Table8[Cumulative 2026])</f>
        <v>3102</v>
      </c>
    </row>
    <row r="697" spans="1:60" hidden="1" x14ac:dyDescent="0.25">
      <c r="A697" s="1">
        <v>45906</v>
      </c>
      <c r="B697">
        <f>SUM(_xlfn.CHOOSEROWS(Table8[[The Golden Compass]:[end]],ROW()-1))</f>
        <v>0</v>
      </c>
      <c r="C697">
        <f>Table8[[#This Row],[Cumulative 2023 Q4]]+Table8[[#This Row],[Cumulative 2024]]+Table8[[#This Row],[Cumulative 2025]]+Table8[[#This Row],[Cumulative 2026]]</f>
        <v>11160</v>
      </c>
      <c r="D697">
        <f>IF(YEAR(Table8[[#This Row],[Date]])=2023,B697,0)+IF(ROW(D696)=1,0,D696)</f>
        <v>4195</v>
      </c>
      <c r="E697">
        <f>MAX(Table8[Cumulative 2023 Q4])</f>
        <v>4195</v>
      </c>
      <c r="F697">
        <f>IF(YEAR(Table8[[#This Row],[Date]])=2024,B697,0)+IF(ROW(F696)=1,0,F696)</f>
        <v>5831</v>
      </c>
      <c r="G697">
        <f>MAX(Table8[Cumulative 2024])</f>
        <v>5831</v>
      </c>
      <c r="H697">
        <f>IF(YEAR(Table8[[#This Row],[Date]])=2025,B697,0)+IF(ROW(H696)=1,0,H696)</f>
        <v>1134</v>
      </c>
      <c r="I697">
        <f>MAX(Table8[Cumulative 2025])</f>
        <v>1377</v>
      </c>
      <c r="J697">
        <f>IF(YEAR(Table8[[#This Row],[Date]])=2026,B697,0)+IF(ROW(J696)=1,0,J696)</f>
        <v>0</v>
      </c>
      <c r="K697">
        <f>MAX(Table8[Cumulative 2026])</f>
        <v>3102</v>
      </c>
    </row>
    <row r="698" spans="1:60" hidden="1" x14ac:dyDescent="0.25">
      <c r="A698" s="1">
        <v>45907</v>
      </c>
      <c r="B698">
        <f>SUM(_xlfn.CHOOSEROWS(Table8[[The Golden Compass]:[end]],ROW()-1))</f>
        <v>0</v>
      </c>
      <c r="C698">
        <f>Table8[[#This Row],[Cumulative 2023 Q4]]+Table8[[#This Row],[Cumulative 2024]]+Table8[[#This Row],[Cumulative 2025]]+Table8[[#This Row],[Cumulative 2026]]</f>
        <v>11160</v>
      </c>
      <c r="D698">
        <f>IF(YEAR(Table8[[#This Row],[Date]])=2023,B698,0)+IF(ROW(D697)=1,0,D697)</f>
        <v>4195</v>
      </c>
      <c r="E698">
        <f>MAX(Table8[Cumulative 2023 Q4])</f>
        <v>4195</v>
      </c>
      <c r="F698">
        <f>IF(YEAR(Table8[[#This Row],[Date]])=2024,B698,0)+IF(ROW(F697)=1,0,F697)</f>
        <v>5831</v>
      </c>
      <c r="G698">
        <f>MAX(Table8[Cumulative 2024])</f>
        <v>5831</v>
      </c>
      <c r="H698">
        <f>IF(YEAR(Table8[[#This Row],[Date]])=2025,B698,0)+IF(ROW(H697)=1,0,H697)</f>
        <v>1134</v>
      </c>
      <c r="I698">
        <f>MAX(Table8[Cumulative 2025])</f>
        <v>1377</v>
      </c>
      <c r="J698">
        <f>IF(YEAR(Table8[[#This Row],[Date]])=2026,B698,0)+IF(ROW(J697)=1,0,J697)</f>
        <v>0</v>
      </c>
      <c r="K698">
        <f>MAX(Table8[Cumulative 2026])</f>
        <v>3102</v>
      </c>
    </row>
    <row r="699" spans="1:60" hidden="1" x14ac:dyDescent="0.25">
      <c r="A699" s="1">
        <v>45908</v>
      </c>
      <c r="B699">
        <f>SUM(_xlfn.CHOOSEROWS(Table8[[The Golden Compass]:[end]],ROW()-1))</f>
        <v>0</v>
      </c>
      <c r="C699">
        <f>Table8[[#This Row],[Cumulative 2023 Q4]]+Table8[[#This Row],[Cumulative 2024]]+Table8[[#This Row],[Cumulative 2025]]+Table8[[#This Row],[Cumulative 2026]]</f>
        <v>11160</v>
      </c>
      <c r="D699">
        <f>IF(YEAR(Table8[[#This Row],[Date]])=2023,B699,0)+IF(ROW(D698)=1,0,D698)</f>
        <v>4195</v>
      </c>
      <c r="E699">
        <f>MAX(Table8[Cumulative 2023 Q4])</f>
        <v>4195</v>
      </c>
      <c r="F699">
        <f>IF(YEAR(Table8[[#This Row],[Date]])=2024,B699,0)+IF(ROW(F698)=1,0,F698)</f>
        <v>5831</v>
      </c>
      <c r="G699">
        <f>MAX(Table8[Cumulative 2024])</f>
        <v>5831</v>
      </c>
      <c r="H699">
        <f>IF(YEAR(Table8[[#This Row],[Date]])=2025,B699,0)+IF(ROW(H698)=1,0,H698)</f>
        <v>1134</v>
      </c>
      <c r="I699">
        <f>MAX(Table8[Cumulative 2025])</f>
        <v>1377</v>
      </c>
      <c r="J699">
        <f>IF(YEAR(Table8[[#This Row],[Date]])=2026,B699,0)+IF(ROW(J698)=1,0,J698)</f>
        <v>0</v>
      </c>
      <c r="K699">
        <f>MAX(Table8[Cumulative 2026])</f>
        <v>3102</v>
      </c>
    </row>
    <row r="700" spans="1:60" hidden="1" x14ac:dyDescent="0.25">
      <c r="A700" s="1">
        <v>45909</v>
      </c>
      <c r="B700">
        <f>SUM(_xlfn.CHOOSEROWS(Table8[[The Golden Compass]:[end]],ROW()-1))</f>
        <v>0</v>
      </c>
      <c r="C700">
        <f>Table8[[#This Row],[Cumulative 2023 Q4]]+Table8[[#This Row],[Cumulative 2024]]+Table8[[#This Row],[Cumulative 2025]]+Table8[[#This Row],[Cumulative 2026]]</f>
        <v>11160</v>
      </c>
      <c r="D700">
        <f>IF(YEAR(Table8[[#This Row],[Date]])=2023,B700,0)+IF(ROW(D699)=1,0,D699)</f>
        <v>4195</v>
      </c>
      <c r="E700">
        <f>MAX(Table8[Cumulative 2023 Q4])</f>
        <v>4195</v>
      </c>
      <c r="F700">
        <f>IF(YEAR(Table8[[#This Row],[Date]])=2024,B700,0)+IF(ROW(F699)=1,0,F699)</f>
        <v>5831</v>
      </c>
      <c r="G700">
        <f>MAX(Table8[Cumulative 2024])</f>
        <v>5831</v>
      </c>
      <c r="H700">
        <f>IF(YEAR(Table8[[#This Row],[Date]])=2025,B700,0)+IF(ROW(H699)=1,0,H699)</f>
        <v>1134</v>
      </c>
      <c r="I700">
        <f>MAX(Table8[Cumulative 2025])</f>
        <v>1377</v>
      </c>
      <c r="J700">
        <f>IF(YEAR(Table8[[#This Row],[Date]])=2026,B700,0)+IF(ROW(J699)=1,0,J699)</f>
        <v>0</v>
      </c>
      <c r="K700">
        <f>MAX(Table8[Cumulative 2026])</f>
        <v>3102</v>
      </c>
    </row>
    <row r="701" spans="1:60" hidden="1" x14ac:dyDescent="0.25">
      <c r="A701" s="1">
        <v>45910</v>
      </c>
      <c r="B701">
        <f>SUM(_xlfn.CHOOSEROWS(Table8[[The Golden Compass]:[end]],ROW()-1))</f>
        <v>0</v>
      </c>
      <c r="C701">
        <f>Table8[[#This Row],[Cumulative 2023 Q4]]+Table8[[#This Row],[Cumulative 2024]]+Table8[[#This Row],[Cumulative 2025]]+Table8[[#This Row],[Cumulative 2026]]</f>
        <v>11160</v>
      </c>
      <c r="D701">
        <f>IF(YEAR(Table8[[#This Row],[Date]])=2023,B701,0)+IF(ROW(D700)=1,0,D700)</f>
        <v>4195</v>
      </c>
      <c r="E701">
        <f>MAX(Table8[Cumulative 2023 Q4])</f>
        <v>4195</v>
      </c>
      <c r="F701">
        <f>IF(YEAR(Table8[[#This Row],[Date]])=2024,B701,0)+IF(ROW(F700)=1,0,F700)</f>
        <v>5831</v>
      </c>
      <c r="G701">
        <f>MAX(Table8[Cumulative 2024])</f>
        <v>5831</v>
      </c>
      <c r="H701">
        <f>IF(YEAR(Table8[[#This Row],[Date]])=2025,B701,0)+IF(ROW(H700)=1,0,H700)</f>
        <v>1134</v>
      </c>
      <c r="I701">
        <f>MAX(Table8[Cumulative 2025])</f>
        <v>1377</v>
      </c>
      <c r="J701">
        <f>IF(YEAR(Table8[[#This Row],[Date]])=2026,B701,0)+IF(ROW(J700)=1,0,J700)</f>
        <v>0</v>
      </c>
      <c r="K701">
        <f>MAX(Table8[Cumulative 2026])</f>
        <v>3102</v>
      </c>
    </row>
    <row r="702" spans="1:60" hidden="1" x14ac:dyDescent="0.25">
      <c r="A702" s="1">
        <v>45911</v>
      </c>
      <c r="B702">
        <f>SUM(_xlfn.CHOOSEROWS(Table8[[The Golden Compass]:[end]],ROW()-1))</f>
        <v>0</v>
      </c>
      <c r="C702">
        <f>Table8[[#This Row],[Cumulative 2023 Q4]]+Table8[[#This Row],[Cumulative 2024]]+Table8[[#This Row],[Cumulative 2025]]+Table8[[#This Row],[Cumulative 2026]]</f>
        <v>11160</v>
      </c>
      <c r="D702">
        <f>IF(YEAR(Table8[[#This Row],[Date]])=2023,B702,0)+IF(ROW(D701)=1,0,D701)</f>
        <v>4195</v>
      </c>
      <c r="E702">
        <f>MAX(Table8[Cumulative 2023 Q4])</f>
        <v>4195</v>
      </c>
      <c r="F702">
        <f>IF(YEAR(Table8[[#This Row],[Date]])=2024,B702,0)+IF(ROW(F701)=1,0,F701)</f>
        <v>5831</v>
      </c>
      <c r="G702">
        <f>MAX(Table8[Cumulative 2024])</f>
        <v>5831</v>
      </c>
      <c r="H702">
        <f>IF(YEAR(Table8[[#This Row],[Date]])=2025,B702,0)+IF(ROW(H701)=1,0,H701)</f>
        <v>1134</v>
      </c>
      <c r="I702">
        <f>MAX(Table8[Cumulative 2025])</f>
        <v>1377</v>
      </c>
      <c r="J702">
        <f>IF(YEAR(Table8[[#This Row],[Date]])=2026,B702,0)+IF(ROW(J701)=1,0,J701)</f>
        <v>0</v>
      </c>
      <c r="K702">
        <f>MAX(Table8[Cumulative 2026])</f>
        <v>3102</v>
      </c>
    </row>
    <row r="703" spans="1:60" hidden="1" x14ac:dyDescent="0.25">
      <c r="A703" s="1">
        <v>45912</v>
      </c>
      <c r="B703">
        <f>SUM(_xlfn.CHOOSEROWS(Table8[[The Golden Compass]:[end]],ROW()-1))</f>
        <v>0</v>
      </c>
      <c r="C703">
        <f>Table8[[#This Row],[Cumulative 2023 Q4]]+Table8[[#This Row],[Cumulative 2024]]+Table8[[#This Row],[Cumulative 2025]]+Table8[[#This Row],[Cumulative 2026]]</f>
        <v>11160</v>
      </c>
      <c r="D703">
        <f>IF(YEAR(Table8[[#This Row],[Date]])=2023,B703,0)+IF(ROW(D702)=1,0,D702)</f>
        <v>4195</v>
      </c>
      <c r="E703">
        <f>MAX(Table8[Cumulative 2023 Q4])</f>
        <v>4195</v>
      </c>
      <c r="F703">
        <f>IF(YEAR(Table8[[#This Row],[Date]])=2024,B703,0)+IF(ROW(F702)=1,0,F702)</f>
        <v>5831</v>
      </c>
      <c r="G703">
        <f>MAX(Table8[Cumulative 2024])</f>
        <v>5831</v>
      </c>
      <c r="H703">
        <f>IF(YEAR(Table8[[#This Row],[Date]])=2025,B703,0)+IF(ROW(H702)=1,0,H702)</f>
        <v>1134</v>
      </c>
      <c r="I703">
        <f>MAX(Table8[Cumulative 2025])</f>
        <v>1377</v>
      </c>
      <c r="J703">
        <f>IF(YEAR(Table8[[#This Row],[Date]])=2026,B703,0)+IF(ROW(J702)=1,0,J702)</f>
        <v>0</v>
      </c>
      <c r="K703">
        <f>MAX(Table8[Cumulative 2026])</f>
        <v>3102</v>
      </c>
    </row>
    <row r="704" spans="1:60" hidden="1" x14ac:dyDescent="0.25">
      <c r="A704" s="1">
        <v>45913</v>
      </c>
      <c r="B704">
        <f>SUM(_xlfn.CHOOSEROWS(Table8[[The Golden Compass]:[end]],ROW()-1))</f>
        <v>0</v>
      </c>
      <c r="C704">
        <f>Table8[[#This Row],[Cumulative 2023 Q4]]+Table8[[#This Row],[Cumulative 2024]]+Table8[[#This Row],[Cumulative 2025]]+Table8[[#This Row],[Cumulative 2026]]</f>
        <v>11160</v>
      </c>
      <c r="D704">
        <f>IF(YEAR(Table8[[#This Row],[Date]])=2023,B704,0)+IF(ROW(D703)=1,0,D703)</f>
        <v>4195</v>
      </c>
      <c r="E704">
        <f>MAX(Table8[Cumulative 2023 Q4])</f>
        <v>4195</v>
      </c>
      <c r="F704">
        <f>IF(YEAR(Table8[[#This Row],[Date]])=2024,B704,0)+IF(ROW(F703)=1,0,F703)</f>
        <v>5831</v>
      </c>
      <c r="G704">
        <f>MAX(Table8[Cumulative 2024])</f>
        <v>5831</v>
      </c>
      <c r="H704">
        <f>IF(YEAR(Table8[[#This Row],[Date]])=2025,B704,0)+IF(ROW(H703)=1,0,H703)</f>
        <v>1134</v>
      </c>
      <c r="I704">
        <f>MAX(Table8[Cumulative 2025])</f>
        <v>1377</v>
      </c>
      <c r="J704">
        <f>IF(YEAR(Table8[[#This Row],[Date]])=2026,B704,0)+IF(ROW(J703)=1,0,J703)</f>
        <v>0</v>
      </c>
      <c r="K704">
        <f>MAX(Table8[Cumulative 2026])</f>
        <v>3102</v>
      </c>
    </row>
    <row r="705" spans="1:51" hidden="1" x14ac:dyDescent="0.25">
      <c r="A705" s="1">
        <v>45914</v>
      </c>
      <c r="B705">
        <f>SUM(_xlfn.CHOOSEROWS(Table8[[The Golden Compass]:[end]],ROW()-1))</f>
        <v>0</v>
      </c>
      <c r="C705">
        <f>Table8[[#This Row],[Cumulative 2023 Q4]]+Table8[[#This Row],[Cumulative 2024]]+Table8[[#This Row],[Cumulative 2025]]+Table8[[#This Row],[Cumulative 2026]]</f>
        <v>11160</v>
      </c>
      <c r="D705">
        <f>IF(YEAR(Table8[[#This Row],[Date]])=2023,B705,0)+IF(ROW(D704)=1,0,D704)</f>
        <v>4195</v>
      </c>
      <c r="E705">
        <f>MAX(Table8[Cumulative 2023 Q4])</f>
        <v>4195</v>
      </c>
      <c r="F705">
        <f>IF(YEAR(Table8[[#This Row],[Date]])=2024,B705,0)+IF(ROW(F704)=1,0,F704)</f>
        <v>5831</v>
      </c>
      <c r="G705">
        <f>MAX(Table8[Cumulative 2024])</f>
        <v>5831</v>
      </c>
      <c r="H705">
        <f>IF(YEAR(Table8[[#This Row],[Date]])=2025,B705,0)+IF(ROW(H704)=1,0,H704)</f>
        <v>1134</v>
      </c>
      <c r="I705">
        <f>MAX(Table8[Cumulative 2025])</f>
        <v>1377</v>
      </c>
      <c r="J705">
        <f>IF(YEAR(Table8[[#This Row],[Date]])=2026,B705,0)+IF(ROW(J704)=1,0,J704)</f>
        <v>0</v>
      </c>
      <c r="K705">
        <f>MAX(Table8[Cumulative 2026])</f>
        <v>3102</v>
      </c>
    </row>
    <row r="706" spans="1:51" hidden="1" x14ac:dyDescent="0.25">
      <c r="A706" s="1">
        <v>45915</v>
      </c>
      <c r="B706">
        <f>SUM(_xlfn.CHOOSEROWS(Table8[[The Golden Compass]:[end]],ROW()-1))</f>
        <v>0</v>
      </c>
      <c r="C706">
        <f>Table8[[#This Row],[Cumulative 2023 Q4]]+Table8[[#This Row],[Cumulative 2024]]+Table8[[#This Row],[Cumulative 2025]]+Table8[[#This Row],[Cumulative 2026]]</f>
        <v>11160</v>
      </c>
      <c r="D706">
        <f>IF(YEAR(Table8[[#This Row],[Date]])=2023,B706,0)+IF(ROW(D705)=1,0,D705)</f>
        <v>4195</v>
      </c>
      <c r="E706">
        <f>MAX(Table8[Cumulative 2023 Q4])</f>
        <v>4195</v>
      </c>
      <c r="F706">
        <f>IF(YEAR(Table8[[#This Row],[Date]])=2024,B706,0)+IF(ROW(F705)=1,0,F705)</f>
        <v>5831</v>
      </c>
      <c r="G706">
        <f>MAX(Table8[Cumulative 2024])</f>
        <v>5831</v>
      </c>
      <c r="H706">
        <f>IF(YEAR(Table8[[#This Row],[Date]])=2025,B706,0)+IF(ROW(H705)=1,0,H705)</f>
        <v>1134</v>
      </c>
      <c r="I706">
        <f>MAX(Table8[Cumulative 2025])</f>
        <v>1377</v>
      </c>
      <c r="J706">
        <f>IF(YEAR(Table8[[#This Row],[Date]])=2026,B706,0)+IF(ROW(J705)=1,0,J705)</f>
        <v>0</v>
      </c>
      <c r="K706">
        <f>MAX(Table8[Cumulative 2026])</f>
        <v>3102</v>
      </c>
    </row>
    <row r="707" spans="1:51" hidden="1" x14ac:dyDescent="0.25">
      <c r="A707" s="1">
        <v>45916</v>
      </c>
      <c r="B707">
        <f>SUM(_xlfn.CHOOSEROWS(Table8[[The Golden Compass]:[end]],ROW()-1))</f>
        <v>0</v>
      </c>
      <c r="C707">
        <f>Table8[[#This Row],[Cumulative 2023 Q4]]+Table8[[#This Row],[Cumulative 2024]]+Table8[[#This Row],[Cumulative 2025]]+Table8[[#This Row],[Cumulative 2026]]</f>
        <v>11160</v>
      </c>
      <c r="D707">
        <f>IF(YEAR(Table8[[#This Row],[Date]])=2023,B707,0)+IF(ROW(D706)=1,0,D706)</f>
        <v>4195</v>
      </c>
      <c r="E707">
        <f>MAX(Table8[Cumulative 2023 Q4])</f>
        <v>4195</v>
      </c>
      <c r="F707">
        <f>IF(YEAR(Table8[[#This Row],[Date]])=2024,B707,0)+IF(ROW(F706)=1,0,F706)</f>
        <v>5831</v>
      </c>
      <c r="G707">
        <f>MAX(Table8[Cumulative 2024])</f>
        <v>5831</v>
      </c>
      <c r="H707">
        <f>IF(YEAR(Table8[[#This Row],[Date]])=2025,B707,0)+IF(ROW(H706)=1,0,H706)</f>
        <v>1134</v>
      </c>
      <c r="I707">
        <f>MAX(Table8[Cumulative 2025])</f>
        <v>1377</v>
      </c>
      <c r="J707">
        <f>IF(YEAR(Table8[[#This Row],[Date]])=2026,B707,0)+IF(ROW(J706)=1,0,J706)</f>
        <v>0</v>
      </c>
      <c r="K707">
        <f>MAX(Table8[Cumulative 2026])</f>
        <v>3102</v>
      </c>
    </row>
    <row r="708" spans="1:51" hidden="1" x14ac:dyDescent="0.25">
      <c r="A708" s="1">
        <v>45917</v>
      </c>
      <c r="B708">
        <f>SUM(_xlfn.CHOOSEROWS(Table8[[The Golden Compass]:[end]],ROW()-1))</f>
        <v>0</v>
      </c>
      <c r="C708">
        <f>Table8[[#This Row],[Cumulative 2023 Q4]]+Table8[[#This Row],[Cumulative 2024]]+Table8[[#This Row],[Cumulative 2025]]+Table8[[#This Row],[Cumulative 2026]]</f>
        <v>11160</v>
      </c>
      <c r="D708">
        <f>IF(YEAR(Table8[[#This Row],[Date]])=2023,B708,0)+IF(ROW(D707)=1,0,D707)</f>
        <v>4195</v>
      </c>
      <c r="E708">
        <f>MAX(Table8[Cumulative 2023 Q4])</f>
        <v>4195</v>
      </c>
      <c r="F708">
        <f>IF(YEAR(Table8[[#This Row],[Date]])=2024,B708,0)+IF(ROW(F707)=1,0,F707)</f>
        <v>5831</v>
      </c>
      <c r="G708">
        <f>MAX(Table8[Cumulative 2024])</f>
        <v>5831</v>
      </c>
      <c r="H708">
        <f>IF(YEAR(Table8[[#This Row],[Date]])=2025,B708,0)+IF(ROW(H707)=1,0,H707)</f>
        <v>1134</v>
      </c>
      <c r="I708">
        <f>MAX(Table8[Cumulative 2025])</f>
        <v>1377</v>
      </c>
      <c r="J708">
        <f>IF(YEAR(Table8[[#This Row],[Date]])=2026,B708,0)+IF(ROW(J707)=1,0,J707)</f>
        <v>0</v>
      </c>
      <c r="K708">
        <f>MAX(Table8[Cumulative 2026])</f>
        <v>3102</v>
      </c>
    </row>
    <row r="709" spans="1:51" hidden="1" x14ac:dyDescent="0.25">
      <c r="A709" s="1">
        <v>45918</v>
      </c>
      <c r="B709">
        <f>SUM(_xlfn.CHOOSEROWS(Table8[[The Golden Compass]:[end]],ROW()-1))</f>
        <v>0</v>
      </c>
      <c r="C709">
        <f>Table8[[#This Row],[Cumulative 2023 Q4]]+Table8[[#This Row],[Cumulative 2024]]+Table8[[#This Row],[Cumulative 2025]]+Table8[[#This Row],[Cumulative 2026]]</f>
        <v>11160</v>
      </c>
      <c r="D709">
        <f>IF(YEAR(Table8[[#This Row],[Date]])=2023,B709,0)+IF(ROW(D708)=1,0,D708)</f>
        <v>4195</v>
      </c>
      <c r="E709">
        <f>MAX(Table8[Cumulative 2023 Q4])</f>
        <v>4195</v>
      </c>
      <c r="F709">
        <f>IF(YEAR(Table8[[#This Row],[Date]])=2024,B709,0)+IF(ROW(F708)=1,0,F708)</f>
        <v>5831</v>
      </c>
      <c r="G709">
        <f>MAX(Table8[Cumulative 2024])</f>
        <v>5831</v>
      </c>
      <c r="H709">
        <f>IF(YEAR(Table8[[#This Row],[Date]])=2025,B709,0)+IF(ROW(H708)=1,0,H708)</f>
        <v>1134</v>
      </c>
      <c r="I709">
        <f>MAX(Table8[Cumulative 2025])</f>
        <v>1377</v>
      </c>
      <c r="J709">
        <f>IF(YEAR(Table8[[#This Row],[Date]])=2026,B709,0)+IF(ROW(J708)=1,0,J708)</f>
        <v>0</v>
      </c>
      <c r="K709">
        <f>MAX(Table8[Cumulative 2026])</f>
        <v>3102</v>
      </c>
    </row>
    <row r="710" spans="1:51" hidden="1" x14ac:dyDescent="0.25">
      <c r="A710" s="1">
        <v>45919</v>
      </c>
      <c r="B710">
        <f>SUM(_xlfn.CHOOSEROWS(Table8[[The Golden Compass]:[end]],ROW()-1))</f>
        <v>0</v>
      </c>
      <c r="C710">
        <f>Table8[[#This Row],[Cumulative 2023 Q4]]+Table8[[#This Row],[Cumulative 2024]]+Table8[[#This Row],[Cumulative 2025]]+Table8[[#This Row],[Cumulative 2026]]</f>
        <v>11160</v>
      </c>
      <c r="D710">
        <f>IF(YEAR(Table8[[#This Row],[Date]])=2023,B710,0)+IF(ROW(D709)=1,0,D709)</f>
        <v>4195</v>
      </c>
      <c r="E710">
        <f>MAX(Table8[Cumulative 2023 Q4])</f>
        <v>4195</v>
      </c>
      <c r="F710">
        <f>IF(YEAR(Table8[[#This Row],[Date]])=2024,B710,0)+IF(ROW(F709)=1,0,F709)</f>
        <v>5831</v>
      </c>
      <c r="G710">
        <f>MAX(Table8[Cumulative 2024])</f>
        <v>5831</v>
      </c>
      <c r="H710">
        <f>IF(YEAR(Table8[[#This Row],[Date]])=2025,B710,0)+IF(ROW(H709)=1,0,H709)</f>
        <v>1134</v>
      </c>
      <c r="I710">
        <f>MAX(Table8[Cumulative 2025])</f>
        <v>1377</v>
      </c>
      <c r="J710">
        <f>IF(YEAR(Table8[[#This Row],[Date]])=2026,B710,0)+IF(ROW(J709)=1,0,J709)</f>
        <v>0</v>
      </c>
      <c r="K710">
        <f>MAX(Table8[Cumulative 2026])</f>
        <v>3102</v>
      </c>
    </row>
    <row r="711" spans="1:51" hidden="1" x14ac:dyDescent="0.25">
      <c r="A711" s="1">
        <v>45920</v>
      </c>
      <c r="B711">
        <f>SUM(_xlfn.CHOOSEROWS(Table8[[The Golden Compass]:[end]],ROW()-1))</f>
        <v>0</v>
      </c>
      <c r="C711">
        <f>Table8[[#This Row],[Cumulative 2023 Q4]]+Table8[[#This Row],[Cumulative 2024]]+Table8[[#This Row],[Cumulative 2025]]+Table8[[#This Row],[Cumulative 2026]]</f>
        <v>11160</v>
      </c>
      <c r="D711">
        <f>IF(YEAR(Table8[[#This Row],[Date]])=2023,B711,0)+IF(ROW(D710)=1,0,D710)</f>
        <v>4195</v>
      </c>
      <c r="E711">
        <f>MAX(Table8[Cumulative 2023 Q4])</f>
        <v>4195</v>
      </c>
      <c r="F711">
        <f>IF(YEAR(Table8[[#This Row],[Date]])=2024,B711,0)+IF(ROW(F710)=1,0,F710)</f>
        <v>5831</v>
      </c>
      <c r="G711">
        <f>MAX(Table8[Cumulative 2024])</f>
        <v>5831</v>
      </c>
      <c r="H711">
        <f>IF(YEAR(Table8[[#This Row],[Date]])=2025,B711,0)+IF(ROW(H710)=1,0,H710)</f>
        <v>1134</v>
      </c>
      <c r="I711">
        <f>MAX(Table8[Cumulative 2025])</f>
        <v>1377</v>
      </c>
      <c r="J711">
        <f>IF(YEAR(Table8[[#This Row],[Date]])=2026,B711,0)+IF(ROW(J710)=1,0,J710)</f>
        <v>0</v>
      </c>
      <c r="K711">
        <f>MAX(Table8[Cumulative 2026])</f>
        <v>3102</v>
      </c>
    </row>
    <row r="712" spans="1:51" hidden="1" x14ac:dyDescent="0.25">
      <c r="A712" s="1">
        <v>45921</v>
      </c>
      <c r="B712">
        <f>SUM(_xlfn.CHOOSEROWS(Table8[[The Golden Compass]:[end]],ROW()-1))</f>
        <v>0</v>
      </c>
      <c r="C712">
        <f>Table8[[#This Row],[Cumulative 2023 Q4]]+Table8[[#This Row],[Cumulative 2024]]+Table8[[#This Row],[Cumulative 2025]]+Table8[[#This Row],[Cumulative 2026]]</f>
        <v>11160</v>
      </c>
      <c r="D712">
        <f>IF(YEAR(Table8[[#This Row],[Date]])=2023,B712,0)+IF(ROW(D711)=1,0,D711)</f>
        <v>4195</v>
      </c>
      <c r="E712">
        <f>MAX(Table8[Cumulative 2023 Q4])</f>
        <v>4195</v>
      </c>
      <c r="F712">
        <f>IF(YEAR(Table8[[#This Row],[Date]])=2024,B712,0)+IF(ROW(F711)=1,0,F711)</f>
        <v>5831</v>
      </c>
      <c r="G712">
        <f>MAX(Table8[Cumulative 2024])</f>
        <v>5831</v>
      </c>
      <c r="H712">
        <f>IF(YEAR(Table8[[#This Row],[Date]])=2025,B712,0)+IF(ROW(H711)=1,0,H711)</f>
        <v>1134</v>
      </c>
      <c r="I712">
        <f>MAX(Table8[Cumulative 2025])</f>
        <v>1377</v>
      </c>
      <c r="J712">
        <f>IF(YEAR(Table8[[#This Row],[Date]])=2026,B712,0)+IF(ROW(J711)=1,0,J711)</f>
        <v>0</v>
      </c>
      <c r="K712">
        <f>MAX(Table8[Cumulative 2026])</f>
        <v>3102</v>
      </c>
    </row>
    <row r="713" spans="1:51" hidden="1" x14ac:dyDescent="0.25">
      <c r="A713" s="1">
        <v>45922</v>
      </c>
      <c r="B713">
        <f>SUM(_xlfn.CHOOSEROWS(Table8[[The Golden Compass]:[end]],ROW()-1))</f>
        <v>0</v>
      </c>
      <c r="C713">
        <f>Table8[[#This Row],[Cumulative 2023 Q4]]+Table8[[#This Row],[Cumulative 2024]]+Table8[[#This Row],[Cumulative 2025]]+Table8[[#This Row],[Cumulative 2026]]</f>
        <v>11160</v>
      </c>
      <c r="D713">
        <f>IF(YEAR(Table8[[#This Row],[Date]])=2023,B713,0)+IF(ROW(D712)=1,0,D712)</f>
        <v>4195</v>
      </c>
      <c r="E713">
        <f>MAX(Table8[Cumulative 2023 Q4])</f>
        <v>4195</v>
      </c>
      <c r="F713">
        <f>IF(YEAR(Table8[[#This Row],[Date]])=2024,B713,0)+IF(ROW(F712)=1,0,F712)</f>
        <v>5831</v>
      </c>
      <c r="G713">
        <f>MAX(Table8[Cumulative 2024])</f>
        <v>5831</v>
      </c>
      <c r="H713">
        <f>IF(YEAR(Table8[[#This Row],[Date]])=2025,B713,0)+IF(ROW(H712)=1,0,H712)</f>
        <v>1134</v>
      </c>
      <c r="I713">
        <f>MAX(Table8[Cumulative 2025])</f>
        <v>1377</v>
      </c>
      <c r="J713">
        <f>IF(YEAR(Table8[[#This Row],[Date]])=2026,B713,0)+IF(ROW(J712)=1,0,J712)</f>
        <v>0</v>
      </c>
      <c r="K713">
        <f>MAX(Table8[Cumulative 2026])</f>
        <v>3102</v>
      </c>
    </row>
    <row r="714" spans="1:51" hidden="1" x14ac:dyDescent="0.25">
      <c r="A714" s="1">
        <v>45923</v>
      </c>
      <c r="B714">
        <f>SUM(_xlfn.CHOOSEROWS(Table8[[The Golden Compass]:[end]],ROW()-1))</f>
        <v>65</v>
      </c>
      <c r="C714">
        <f>Table8[[#This Row],[Cumulative 2023 Q4]]+Table8[[#This Row],[Cumulative 2024]]+Table8[[#This Row],[Cumulative 2025]]+Table8[[#This Row],[Cumulative 2026]]</f>
        <v>11225</v>
      </c>
      <c r="D714">
        <f>IF(YEAR(Table8[[#This Row],[Date]])=2023,B714,0)+IF(ROW(D713)=1,0,D713)</f>
        <v>4195</v>
      </c>
      <c r="E714">
        <f>MAX(Table8[Cumulative 2023 Q4])</f>
        <v>4195</v>
      </c>
      <c r="F714">
        <f>IF(YEAR(Table8[[#This Row],[Date]])=2024,B714,0)+IF(ROW(F713)=1,0,F713)</f>
        <v>5831</v>
      </c>
      <c r="G714">
        <f>MAX(Table8[Cumulative 2024])</f>
        <v>5831</v>
      </c>
      <c r="H714">
        <f>IF(YEAR(Table8[[#This Row],[Date]])=2025,B714,0)+IF(ROW(H713)=1,0,H713)</f>
        <v>1199</v>
      </c>
      <c r="I714">
        <f>MAX(Table8[Cumulative 2025])</f>
        <v>1377</v>
      </c>
      <c r="J714">
        <f>IF(YEAR(Table8[[#This Row],[Date]])=2026,B714,0)+IF(ROW(J713)=1,0,J713)</f>
        <v>0</v>
      </c>
      <c r="K714">
        <f>MAX(Table8[Cumulative 2026])</f>
        <v>3102</v>
      </c>
      <c r="AY714">
        <v>65</v>
      </c>
    </row>
    <row r="715" spans="1:51" hidden="1" x14ac:dyDescent="0.25">
      <c r="A715" s="1">
        <v>45924</v>
      </c>
      <c r="B715">
        <f>SUM(_xlfn.CHOOSEROWS(Table8[[The Golden Compass]:[end]],ROW()-1))</f>
        <v>86</v>
      </c>
      <c r="C715">
        <f>Table8[[#This Row],[Cumulative 2023 Q4]]+Table8[[#This Row],[Cumulative 2024]]+Table8[[#This Row],[Cumulative 2025]]+Table8[[#This Row],[Cumulative 2026]]</f>
        <v>11311</v>
      </c>
      <c r="D715">
        <f>IF(YEAR(Table8[[#This Row],[Date]])=2023,B715,0)+IF(ROW(D714)=1,0,D714)</f>
        <v>4195</v>
      </c>
      <c r="E715">
        <f>MAX(Table8[Cumulative 2023 Q4])</f>
        <v>4195</v>
      </c>
      <c r="F715">
        <f>IF(YEAR(Table8[[#This Row],[Date]])=2024,B715,0)+IF(ROW(F714)=1,0,F714)</f>
        <v>5831</v>
      </c>
      <c r="G715">
        <f>MAX(Table8[Cumulative 2024])</f>
        <v>5831</v>
      </c>
      <c r="H715">
        <f>IF(YEAR(Table8[[#This Row],[Date]])=2025,B715,0)+IF(ROW(H714)=1,0,H714)</f>
        <v>1285</v>
      </c>
      <c r="I715">
        <f>MAX(Table8[Cumulative 2025])</f>
        <v>1377</v>
      </c>
      <c r="J715">
        <f>IF(YEAR(Table8[[#This Row],[Date]])=2026,B715,0)+IF(ROW(J714)=1,0,J714)</f>
        <v>0</v>
      </c>
      <c r="K715">
        <f>MAX(Table8[Cumulative 2026])</f>
        <v>3102</v>
      </c>
      <c r="AY715">
        <v>86</v>
      </c>
    </row>
    <row r="716" spans="1:51" hidden="1" x14ac:dyDescent="0.25">
      <c r="A716" s="1">
        <v>45925</v>
      </c>
      <c r="B716">
        <f>SUM(_xlfn.CHOOSEROWS(Table8[[The Golden Compass]:[end]],ROW()-1))</f>
        <v>37</v>
      </c>
      <c r="C716">
        <f>Table8[[#This Row],[Cumulative 2023 Q4]]+Table8[[#This Row],[Cumulative 2024]]+Table8[[#This Row],[Cumulative 2025]]+Table8[[#This Row],[Cumulative 2026]]</f>
        <v>11348</v>
      </c>
      <c r="D716">
        <f>IF(YEAR(Table8[[#This Row],[Date]])=2023,B716,0)+IF(ROW(D715)=1,0,D715)</f>
        <v>4195</v>
      </c>
      <c r="E716">
        <f>MAX(Table8[Cumulative 2023 Q4])</f>
        <v>4195</v>
      </c>
      <c r="F716">
        <f>IF(YEAR(Table8[[#This Row],[Date]])=2024,B716,0)+IF(ROW(F715)=1,0,F715)</f>
        <v>5831</v>
      </c>
      <c r="G716">
        <f>MAX(Table8[Cumulative 2024])</f>
        <v>5831</v>
      </c>
      <c r="H716">
        <f>IF(YEAR(Table8[[#This Row],[Date]])=2025,B716,0)+IF(ROW(H715)=1,0,H715)</f>
        <v>1322</v>
      </c>
      <c r="I716">
        <f>MAX(Table8[Cumulative 2025])</f>
        <v>1377</v>
      </c>
      <c r="J716">
        <f>IF(YEAR(Table8[[#This Row],[Date]])=2026,B716,0)+IF(ROW(J715)=1,0,J715)</f>
        <v>0</v>
      </c>
      <c r="K716">
        <f>MAX(Table8[Cumulative 2026])</f>
        <v>3102</v>
      </c>
      <c r="AY716">
        <v>37</v>
      </c>
    </row>
    <row r="717" spans="1:51" hidden="1" x14ac:dyDescent="0.25">
      <c r="A717" s="1">
        <v>45926</v>
      </c>
      <c r="B717">
        <f>SUM(_xlfn.CHOOSEROWS(Table8[[The Golden Compass]:[end]],ROW()-1))</f>
        <v>21</v>
      </c>
      <c r="C717">
        <f>Table8[[#This Row],[Cumulative 2023 Q4]]+Table8[[#This Row],[Cumulative 2024]]+Table8[[#This Row],[Cumulative 2025]]+Table8[[#This Row],[Cumulative 2026]]</f>
        <v>11369</v>
      </c>
      <c r="D717">
        <f>IF(YEAR(Table8[[#This Row],[Date]])=2023,B717,0)+IF(ROW(D716)=1,0,D716)</f>
        <v>4195</v>
      </c>
      <c r="E717">
        <f>MAX(Table8[Cumulative 2023 Q4])</f>
        <v>4195</v>
      </c>
      <c r="F717">
        <f>IF(YEAR(Table8[[#This Row],[Date]])=2024,B717,0)+IF(ROW(F716)=1,0,F716)</f>
        <v>5831</v>
      </c>
      <c r="G717">
        <f>MAX(Table8[Cumulative 2024])</f>
        <v>5831</v>
      </c>
      <c r="H717">
        <f>IF(YEAR(Table8[[#This Row],[Date]])=2025,B717,0)+IF(ROW(H716)=1,0,H716)</f>
        <v>1343</v>
      </c>
      <c r="I717">
        <f>MAX(Table8[Cumulative 2025])</f>
        <v>1377</v>
      </c>
      <c r="J717">
        <f>IF(YEAR(Table8[[#This Row],[Date]])=2026,B717,0)+IF(ROW(J716)=1,0,J716)</f>
        <v>0</v>
      </c>
      <c r="K717">
        <f>MAX(Table8[Cumulative 2026])</f>
        <v>3102</v>
      </c>
      <c r="AY717">
        <v>21</v>
      </c>
    </row>
    <row r="718" spans="1:51" hidden="1" x14ac:dyDescent="0.25">
      <c r="A718" s="1">
        <v>45927</v>
      </c>
      <c r="B718">
        <f>SUM(_xlfn.CHOOSEROWS(Table8[[The Golden Compass]:[end]],ROW()-1))</f>
        <v>0</v>
      </c>
      <c r="C718">
        <f>Table8[[#This Row],[Cumulative 2023 Q4]]+Table8[[#This Row],[Cumulative 2024]]+Table8[[#This Row],[Cumulative 2025]]+Table8[[#This Row],[Cumulative 2026]]</f>
        <v>11369</v>
      </c>
      <c r="D718">
        <f>IF(YEAR(Table8[[#This Row],[Date]])=2023,B718,0)+IF(ROW(D717)=1,0,D717)</f>
        <v>4195</v>
      </c>
      <c r="E718">
        <f>MAX(Table8[Cumulative 2023 Q4])</f>
        <v>4195</v>
      </c>
      <c r="F718">
        <f>IF(YEAR(Table8[[#This Row],[Date]])=2024,B718,0)+IF(ROW(F717)=1,0,F717)</f>
        <v>5831</v>
      </c>
      <c r="G718">
        <f>MAX(Table8[Cumulative 2024])</f>
        <v>5831</v>
      </c>
      <c r="H718">
        <f>IF(YEAR(Table8[[#This Row],[Date]])=2025,B718,0)+IF(ROW(H717)=1,0,H717)</f>
        <v>1343</v>
      </c>
      <c r="I718">
        <f>MAX(Table8[Cumulative 2025])</f>
        <v>1377</v>
      </c>
      <c r="J718">
        <f>IF(YEAR(Table8[[#This Row],[Date]])=2026,B718,0)+IF(ROW(J717)=1,0,J717)</f>
        <v>0</v>
      </c>
      <c r="K718">
        <f>MAX(Table8[Cumulative 2026])</f>
        <v>3102</v>
      </c>
    </row>
    <row r="719" spans="1:51" hidden="1" x14ac:dyDescent="0.25">
      <c r="A719" s="1">
        <v>45928</v>
      </c>
      <c r="B719">
        <f>SUM(_xlfn.CHOOSEROWS(Table8[[The Golden Compass]:[end]],ROW()-1))</f>
        <v>0</v>
      </c>
      <c r="C719">
        <f>Table8[[#This Row],[Cumulative 2023 Q4]]+Table8[[#This Row],[Cumulative 2024]]+Table8[[#This Row],[Cumulative 2025]]+Table8[[#This Row],[Cumulative 2026]]</f>
        <v>11369</v>
      </c>
      <c r="D719">
        <f>IF(YEAR(Table8[[#This Row],[Date]])=2023,B719,0)+IF(ROW(D718)=1,0,D718)</f>
        <v>4195</v>
      </c>
      <c r="E719">
        <f>MAX(Table8[Cumulative 2023 Q4])</f>
        <v>4195</v>
      </c>
      <c r="F719">
        <f>IF(YEAR(Table8[[#This Row],[Date]])=2024,B719,0)+IF(ROW(F718)=1,0,F718)</f>
        <v>5831</v>
      </c>
      <c r="G719">
        <f>MAX(Table8[Cumulative 2024])</f>
        <v>5831</v>
      </c>
      <c r="H719">
        <f>IF(YEAR(Table8[[#This Row],[Date]])=2025,B719,0)+IF(ROW(H718)=1,0,H718)</f>
        <v>1343</v>
      </c>
      <c r="I719">
        <f>MAX(Table8[Cumulative 2025])</f>
        <v>1377</v>
      </c>
      <c r="J719">
        <f>IF(YEAR(Table8[[#This Row],[Date]])=2026,B719,0)+IF(ROW(J718)=1,0,J718)</f>
        <v>0</v>
      </c>
      <c r="K719">
        <f>MAX(Table8[Cumulative 2026])</f>
        <v>3102</v>
      </c>
    </row>
    <row r="720" spans="1:51" hidden="1" x14ac:dyDescent="0.25">
      <c r="A720" s="1">
        <v>45929</v>
      </c>
      <c r="B720">
        <f>SUM(_xlfn.CHOOSEROWS(Table8[[The Golden Compass]:[end]],ROW()-1))</f>
        <v>34</v>
      </c>
      <c r="C720">
        <f>Table8[[#This Row],[Cumulative 2023 Q4]]+Table8[[#This Row],[Cumulative 2024]]+Table8[[#This Row],[Cumulative 2025]]+Table8[[#This Row],[Cumulative 2026]]</f>
        <v>11403</v>
      </c>
      <c r="D720">
        <f>IF(YEAR(Table8[[#This Row],[Date]])=2023,B720,0)+IF(ROW(D719)=1,0,D719)</f>
        <v>4195</v>
      </c>
      <c r="E720">
        <f>MAX(Table8[Cumulative 2023 Q4])</f>
        <v>4195</v>
      </c>
      <c r="F720">
        <f>IF(YEAR(Table8[[#This Row],[Date]])=2024,B720,0)+IF(ROW(F719)=1,0,F719)</f>
        <v>5831</v>
      </c>
      <c r="G720">
        <f>MAX(Table8[Cumulative 2024])</f>
        <v>5831</v>
      </c>
      <c r="H720">
        <f>IF(YEAR(Table8[[#This Row],[Date]])=2025,B720,0)+IF(ROW(H719)=1,0,H719)</f>
        <v>1377</v>
      </c>
      <c r="I720">
        <f>MAX(Table8[Cumulative 2025])</f>
        <v>1377</v>
      </c>
      <c r="J720">
        <f>IF(YEAR(Table8[[#This Row],[Date]])=2026,B720,0)+IF(ROW(J719)=1,0,J719)</f>
        <v>0</v>
      </c>
      <c r="K720">
        <f>MAX(Table8[Cumulative 2026])</f>
        <v>3102</v>
      </c>
      <c r="AY720">
        <v>34</v>
      </c>
    </row>
    <row r="721" spans="1:11" hidden="1" x14ac:dyDescent="0.25">
      <c r="A721" s="1">
        <v>45930</v>
      </c>
      <c r="B721">
        <f>SUM(_xlfn.CHOOSEROWS(Table8[[The Golden Compass]:[end]],ROW()-1))</f>
        <v>0</v>
      </c>
      <c r="C721">
        <f>Table8[[#This Row],[Cumulative 2023 Q4]]+Table8[[#This Row],[Cumulative 2024]]+Table8[[#This Row],[Cumulative 2025]]+Table8[[#This Row],[Cumulative 2026]]</f>
        <v>11403</v>
      </c>
      <c r="D721">
        <f>IF(YEAR(Table8[[#This Row],[Date]])=2023,B721,0)+IF(ROW(D720)=1,0,D720)</f>
        <v>4195</v>
      </c>
      <c r="E721">
        <f>MAX(Table8[Cumulative 2023 Q4])</f>
        <v>4195</v>
      </c>
      <c r="F721">
        <f>IF(YEAR(Table8[[#This Row],[Date]])=2024,B721,0)+IF(ROW(F720)=1,0,F720)</f>
        <v>5831</v>
      </c>
      <c r="G721">
        <f>MAX(Table8[Cumulative 2024])</f>
        <v>5831</v>
      </c>
      <c r="H721">
        <f>IF(YEAR(Table8[[#This Row],[Date]])=2025,B721,0)+IF(ROW(H720)=1,0,H720)</f>
        <v>1377</v>
      </c>
      <c r="I721">
        <f>MAX(Table8[Cumulative 2025])</f>
        <v>1377</v>
      </c>
      <c r="J721">
        <f>IF(YEAR(Table8[[#This Row],[Date]])=2026,B721,0)+IF(ROW(J720)=1,0,J720)</f>
        <v>0</v>
      </c>
      <c r="K721">
        <f>MAX(Table8[Cumulative 2026])</f>
        <v>3102</v>
      </c>
    </row>
    <row r="722" spans="1:11" hidden="1" x14ac:dyDescent="0.25">
      <c r="A722" s="1">
        <v>45931</v>
      </c>
      <c r="B722">
        <f>SUM(_xlfn.CHOOSEROWS(Table8[[The Golden Compass]:[end]],ROW()-1))</f>
        <v>0</v>
      </c>
      <c r="C722">
        <f>Table8[[#This Row],[Cumulative 2023 Q4]]+Table8[[#This Row],[Cumulative 2024]]+Table8[[#This Row],[Cumulative 2025]]+Table8[[#This Row],[Cumulative 2026]]</f>
        <v>11403</v>
      </c>
      <c r="D722">
        <f>IF(YEAR(Table8[[#This Row],[Date]])=2023,B722,0)+IF(ROW(D721)=1,0,D721)</f>
        <v>4195</v>
      </c>
      <c r="E722">
        <f>MAX(Table8[Cumulative 2023 Q4])</f>
        <v>4195</v>
      </c>
      <c r="F722">
        <f>IF(YEAR(Table8[[#This Row],[Date]])=2024,B722,0)+IF(ROW(F721)=1,0,F721)</f>
        <v>5831</v>
      </c>
      <c r="G722">
        <f>MAX(Table8[Cumulative 2024])</f>
        <v>5831</v>
      </c>
      <c r="H722">
        <f>IF(YEAR(Table8[[#This Row],[Date]])=2025,B722,0)+IF(ROW(H721)=1,0,H721)</f>
        <v>1377</v>
      </c>
      <c r="I722">
        <f>MAX(Table8[Cumulative 2025])</f>
        <v>1377</v>
      </c>
      <c r="J722">
        <f>IF(YEAR(Table8[[#This Row],[Date]])=2026,B722,0)+IF(ROW(J721)=1,0,J721)</f>
        <v>0</v>
      </c>
      <c r="K722">
        <f>MAX(Table8[Cumulative 2026])</f>
        <v>3102</v>
      </c>
    </row>
    <row r="723" spans="1:11" hidden="1" x14ac:dyDescent="0.25">
      <c r="A723" s="1">
        <v>45932</v>
      </c>
      <c r="B723">
        <f>SUM(_xlfn.CHOOSEROWS(Table8[[The Golden Compass]:[end]],ROW()-1))</f>
        <v>0</v>
      </c>
      <c r="C723">
        <f>Table8[[#This Row],[Cumulative 2023 Q4]]+Table8[[#This Row],[Cumulative 2024]]+Table8[[#This Row],[Cumulative 2025]]+Table8[[#This Row],[Cumulative 2026]]</f>
        <v>11403</v>
      </c>
      <c r="D723">
        <f>IF(YEAR(Table8[[#This Row],[Date]])=2023,B723,0)+IF(ROW(D722)=1,0,D722)</f>
        <v>4195</v>
      </c>
      <c r="E723">
        <f>MAX(Table8[Cumulative 2023 Q4])</f>
        <v>4195</v>
      </c>
      <c r="F723">
        <f>IF(YEAR(Table8[[#This Row],[Date]])=2024,B723,0)+IF(ROW(F722)=1,0,F722)</f>
        <v>5831</v>
      </c>
      <c r="G723">
        <f>MAX(Table8[Cumulative 2024])</f>
        <v>5831</v>
      </c>
      <c r="H723">
        <f>IF(YEAR(Table8[[#This Row],[Date]])=2025,B723,0)+IF(ROW(H722)=1,0,H722)</f>
        <v>1377</v>
      </c>
      <c r="I723">
        <f>MAX(Table8[Cumulative 2025])</f>
        <v>1377</v>
      </c>
      <c r="J723">
        <f>IF(YEAR(Table8[[#This Row],[Date]])=2026,B723,0)+IF(ROW(J722)=1,0,J722)</f>
        <v>0</v>
      </c>
      <c r="K723">
        <f>MAX(Table8[Cumulative 2026])</f>
        <v>3102</v>
      </c>
    </row>
    <row r="724" spans="1:11" hidden="1" x14ac:dyDescent="0.25">
      <c r="A724" s="1">
        <v>45933</v>
      </c>
      <c r="B724">
        <f>SUM(_xlfn.CHOOSEROWS(Table8[[The Golden Compass]:[end]],ROW()-1))</f>
        <v>0</v>
      </c>
      <c r="C724">
        <f>Table8[[#This Row],[Cumulative 2023 Q4]]+Table8[[#This Row],[Cumulative 2024]]+Table8[[#This Row],[Cumulative 2025]]+Table8[[#This Row],[Cumulative 2026]]</f>
        <v>11403</v>
      </c>
      <c r="D724">
        <f>IF(YEAR(Table8[[#This Row],[Date]])=2023,B724,0)+IF(ROW(D723)=1,0,D723)</f>
        <v>4195</v>
      </c>
      <c r="E724">
        <f>MAX(Table8[Cumulative 2023 Q4])</f>
        <v>4195</v>
      </c>
      <c r="F724">
        <f>IF(YEAR(Table8[[#This Row],[Date]])=2024,B724,0)+IF(ROW(F723)=1,0,F723)</f>
        <v>5831</v>
      </c>
      <c r="G724">
        <f>MAX(Table8[Cumulative 2024])</f>
        <v>5831</v>
      </c>
      <c r="H724">
        <f>IF(YEAR(Table8[[#This Row],[Date]])=2025,B724,0)+IF(ROW(H723)=1,0,H723)</f>
        <v>1377</v>
      </c>
      <c r="I724">
        <f>MAX(Table8[Cumulative 2025])</f>
        <v>1377</v>
      </c>
      <c r="J724">
        <f>IF(YEAR(Table8[[#This Row],[Date]])=2026,B724,0)+IF(ROW(J723)=1,0,J723)</f>
        <v>0</v>
      </c>
      <c r="K724">
        <f>MAX(Table8[Cumulative 2026])</f>
        <v>3102</v>
      </c>
    </row>
    <row r="725" spans="1:11" hidden="1" x14ac:dyDescent="0.25">
      <c r="A725" s="1">
        <v>45934</v>
      </c>
      <c r="B725">
        <f>SUM(_xlfn.CHOOSEROWS(Table8[[The Golden Compass]:[end]],ROW()-1))</f>
        <v>0</v>
      </c>
      <c r="C725">
        <f>Table8[[#This Row],[Cumulative 2023 Q4]]+Table8[[#This Row],[Cumulative 2024]]+Table8[[#This Row],[Cumulative 2025]]+Table8[[#This Row],[Cumulative 2026]]</f>
        <v>11403</v>
      </c>
      <c r="D725">
        <f>IF(YEAR(Table8[[#This Row],[Date]])=2023,B725,0)+IF(ROW(D724)=1,0,D724)</f>
        <v>4195</v>
      </c>
      <c r="E725">
        <f>MAX(Table8[Cumulative 2023 Q4])</f>
        <v>4195</v>
      </c>
      <c r="F725">
        <f>IF(YEAR(Table8[[#This Row],[Date]])=2024,B725,0)+IF(ROW(F724)=1,0,F724)</f>
        <v>5831</v>
      </c>
      <c r="G725">
        <f>MAX(Table8[Cumulative 2024])</f>
        <v>5831</v>
      </c>
      <c r="H725">
        <f>IF(YEAR(Table8[[#This Row],[Date]])=2025,B725,0)+IF(ROW(H724)=1,0,H724)</f>
        <v>1377</v>
      </c>
      <c r="I725">
        <f>MAX(Table8[Cumulative 2025])</f>
        <v>1377</v>
      </c>
      <c r="J725">
        <f>IF(YEAR(Table8[[#This Row],[Date]])=2026,B725,0)+IF(ROW(J724)=1,0,J724)</f>
        <v>0</v>
      </c>
      <c r="K725">
        <f>MAX(Table8[Cumulative 2026])</f>
        <v>3102</v>
      </c>
    </row>
    <row r="726" spans="1:11" hidden="1" x14ac:dyDescent="0.25">
      <c r="A726" s="1">
        <v>45935</v>
      </c>
      <c r="B726">
        <f>SUM(_xlfn.CHOOSEROWS(Table8[[The Golden Compass]:[end]],ROW()-1))</f>
        <v>0</v>
      </c>
      <c r="C726">
        <f>Table8[[#This Row],[Cumulative 2023 Q4]]+Table8[[#This Row],[Cumulative 2024]]+Table8[[#This Row],[Cumulative 2025]]+Table8[[#This Row],[Cumulative 2026]]</f>
        <v>11403</v>
      </c>
      <c r="D726">
        <f>IF(YEAR(Table8[[#This Row],[Date]])=2023,B726,0)+IF(ROW(D725)=1,0,D725)</f>
        <v>4195</v>
      </c>
      <c r="E726">
        <f>MAX(Table8[Cumulative 2023 Q4])</f>
        <v>4195</v>
      </c>
      <c r="F726">
        <f>IF(YEAR(Table8[[#This Row],[Date]])=2024,B726,0)+IF(ROW(F725)=1,0,F725)</f>
        <v>5831</v>
      </c>
      <c r="G726">
        <f>MAX(Table8[Cumulative 2024])</f>
        <v>5831</v>
      </c>
      <c r="H726">
        <f>IF(YEAR(Table8[[#This Row],[Date]])=2025,B726,0)+IF(ROW(H725)=1,0,H725)</f>
        <v>1377</v>
      </c>
      <c r="I726">
        <f>MAX(Table8[Cumulative 2025])</f>
        <v>1377</v>
      </c>
      <c r="J726">
        <f>IF(YEAR(Table8[[#This Row],[Date]])=2026,B726,0)+IF(ROW(J725)=1,0,J725)</f>
        <v>0</v>
      </c>
      <c r="K726">
        <f>MAX(Table8[Cumulative 2026])</f>
        <v>3102</v>
      </c>
    </row>
    <row r="727" spans="1:11" hidden="1" x14ac:dyDescent="0.25">
      <c r="A727" s="1">
        <v>45936</v>
      </c>
      <c r="B727">
        <f>SUM(_xlfn.CHOOSEROWS(Table8[[The Golden Compass]:[end]],ROW()-1))</f>
        <v>0</v>
      </c>
      <c r="C727">
        <f>Table8[[#This Row],[Cumulative 2023 Q4]]+Table8[[#This Row],[Cumulative 2024]]+Table8[[#This Row],[Cumulative 2025]]+Table8[[#This Row],[Cumulative 2026]]</f>
        <v>11403</v>
      </c>
      <c r="D727">
        <f>IF(YEAR(Table8[[#This Row],[Date]])=2023,B727,0)+IF(ROW(D726)=1,0,D726)</f>
        <v>4195</v>
      </c>
      <c r="E727">
        <f>MAX(Table8[Cumulative 2023 Q4])</f>
        <v>4195</v>
      </c>
      <c r="F727">
        <f>IF(YEAR(Table8[[#This Row],[Date]])=2024,B727,0)+IF(ROW(F726)=1,0,F726)</f>
        <v>5831</v>
      </c>
      <c r="G727">
        <f>MAX(Table8[Cumulative 2024])</f>
        <v>5831</v>
      </c>
      <c r="H727">
        <f>IF(YEAR(Table8[[#This Row],[Date]])=2025,B727,0)+IF(ROW(H726)=1,0,H726)</f>
        <v>1377</v>
      </c>
      <c r="I727">
        <f>MAX(Table8[Cumulative 2025])</f>
        <v>1377</v>
      </c>
      <c r="J727">
        <f>IF(YEAR(Table8[[#This Row],[Date]])=2026,B727,0)+IF(ROW(J726)=1,0,J726)</f>
        <v>0</v>
      </c>
      <c r="K727">
        <f>MAX(Table8[Cumulative 2026])</f>
        <v>3102</v>
      </c>
    </row>
    <row r="728" spans="1:11" hidden="1" x14ac:dyDescent="0.25">
      <c r="A728" s="1">
        <v>45937</v>
      </c>
      <c r="B728">
        <f>SUM(_xlfn.CHOOSEROWS(Table8[[The Golden Compass]:[end]],ROW()-1))</f>
        <v>0</v>
      </c>
      <c r="C728">
        <f>Table8[[#This Row],[Cumulative 2023 Q4]]+Table8[[#This Row],[Cumulative 2024]]+Table8[[#This Row],[Cumulative 2025]]+Table8[[#This Row],[Cumulative 2026]]</f>
        <v>11403</v>
      </c>
      <c r="D728">
        <f>IF(YEAR(Table8[[#This Row],[Date]])=2023,B728,0)+IF(ROW(D727)=1,0,D727)</f>
        <v>4195</v>
      </c>
      <c r="E728">
        <f>MAX(Table8[Cumulative 2023 Q4])</f>
        <v>4195</v>
      </c>
      <c r="F728">
        <f>IF(YEAR(Table8[[#This Row],[Date]])=2024,B728,0)+IF(ROW(F727)=1,0,F727)</f>
        <v>5831</v>
      </c>
      <c r="G728">
        <f>MAX(Table8[Cumulative 2024])</f>
        <v>5831</v>
      </c>
      <c r="H728">
        <f>IF(YEAR(Table8[[#This Row],[Date]])=2025,B728,0)+IF(ROW(H727)=1,0,H727)</f>
        <v>1377</v>
      </c>
      <c r="I728">
        <f>MAX(Table8[Cumulative 2025])</f>
        <v>1377</v>
      </c>
      <c r="J728">
        <f>IF(YEAR(Table8[[#This Row],[Date]])=2026,B728,0)+IF(ROW(J727)=1,0,J727)</f>
        <v>0</v>
      </c>
      <c r="K728">
        <f>MAX(Table8[Cumulative 2026])</f>
        <v>3102</v>
      </c>
    </row>
    <row r="729" spans="1:11" hidden="1" x14ac:dyDescent="0.25">
      <c r="A729" s="1">
        <v>45938</v>
      </c>
      <c r="B729">
        <f>SUM(_xlfn.CHOOSEROWS(Table8[[The Golden Compass]:[end]],ROW()-1))</f>
        <v>0</v>
      </c>
      <c r="C729">
        <f>Table8[[#This Row],[Cumulative 2023 Q4]]+Table8[[#This Row],[Cumulative 2024]]+Table8[[#This Row],[Cumulative 2025]]+Table8[[#This Row],[Cumulative 2026]]</f>
        <v>11403</v>
      </c>
      <c r="D729">
        <f>IF(YEAR(Table8[[#This Row],[Date]])=2023,B729,0)+IF(ROW(D728)=1,0,D728)</f>
        <v>4195</v>
      </c>
      <c r="E729">
        <f>MAX(Table8[Cumulative 2023 Q4])</f>
        <v>4195</v>
      </c>
      <c r="F729">
        <f>IF(YEAR(Table8[[#This Row],[Date]])=2024,B729,0)+IF(ROW(F728)=1,0,F728)</f>
        <v>5831</v>
      </c>
      <c r="G729">
        <f>MAX(Table8[Cumulative 2024])</f>
        <v>5831</v>
      </c>
      <c r="H729">
        <f>IF(YEAR(Table8[[#This Row],[Date]])=2025,B729,0)+IF(ROW(H728)=1,0,H728)</f>
        <v>1377</v>
      </c>
      <c r="I729">
        <f>MAX(Table8[Cumulative 2025])</f>
        <v>1377</v>
      </c>
      <c r="J729">
        <f>IF(YEAR(Table8[[#This Row],[Date]])=2026,B729,0)+IF(ROW(J728)=1,0,J728)</f>
        <v>0</v>
      </c>
      <c r="K729">
        <f>MAX(Table8[Cumulative 2026])</f>
        <v>3102</v>
      </c>
    </row>
    <row r="730" spans="1:11" hidden="1" x14ac:dyDescent="0.25">
      <c r="A730" s="1">
        <v>45939</v>
      </c>
      <c r="B730">
        <f>SUM(_xlfn.CHOOSEROWS(Table8[[The Golden Compass]:[end]],ROW()-1))</f>
        <v>0</v>
      </c>
      <c r="C730">
        <f>Table8[[#This Row],[Cumulative 2023 Q4]]+Table8[[#This Row],[Cumulative 2024]]+Table8[[#This Row],[Cumulative 2025]]+Table8[[#This Row],[Cumulative 2026]]</f>
        <v>11403</v>
      </c>
      <c r="D730">
        <f>IF(YEAR(Table8[[#This Row],[Date]])=2023,B730,0)+IF(ROW(D729)=1,0,D729)</f>
        <v>4195</v>
      </c>
      <c r="E730">
        <f>MAX(Table8[Cumulative 2023 Q4])</f>
        <v>4195</v>
      </c>
      <c r="F730">
        <f>IF(YEAR(Table8[[#This Row],[Date]])=2024,B730,0)+IF(ROW(F729)=1,0,F729)</f>
        <v>5831</v>
      </c>
      <c r="G730">
        <f>MAX(Table8[Cumulative 2024])</f>
        <v>5831</v>
      </c>
      <c r="H730">
        <f>IF(YEAR(Table8[[#This Row],[Date]])=2025,B730,0)+IF(ROW(H729)=1,0,H729)</f>
        <v>1377</v>
      </c>
      <c r="I730">
        <f>MAX(Table8[Cumulative 2025])</f>
        <v>1377</v>
      </c>
      <c r="J730">
        <f>IF(YEAR(Table8[[#This Row],[Date]])=2026,B730,0)+IF(ROW(J729)=1,0,J729)</f>
        <v>0</v>
      </c>
      <c r="K730">
        <f>MAX(Table8[Cumulative 2026])</f>
        <v>3102</v>
      </c>
    </row>
    <row r="731" spans="1:11" hidden="1" x14ac:dyDescent="0.25">
      <c r="A731" s="1">
        <v>45940</v>
      </c>
      <c r="B731">
        <f>SUM(_xlfn.CHOOSEROWS(Table8[[The Golden Compass]:[end]],ROW()-1))</f>
        <v>0</v>
      </c>
      <c r="C731">
        <f>Table8[[#This Row],[Cumulative 2023 Q4]]+Table8[[#This Row],[Cumulative 2024]]+Table8[[#This Row],[Cumulative 2025]]+Table8[[#This Row],[Cumulative 2026]]</f>
        <v>11403</v>
      </c>
      <c r="D731">
        <f>IF(YEAR(Table8[[#This Row],[Date]])=2023,B731,0)+IF(ROW(D730)=1,0,D730)</f>
        <v>4195</v>
      </c>
      <c r="E731">
        <f>MAX(Table8[Cumulative 2023 Q4])</f>
        <v>4195</v>
      </c>
      <c r="F731">
        <f>IF(YEAR(Table8[[#This Row],[Date]])=2024,B731,0)+IF(ROW(F730)=1,0,F730)</f>
        <v>5831</v>
      </c>
      <c r="G731">
        <f>MAX(Table8[Cumulative 2024])</f>
        <v>5831</v>
      </c>
      <c r="H731">
        <f>IF(YEAR(Table8[[#This Row],[Date]])=2025,B731,0)+IF(ROW(H730)=1,0,H730)</f>
        <v>1377</v>
      </c>
      <c r="I731">
        <f>MAX(Table8[Cumulative 2025])</f>
        <v>1377</v>
      </c>
      <c r="J731">
        <f>IF(YEAR(Table8[[#This Row],[Date]])=2026,B731,0)+IF(ROW(J730)=1,0,J730)</f>
        <v>0</v>
      </c>
      <c r="K731">
        <f>MAX(Table8[Cumulative 2026])</f>
        <v>3102</v>
      </c>
    </row>
    <row r="732" spans="1:11" hidden="1" x14ac:dyDescent="0.25">
      <c r="A732" s="1">
        <v>45941</v>
      </c>
      <c r="B732">
        <f>SUM(_xlfn.CHOOSEROWS(Table8[[The Golden Compass]:[end]],ROW()-1))</f>
        <v>0</v>
      </c>
      <c r="C732">
        <f>Table8[[#This Row],[Cumulative 2023 Q4]]+Table8[[#This Row],[Cumulative 2024]]+Table8[[#This Row],[Cumulative 2025]]+Table8[[#This Row],[Cumulative 2026]]</f>
        <v>11403</v>
      </c>
      <c r="D732">
        <f>IF(YEAR(Table8[[#This Row],[Date]])=2023,B732,0)+IF(ROW(D731)=1,0,D731)</f>
        <v>4195</v>
      </c>
      <c r="E732">
        <f>MAX(Table8[Cumulative 2023 Q4])</f>
        <v>4195</v>
      </c>
      <c r="F732">
        <f>IF(YEAR(Table8[[#This Row],[Date]])=2024,B732,0)+IF(ROW(F731)=1,0,F731)</f>
        <v>5831</v>
      </c>
      <c r="G732">
        <f>MAX(Table8[Cumulative 2024])</f>
        <v>5831</v>
      </c>
      <c r="H732">
        <f>IF(YEAR(Table8[[#This Row],[Date]])=2025,B732,0)+IF(ROW(H731)=1,0,H731)</f>
        <v>1377</v>
      </c>
      <c r="I732">
        <f>MAX(Table8[Cumulative 2025])</f>
        <v>1377</v>
      </c>
      <c r="J732">
        <f>IF(YEAR(Table8[[#This Row],[Date]])=2026,B732,0)+IF(ROW(J731)=1,0,J731)</f>
        <v>0</v>
      </c>
      <c r="K732">
        <f>MAX(Table8[Cumulative 2026])</f>
        <v>3102</v>
      </c>
    </row>
    <row r="733" spans="1:11" hidden="1" x14ac:dyDescent="0.25">
      <c r="A733" s="1">
        <v>45942</v>
      </c>
      <c r="B733">
        <f>SUM(_xlfn.CHOOSEROWS(Table8[[The Golden Compass]:[end]],ROW()-1))</f>
        <v>0</v>
      </c>
      <c r="C733">
        <f>Table8[[#This Row],[Cumulative 2023 Q4]]+Table8[[#This Row],[Cumulative 2024]]+Table8[[#This Row],[Cumulative 2025]]+Table8[[#This Row],[Cumulative 2026]]</f>
        <v>11403</v>
      </c>
      <c r="D733">
        <f>IF(YEAR(Table8[[#This Row],[Date]])=2023,B733,0)+IF(ROW(D732)=1,0,D732)</f>
        <v>4195</v>
      </c>
      <c r="E733">
        <f>MAX(Table8[Cumulative 2023 Q4])</f>
        <v>4195</v>
      </c>
      <c r="F733">
        <f>IF(YEAR(Table8[[#This Row],[Date]])=2024,B733,0)+IF(ROW(F732)=1,0,F732)</f>
        <v>5831</v>
      </c>
      <c r="G733">
        <f>MAX(Table8[Cumulative 2024])</f>
        <v>5831</v>
      </c>
      <c r="H733">
        <f>IF(YEAR(Table8[[#This Row],[Date]])=2025,B733,0)+IF(ROW(H732)=1,0,H732)</f>
        <v>1377</v>
      </c>
      <c r="I733">
        <f>MAX(Table8[Cumulative 2025])</f>
        <v>1377</v>
      </c>
      <c r="J733">
        <f>IF(YEAR(Table8[[#This Row],[Date]])=2026,B733,0)+IF(ROW(J732)=1,0,J732)</f>
        <v>0</v>
      </c>
      <c r="K733">
        <f>MAX(Table8[Cumulative 2026])</f>
        <v>3102</v>
      </c>
    </row>
    <row r="734" spans="1:11" hidden="1" x14ac:dyDescent="0.25">
      <c r="A734" s="1">
        <v>45943</v>
      </c>
      <c r="B734">
        <f>SUM(_xlfn.CHOOSEROWS(Table8[[The Golden Compass]:[end]],ROW()-1))</f>
        <v>0</v>
      </c>
      <c r="C734">
        <f>Table8[[#This Row],[Cumulative 2023 Q4]]+Table8[[#This Row],[Cumulative 2024]]+Table8[[#This Row],[Cumulative 2025]]+Table8[[#This Row],[Cumulative 2026]]</f>
        <v>11403</v>
      </c>
      <c r="D734">
        <f>IF(YEAR(Table8[[#This Row],[Date]])=2023,B734,0)+IF(ROW(D733)=1,0,D733)</f>
        <v>4195</v>
      </c>
      <c r="E734">
        <f>MAX(Table8[Cumulative 2023 Q4])</f>
        <v>4195</v>
      </c>
      <c r="F734">
        <f>IF(YEAR(Table8[[#This Row],[Date]])=2024,B734,0)+IF(ROW(F733)=1,0,F733)</f>
        <v>5831</v>
      </c>
      <c r="G734">
        <f>MAX(Table8[Cumulative 2024])</f>
        <v>5831</v>
      </c>
      <c r="H734">
        <f>IF(YEAR(Table8[[#This Row],[Date]])=2025,B734,0)+IF(ROW(H733)=1,0,H733)</f>
        <v>1377</v>
      </c>
      <c r="I734">
        <f>MAX(Table8[Cumulative 2025])</f>
        <v>1377</v>
      </c>
      <c r="J734">
        <f>IF(YEAR(Table8[[#This Row],[Date]])=2026,B734,0)+IF(ROW(J733)=1,0,J733)</f>
        <v>0</v>
      </c>
      <c r="K734">
        <f>MAX(Table8[Cumulative 2026])</f>
        <v>3102</v>
      </c>
    </row>
    <row r="735" spans="1:11" hidden="1" x14ac:dyDescent="0.25">
      <c r="A735" s="1">
        <v>45944</v>
      </c>
      <c r="B735">
        <f>SUM(_xlfn.CHOOSEROWS(Table8[[The Golden Compass]:[end]],ROW()-1))</f>
        <v>0</v>
      </c>
      <c r="C735">
        <f>Table8[[#This Row],[Cumulative 2023 Q4]]+Table8[[#This Row],[Cumulative 2024]]+Table8[[#This Row],[Cumulative 2025]]+Table8[[#This Row],[Cumulative 2026]]</f>
        <v>11403</v>
      </c>
      <c r="D735">
        <f>IF(YEAR(Table8[[#This Row],[Date]])=2023,B735,0)+IF(ROW(D734)=1,0,D734)</f>
        <v>4195</v>
      </c>
      <c r="E735">
        <f>MAX(Table8[Cumulative 2023 Q4])</f>
        <v>4195</v>
      </c>
      <c r="F735">
        <f>IF(YEAR(Table8[[#This Row],[Date]])=2024,B735,0)+IF(ROW(F734)=1,0,F734)</f>
        <v>5831</v>
      </c>
      <c r="G735">
        <f>MAX(Table8[Cumulative 2024])</f>
        <v>5831</v>
      </c>
      <c r="H735">
        <f>IF(YEAR(Table8[[#This Row],[Date]])=2025,B735,0)+IF(ROW(H734)=1,0,H734)</f>
        <v>1377</v>
      </c>
      <c r="I735">
        <f>MAX(Table8[Cumulative 2025])</f>
        <v>1377</v>
      </c>
      <c r="J735">
        <f>IF(YEAR(Table8[[#This Row],[Date]])=2026,B735,0)+IF(ROW(J734)=1,0,J734)</f>
        <v>0</v>
      </c>
      <c r="K735">
        <f>MAX(Table8[Cumulative 2026])</f>
        <v>3102</v>
      </c>
    </row>
    <row r="736" spans="1:11" hidden="1" x14ac:dyDescent="0.25">
      <c r="A736" s="1">
        <v>45945</v>
      </c>
      <c r="B736">
        <f>SUM(_xlfn.CHOOSEROWS(Table8[[The Golden Compass]:[end]],ROW()-1))</f>
        <v>0</v>
      </c>
      <c r="C736">
        <f>Table8[[#This Row],[Cumulative 2023 Q4]]+Table8[[#This Row],[Cumulative 2024]]+Table8[[#This Row],[Cumulative 2025]]+Table8[[#This Row],[Cumulative 2026]]</f>
        <v>11403</v>
      </c>
      <c r="D736">
        <f>IF(YEAR(Table8[[#This Row],[Date]])=2023,B736,0)+IF(ROW(D735)=1,0,D735)</f>
        <v>4195</v>
      </c>
      <c r="E736">
        <f>MAX(Table8[Cumulative 2023 Q4])</f>
        <v>4195</v>
      </c>
      <c r="F736">
        <f>IF(YEAR(Table8[[#This Row],[Date]])=2024,B736,0)+IF(ROW(F735)=1,0,F735)</f>
        <v>5831</v>
      </c>
      <c r="G736">
        <f>MAX(Table8[Cumulative 2024])</f>
        <v>5831</v>
      </c>
      <c r="H736">
        <f>IF(YEAR(Table8[[#This Row],[Date]])=2025,B736,0)+IF(ROW(H735)=1,0,H735)</f>
        <v>1377</v>
      </c>
      <c r="I736">
        <f>MAX(Table8[Cumulative 2025])</f>
        <v>1377</v>
      </c>
      <c r="J736">
        <f>IF(YEAR(Table8[[#This Row],[Date]])=2026,B736,0)+IF(ROW(J735)=1,0,J735)</f>
        <v>0</v>
      </c>
      <c r="K736">
        <f>MAX(Table8[Cumulative 2026])</f>
        <v>3102</v>
      </c>
    </row>
    <row r="737" spans="1:11" hidden="1" x14ac:dyDescent="0.25">
      <c r="A737" s="1">
        <v>45946</v>
      </c>
      <c r="B737">
        <f>SUM(_xlfn.CHOOSEROWS(Table8[[The Golden Compass]:[end]],ROW()-1))</f>
        <v>0</v>
      </c>
      <c r="C737">
        <f>Table8[[#This Row],[Cumulative 2023 Q4]]+Table8[[#This Row],[Cumulative 2024]]+Table8[[#This Row],[Cumulative 2025]]+Table8[[#This Row],[Cumulative 2026]]</f>
        <v>11403</v>
      </c>
      <c r="D737">
        <f>IF(YEAR(Table8[[#This Row],[Date]])=2023,B737,0)+IF(ROW(D736)=1,0,D736)</f>
        <v>4195</v>
      </c>
      <c r="E737">
        <f>MAX(Table8[Cumulative 2023 Q4])</f>
        <v>4195</v>
      </c>
      <c r="F737">
        <f>IF(YEAR(Table8[[#This Row],[Date]])=2024,B737,0)+IF(ROW(F736)=1,0,F736)</f>
        <v>5831</v>
      </c>
      <c r="G737">
        <f>MAX(Table8[Cumulative 2024])</f>
        <v>5831</v>
      </c>
      <c r="H737">
        <f>IF(YEAR(Table8[[#This Row],[Date]])=2025,B737,0)+IF(ROW(H736)=1,0,H736)</f>
        <v>1377</v>
      </c>
      <c r="I737">
        <f>MAX(Table8[Cumulative 2025])</f>
        <v>1377</v>
      </c>
      <c r="J737">
        <f>IF(YEAR(Table8[[#This Row],[Date]])=2026,B737,0)+IF(ROW(J736)=1,0,J736)</f>
        <v>0</v>
      </c>
      <c r="K737">
        <f>MAX(Table8[Cumulative 2026])</f>
        <v>3102</v>
      </c>
    </row>
    <row r="738" spans="1:11" hidden="1" x14ac:dyDescent="0.25">
      <c r="A738" s="1">
        <v>45947</v>
      </c>
      <c r="B738">
        <f>SUM(_xlfn.CHOOSEROWS(Table8[[The Golden Compass]:[end]],ROW()-1))</f>
        <v>0</v>
      </c>
      <c r="C738">
        <f>Table8[[#This Row],[Cumulative 2023 Q4]]+Table8[[#This Row],[Cumulative 2024]]+Table8[[#This Row],[Cumulative 2025]]+Table8[[#This Row],[Cumulative 2026]]</f>
        <v>11403</v>
      </c>
      <c r="D738">
        <f>IF(YEAR(Table8[[#This Row],[Date]])=2023,B738,0)+IF(ROW(D737)=1,0,D737)</f>
        <v>4195</v>
      </c>
      <c r="E738">
        <f>MAX(Table8[Cumulative 2023 Q4])</f>
        <v>4195</v>
      </c>
      <c r="F738">
        <f>IF(YEAR(Table8[[#This Row],[Date]])=2024,B738,0)+IF(ROW(F737)=1,0,F737)</f>
        <v>5831</v>
      </c>
      <c r="G738">
        <f>MAX(Table8[Cumulative 2024])</f>
        <v>5831</v>
      </c>
      <c r="H738">
        <f>IF(YEAR(Table8[[#This Row],[Date]])=2025,B738,0)+IF(ROW(H737)=1,0,H737)</f>
        <v>1377</v>
      </c>
      <c r="I738">
        <f>MAX(Table8[Cumulative 2025])</f>
        <v>1377</v>
      </c>
      <c r="J738">
        <f>IF(YEAR(Table8[[#This Row],[Date]])=2026,B738,0)+IF(ROW(J737)=1,0,J737)</f>
        <v>0</v>
      </c>
      <c r="K738">
        <f>MAX(Table8[Cumulative 2026])</f>
        <v>3102</v>
      </c>
    </row>
    <row r="739" spans="1:11" hidden="1" x14ac:dyDescent="0.25">
      <c r="A739" s="1">
        <v>45948</v>
      </c>
      <c r="B739">
        <f>SUM(_xlfn.CHOOSEROWS(Table8[[The Golden Compass]:[end]],ROW()-1))</f>
        <v>0</v>
      </c>
      <c r="C739">
        <f>Table8[[#This Row],[Cumulative 2023 Q4]]+Table8[[#This Row],[Cumulative 2024]]+Table8[[#This Row],[Cumulative 2025]]+Table8[[#This Row],[Cumulative 2026]]</f>
        <v>11403</v>
      </c>
      <c r="D739">
        <f>IF(YEAR(Table8[[#This Row],[Date]])=2023,B739,0)+IF(ROW(D738)=1,0,D738)</f>
        <v>4195</v>
      </c>
      <c r="E739">
        <f>MAX(Table8[Cumulative 2023 Q4])</f>
        <v>4195</v>
      </c>
      <c r="F739">
        <f>IF(YEAR(Table8[[#This Row],[Date]])=2024,B739,0)+IF(ROW(F738)=1,0,F738)</f>
        <v>5831</v>
      </c>
      <c r="G739">
        <f>MAX(Table8[Cumulative 2024])</f>
        <v>5831</v>
      </c>
      <c r="H739">
        <f>IF(YEAR(Table8[[#This Row],[Date]])=2025,B739,0)+IF(ROW(H738)=1,0,H738)</f>
        <v>1377</v>
      </c>
      <c r="I739">
        <f>MAX(Table8[Cumulative 2025])</f>
        <v>1377</v>
      </c>
      <c r="J739">
        <f>IF(YEAR(Table8[[#This Row],[Date]])=2026,B739,0)+IF(ROW(J738)=1,0,J738)</f>
        <v>0</v>
      </c>
      <c r="K739">
        <f>MAX(Table8[Cumulative 2026])</f>
        <v>3102</v>
      </c>
    </row>
    <row r="740" spans="1:11" hidden="1" x14ac:dyDescent="0.25">
      <c r="A740" s="1">
        <v>45949</v>
      </c>
      <c r="B740">
        <f>SUM(_xlfn.CHOOSEROWS(Table8[[The Golden Compass]:[end]],ROW()-1))</f>
        <v>0</v>
      </c>
      <c r="C740">
        <f>Table8[[#This Row],[Cumulative 2023 Q4]]+Table8[[#This Row],[Cumulative 2024]]+Table8[[#This Row],[Cumulative 2025]]+Table8[[#This Row],[Cumulative 2026]]</f>
        <v>11403</v>
      </c>
      <c r="D740">
        <f>IF(YEAR(Table8[[#This Row],[Date]])=2023,B740,0)+IF(ROW(D739)=1,0,D739)</f>
        <v>4195</v>
      </c>
      <c r="E740">
        <f>MAX(Table8[Cumulative 2023 Q4])</f>
        <v>4195</v>
      </c>
      <c r="F740">
        <f>IF(YEAR(Table8[[#This Row],[Date]])=2024,B740,0)+IF(ROW(F739)=1,0,F739)</f>
        <v>5831</v>
      </c>
      <c r="G740">
        <f>MAX(Table8[Cumulative 2024])</f>
        <v>5831</v>
      </c>
      <c r="H740">
        <f>IF(YEAR(Table8[[#This Row],[Date]])=2025,B740,0)+IF(ROW(H739)=1,0,H739)</f>
        <v>1377</v>
      </c>
      <c r="I740">
        <f>MAX(Table8[Cumulative 2025])</f>
        <v>1377</v>
      </c>
      <c r="J740">
        <f>IF(YEAR(Table8[[#This Row],[Date]])=2026,B740,0)+IF(ROW(J739)=1,0,J739)</f>
        <v>0</v>
      </c>
      <c r="K740">
        <f>MAX(Table8[Cumulative 2026])</f>
        <v>3102</v>
      </c>
    </row>
    <row r="741" spans="1:11" hidden="1" x14ac:dyDescent="0.25">
      <c r="A741" s="1">
        <v>45950</v>
      </c>
      <c r="B741">
        <f>SUM(_xlfn.CHOOSEROWS(Table8[[The Golden Compass]:[end]],ROW()-1))</f>
        <v>0</v>
      </c>
      <c r="C741">
        <f>Table8[[#This Row],[Cumulative 2023 Q4]]+Table8[[#This Row],[Cumulative 2024]]+Table8[[#This Row],[Cumulative 2025]]+Table8[[#This Row],[Cumulative 2026]]</f>
        <v>11403</v>
      </c>
      <c r="D741">
        <f>IF(YEAR(Table8[[#This Row],[Date]])=2023,B741,0)+IF(ROW(D740)=1,0,D740)</f>
        <v>4195</v>
      </c>
      <c r="E741">
        <f>MAX(Table8[Cumulative 2023 Q4])</f>
        <v>4195</v>
      </c>
      <c r="F741">
        <f>IF(YEAR(Table8[[#This Row],[Date]])=2024,B741,0)+IF(ROW(F740)=1,0,F740)</f>
        <v>5831</v>
      </c>
      <c r="G741">
        <f>MAX(Table8[Cumulative 2024])</f>
        <v>5831</v>
      </c>
      <c r="H741">
        <f>IF(YEAR(Table8[[#This Row],[Date]])=2025,B741,0)+IF(ROW(H740)=1,0,H740)</f>
        <v>1377</v>
      </c>
      <c r="I741">
        <f>MAX(Table8[Cumulative 2025])</f>
        <v>1377</v>
      </c>
      <c r="J741">
        <f>IF(YEAR(Table8[[#This Row],[Date]])=2026,B741,0)+IF(ROW(J740)=1,0,J740)</f>
        <v>0</v>
      </c>
      <c r="K741">
        <f>MAX(Table8[Cumulative 2026])</f>
        <v>3102</v>
      </c>
    </row>
    <row r="742" spans="1:11" hidden="1" x14ac:dyDescent="0.25">
      <c r="A742" s="1">
        <v>45951</v>
      </c>
      <c r="B742">
        <f>SUM(_xlfn.CHOOSEROWS(Table8[[The Golden Compass]:[end]],ROW()-1))</f>
        <v>0</v>
      </c>
      <c r="C742">
        <f>Table8[[#This Row],[Cumulative 2023 Q4]]+Table8[[#This Row],[Cumulative 2024]]+Table8[[#This Row],[Cumulative 2025]]+Table8[[#This Row],[Cumulative 2026]]</f>
        <v>11403</v>
      </c>
      <c r="D742">
        <f>IF(YEAR(Table8[[#This Row],[Date]])=2023,B742,0)+IF(ROW(D741)=1,0,D741)</f>
        <v>4195</v>
      </c>
      <c r="E742">
        <f>MAX(Table8[Cumulative 2023 Q4])</f>
        <v>4195</v>
      </c>
      <c r="F742">
        <f>IF(YEAR(Table8[[#This Row],[Date]])=2024,B742,0)+IF(ROW(F741)=1,0,F741)</f>
        <v>5831</v>
      </c>
      <c r="G742">
        <f>MAX(Table8[Cumulative 2024])</f>
        <v>5831</v>
      </c>
      <c r="H742">
        <f>IF(YEAR(Table8[[#This Row],[Date]])=2025,B742,0)+IF(ROW(H741)=1,0,H741)</f>
        <v>1377</v>
      </c>
      <c r="I742">
        <f>MAX(Table8[Cumulative 2025])</f>
        <v>1377</v>
      </c>
      <c r="J742">
        <f>IF(YEAR(Table8[[#This Row],[Date]])=2026,B742,0)+IF(ROW(J741)=1,0,J741)</f>
        <v>0</v>
      </c>
      <c r="K742">
        <f>MAX(Table8[Cumulative 2026])</f>
        <v>3102</v>
      </c>
    </row>
    <row r="743" spans="1:11" hidden="1" x14ac:dyDescent="0.25">
      <c r="A743" s="1">
        <v>45952</v>
      </c>
      <c r="B743">
        <f>SUM(_xlfn.CHOOSEROWS(Table8[[The Golden Compass]:[end]],ROW()-1))</f>
        <v>0</v>
      </c>
      <c r="C743">
        <f>Table8[[#This Row],[Cumulative 2023 Q4]]+Table8[[#This Row],[Cumulative 2024]]+Table8[[#This Row],[Cumulative 2025]]+Table8[[#This Row],[Cumulative 2026]]</f>
        <v>11403</v>
      </c>
      <c r="D743">
        <f>IF(YEAR(Table8[[#This Row],[Date]])=2023,B743,0)+IF(ROW(D742)=1,0,D742)</f>
        <v>4195</v>
      </c>
      <c r="E743">
        <f>MAX(Table8[Cumulative 2023 Q4])</f>
        <v>4195</v>
      </c>
      <c r="F743">
        <f>IF(YEAR(Table8[[#This Row],[Date]])=2024,B743,0)+IF(ROW(F742)=1,0,F742)</f>
        <v>5831</v>
      </c>
      <c r="G743">
        <f>MAX(Table8[Cumulative 2024])</f>
        <v>5831</v>
      </c>
      <c r="H743">
        <f>IF(YEAR(Table8[[#This Row],[Date]])=2025,B743,0)+IF(ROW(H742)=1,0,H742)</f>
        <v>1377</v>
      </c>
      <c r="I743">
        <f>MAX(Table8[Cumulative 2025])</f>
        <v>1377</v>
      </c>
      <c r="J743">
        <f>IF(YEAR(Table8[[#This Row],[Date]])=2026,B743,0)+IF(ROW(J742)=1,0,J742)</f>
        <v>0</v>
      </c>
      <c r="K743">
        <f>MAX(Table8[Cumulative 2026])</f>
        <v>3102</v>
      </c>
    </row>
    <row r="744" spans="1:11" hidden="1" x14ac:dyDescent="0.25">
      <c r="A744" s="1">
        <v>45953</v>
      </c>
      <c r="B744">
        <f>SUM(_xlfn.CHOOSEROWS(Table8[[The Golden Compass]:[end]],ROW()-1))</f>
        <v>0</v>
      </c>
      <c r="C744">
        <f>Table8[[#This Row],[Cumulative 2023 Q4]]+Table8[[#This Row],[Cumulative 2024]]+Table8[[#This Row],[Cumulative 2025]]+Table8[[#This Row],[Cumulative 2026]]</f>
        <v>11403</v>
      </c>
      <c r="D744">
        <f>IF(YEAR(Table8[[#This Row],[Date]])=2023,B744,0)+IF(ROW(D743)=1,0,D743)</f>
        <v>4195</v>
      </c>
      <c r="E744">
        <f>MAX(Table8[Cumulative 2023 Q4])</f>
        <v>4195</v>
      </c>
      <c r="F744">
        <f>IF(YEAR(Table8[[#This Row],[Date]])=2024,B744,0)+IF(ROW(F743)=1,0,F743)</f>
        <v>5831</v>
      </c>
      <c r="G744">
        <f>MAX(Table8[Cumulative 2024])</f>
        <v>5831</v>
      </c>
      <c r="H744">
        <f>IF(YEAR(Table8[[#This Row],[Date]])=2025,B744,0)+IF(ROW(H743)=1,0,H743)</f>
        <v>1377</v>
      </c>
      <c r="I744">
        <f>MAX(Table8[Cumulative 2025])</f>
        <v>1377</v>
      </c>
      <c r="J744">
        <f>IF(YEAR(Table8[[#This Row],[Date]])=2026,B744,0)+IF(ROW(J743)=1,0,J743)</f>
        <v>0</v>
      </c>
      <c r="K744">
        <f>MAX(Table8[Cumulative 2026])</f>
        <v>3102</v>
      </c>
    </row>
    <row r="745" spans="1:11" hidden="1" x14ac:dyDescent="0.25">
      <c r="A745" s="1">
        <v>45954</v>
      </c>
      <c r="B745">
        <f>SUM(_xlfn.CHOOSEROWS(Table8[[The Golden Compass]:[end]],ROW()-1))</f>
        <v>0</v>
      </c>
      <c r="C745">
        <f>Table8[[#This Row],[Cumulative 2023 Q4]]+Table8[[#This Row],[Cumulative 2024]]+Table8[[#This Row],[Cumulative 2025]]+Table8[[#This Row],[Cumulative 2026]]</f>
        <v>11403</v>
      </c>
      <c r="D745">
        <f>IF(YEAR(Table8[[#This Row],[Date]])=2023,B745,0)+IF(ROW(D744)=1,0,D744)</f>
        <v>4195</v>
      </c>
      <c r="E745">
        <f>MAX(Table8[Cumulative 2023 Q4])</f>
        <v>4195</v>
      </c>
      <c r="F745">
        <f>IF(YEAR(Table8[[#This Row],[Date]])=2024,B745,0)+IF(ROW(F744)=1,0,F744)</f>
        <v>5831</v>
      </c>
      <c r="G745">
        <f>MAX(Table8[Cumulative 2024])</f>
        <v>5831</v>
      </c>
      <c r="H745">
        <f>IF(YEAR(Table8[[#This Row],[Date]])=2025,B745,0)+IF(ROW(H744)=1,0,H744)</f>
        <v>1377</v>
      </c>
      <c r="I745">
        <f>MAX(Table8[Cumulative 2025])</f>
        <v>1377</v>
      </c>
      <c r="J745">
        <f>IF(YEAR(Table8[[#This Row],[Date]])=2026,B745,0)+IF(ROW(J744)=1,0,J744)</f>
        <v>0</v>
      </c>
      <c r="K745">
        <f>MAX(Table8[Cumulative 2026])</f>
        <v>3102</v>
      </c>
    </row>
    <row r="746" spans="1:11" hidden="1" x14ac:dyDescent="0.25">
      <c r="A746" s="1">
        <v>45955</v>
      </c>
      <c r="B746">
        <f>SUM(_xlfn.CHOOSEROWS(Table8[[The Golden Compass]:[end]],ROW()-1))</f>
        <v>0</v>
      </c>
      <c r="C746">
        <f>Table8[[#This Row],[Cumulative 2023 Q4]]+Table8[[#This Row],[Cumulative 2024]]+Table8[[#This Row],[Cumulative 2025]]+Table8[[#This Row],[Cumulative 2026]]</f>
        <v>11403</v>
      </c>
      <c r="D746">
        <f>IF(YEAR(Table8[[#This Row],[Date]])=2023,B746,0)+IF(ROW(D745)=1,0,D745)</f>
        <v>4195</v>
      </c>
      <c r="E746">
        <f>MAX(Table8[Cumulative 2023 Q4])</f>
        <v>4195</v>
      </c>
      <c r="F746">
        <f>IF(YEAR(Table8[[#This Row],[Date]])=2024,B746,0)+IF(ROW(F745)=1,0,F745)</f>
        <v>5831</v>
      </c>
      <c r="G746">
        <f>MAX(Table8[Cumulative 2024])</f>
        <v>5831</v>
      </c>
      <c r="H746">
        <f>IF(YEAR(Table8[[#This Row],[Date]])=2025,B746,0)+IF(ROW(H745)=1,0,H745)</f>
        <v>1377</v>
      </c>
      <c r="I746">
        <f>MAX(Table8[Cumulative 2025])</f>
        <v>1377</v>
      </c>
      <c r="J746">
        <f>IF(YEAR(Table8[[#This Row],[Date]])=2026,B746,0)+IF(ROW(J745)=1,0,J745)</f>
        <v>0</v>
      </c>
      <c r="K746">
        <f>MAX(Table8[Cumulative 2026])</f>
        <v>3102</v>
      </c>
    </row>
    <row r="747" spans="1:11" hidden="1" x14ac:dyDescent="0.25">
      <c r="A747" s="1">
        <v>45956</v>
      </c>
      <c r="B747">
        <f>SUM(_xlfn.CHOOSEROWS(Table8[[The Golden Compass]:[end]],ROW()-1))</f>
        <v>0</v>
      </c>
      <c r="C747">
        <f>Table8[[#This Row],[Cumulative 2023 Q4]]+Table8[[#This Row],[Cumulative 2024]]+Table8[[#This Row],[Cumulative 2025]]+Table8[[#This Row],[Cumulative 2026]]</f>
        <v>11403</v>
      </c>
      <c r="D747">
        <f>IF(YEAR(Table8[[#This Row],[Date]])=2023,B747,0)+IF(ROW(D746)=1,0,D746)</f>
        <v>4195</v>
      </c>
      <c r="E747">
        <f>MAX(Table8[Cumulative 2023 Q4])</f>
        <v>4195</v>
      </c>
      <c r="F747">
        <f>IF(YEAR(Table8[[#This Row],[Date]])=2024,B747,0)+IF(ROW(F746)=1,0,F746)</f>
        <v>5831</v>
      </c>
      <c r="G747">
        <f>MAX(Table8[Cumulative 2024])</f>
        <v>5831</v>
      </c>
      <c r="H747">
        <f>IF(YEAR(Table8[[#This Row],[Date]])=2025,B747,0)+IF(ROW(H746)=1,0,H746)</f>
        <v>1377</v>
      </c>
      <c r="I747">
        <f>MAX(Table8[Cumulative 2025])</f>
        <v>1377</v>
      </c>
      <c r="J747">
        <f>IF(YEAR(Table8[[#This Row],[Date]])=2026,B747,0)+IF(ROW(J746)=1,0,J746)</f>
        <v>0</v>
      </c>
      <c r="K747">
        <f>MAX(Table8[Cumulative 2026])</f>
        <v>3102</v>
      </c>
    </row>
    <row r="748" spans="1:11" hidden="1" x14ac:dyDescent="0.25">
      <c r="A748" s="1">
        <v>45957</v>
      </c>
      <c r="B748">
        <f>SUM(_xlfn.CHOOSEROWS(Table8[[The Golden Compass]:[end]],ROW()-1))</f>
        <v>0</v>
      </c>
      <c r="C748">
        <f>Table8[[#This Row],[Cumulative 2023 Q4]]+Table8[[#This Row],[Cumulative 2024]]+Table8[[#This Row],[Cumulative 2025]]+Table8[[#This Row],[Cumulative 2026]]</f>
        <v>11403</v>
      </c>
      <c r="D748">
        <f>IF(YEAR(Table8[[#This Row],[Date]])=2023,B748,0)+IF(ROW(D747)=1,0,D747)</f>
        <v>4195</v>
      </c>
      <c r="E748">
        <f>MAX(Table8[Cumulative 2023 Q4])</f>
        <v>4195</v>
      </c>
      <c r="F748">
        <f>IF(YEAR(Table8[[#This Row],[Date]])=2024,B748,0)+IF(ROW(F747)=1,0,F747)</f>
        <v>5831</v>
      </c>
      <c r="G748">
        <f>MAX(Table8[Cumulative 2024])</f>
        <v>5831</v>
      </c>
      <c r="H748">
        <f>IF(YEAR(Table8[[#This Row],[Date]])=2025,B748,0)+IF(ROW(H747)=1,0,H747)</f>
        <v>1377</v>
      </c>
      <c r="I748">
        <f>MAX(Table8[Cumulative 2025])</f>
        <v>1377</v>
      </c>
      <c r="J748">
        <f>IF(YEAR(Table8[[#This Row],[Date]])=2026,B748,0)+IF(ROW(J747)=1,0,J747)</f>
        <v>0</v>
      </c>
      <c r="K748">
        <f>MAX(Table8[Cumulative 2026])</f>
        <v>3102</v>
      </c>
    </row>
    <row r="749" spans="1:11" hidden="1" x14ac:dyDescent="0.25">
      <c r="A749" s="1">
        <v>45958</v>
      </c>
      <c r="B749">
        <f>SUM(_xlfn.CHOOSEROWS(Table8[[The Golden Compass]:[end]],ROW()-1))</f>
        <v>0</v>
      </c>
      <c r="C749">
        <f>Table8[[#This Row],[Cumulative 2023 Q4]]+Table8[[#This Row],[Cumulative 2024]]+Table8[[#This Row],[Cumulative 2025]]+Table8[[#This Row],[Cumulative 2026]]</f>
        <v>11403</v>
      </c>
      <c r="D749">
        <f>IF(YEAR(Table8[[#This Row],[Date]])=2023,B749,0)+IF(ROW(D748)=1,0,D748)</f>
        <v>4195</v>
      </c>
      <c r="E749">
        <f>MAX(Table8[Cumulative 2023 Q4])</f>
        <v>4195</v>
      </c>
      <c r="F749">
        <f>IF(YEAR(Table8[[#This Row],[Date]])=2024,B749,0)+IF(ROW(F748)=1,0,F748)</f>
        <v>5831</v>
      </c>
      <c r="G749">
        <f>MAX(Table8[Cumulative 2024])</f>
        <v>5831</v>
      </c>
      <c r="H749">
        <f>IF(YEAR(Table8[[#This Row],[Date]])=2025,B749,0)+IF(ROW(H748)=1,0,H748)</f>
        <v>1377</v>
      </c>
      <c r="I749">
        <f>MAX(Table8[Cumulative 2025])</f>
        <v>1377</v>
      </c>
      <c r="J749">
        <f>IF(YEAR(Table8[[#This Row],[Date]])=2026,B749,0)+IF(ROW(J748)=1,0,J748)</f>
        <v>0</v>
      </c>
      <c r="K749">
        <f>MAX(Table8[Cumulative 2026])</f>
        <v>3102</v>
      </c>
    </row>
    <row r="750" spans="1:11" hidden="1" x14ac:dyDescent="0.25">
      <c r="A750" s="1">
        <v>45959</v>
      </c>
      <c r="B750">
        <f>SUM(_xlfn.CHOOSEROWS(Table8[[The Golden Compass]:[end]],ROW()-1))</f>
        <v>0</v>
      </c>
      <c r="C750">
        <f>Table8[[#This Row],[Cumulative 2023 Q4]]+Table8[[#This Row],[Cumulative 2024]]+Table8[[#This Row],[Cumulative 2025]]+Table8[[#This Row],[Cumulative 2026]]</f>
        <v>11403</v>
      </c>
      <c r="D750">
        <f>IF(YEAR(Table8[[#This Row],[Date]])=2023,B750,0)+IF(ROW(D749)=1,0,D749)</f>
        <v>4195</v>
      </c>
      <c r="E750">
        <f>MAX(Table8[Cumulative 2023 Q4])</f>
        <v>4195</v>
      </c>
      <c r="F750">
        <f>IF(YEAR(Table8[[#This Row],[Date]])=2024,B750,0)+IF(ROW(F749)=1,0,F749)</f>
        <v>5831</v>
      </c>
      <c r="G750">
        <f>MAX(Table8[Cumulative 2024])</f>
        <v>5831</v>
      </c>
      <c r="H750">
        <f>IF(YEAR(Table8[[#This Row],[Date]])=2025,B750,0)+IF(ROW(H749)=1,0,H749)</f>
        <v>1377</v>
      </c>
      <c r="I750">
        <f>MAX(Table8[Cumulative 2025])</f>
        <v>1377</v>
      </c>
      <c r="J750">
        <f>IF(YEAR(Table8[[#This Row],[Date]])=2026,B750,0)+IF(ROW(J749)=1,0,J749)</f>
        <v>0</v>
      </c>
      <c r="K750">
        <f>MAX(Table8[Cumulative 2026])</f>
        <v>3102</v>
      </c>
    </row>
    <row r="751" spans="1:11" hidden="1" x14ac:dyDescent="0.25">
      <c r="A751" s="1">
        <v>45960</v>
      </c>
      <c r="B751">
        <f>SUM(_xlfn.CHOOSEROWS(Table8[[The Golden Compass]:[end]],ROW()-1))</f>
        <v>0</v>
      </c>
      <c r="C751">
        <f>Table8[[#This Row],[Cumulative 2023 Q4]]+Table8[[#This Row],[Cumulative 2024]]+Table8[[#This Row],[Cumulative 2025]]+Table8[[#This Row],[Cumulative 2026]]</f>
        <v>11403</v>
      </c>
      <c r="D751">
        <f>IF(YEAR(Table8[[#This Row],[Date]])=2023,B751,0)+IF(ROW(D750)=1,0,D750)</f>
        <v>4195</v>
      </c>
      <c r="E751">
        <f>MAX(Table8[Cumulative 2023 Q4])</f>
        <v>4195</v>
      </c>
      <c r="F751">
        <f>IF(YEAR(Table8[[#This Row],[Date]])=2024,B751,0)+IF(ROW(F750)=1,0,F750)</f>
        <v>5831</v>
      </c>
      <c r="G751">
        <f>MAX(Table8[Cumulative 2024])</f>
        <v>5831</v>
      </c>
      <c r="H751">
        <f>IF(YEAR(Table8[[#This Row],[Date]])=2025,B751,0)+IF(ROW(H750)=1,0,H750)</f>
        <v>1377</v>
      </c>
      <c r="I751">
        <f>MAX(Table8[Cumulative 2025])</f>
        <v>1377</v>
      </c>
      <c r="J751">
        <f>IF(YEAR(Table8[[#This Row],[Date]])=2026,B751,0)+IF(ROW(J750)=1,0,J750)</f>
        <v>0</v>
      </c>
      <c r="K751">
        <f>MAX(Table8[Cumulative 2026])</f>
        <v>3102</v>
      </c>
    </row>
    <row r="752" spans="1:11" hidden="1" x14ac:dyDescent="0.25">
      <c r="A752" s="1">
        <v>45961</v>
      </c>
      <c r="B752">
        <f>SUM(_xlfn.CHOOSEROWS(Table8[[The Golden Compass]:[end]],ROW()-1))</f>
        <v>0</v>
      </c>
      <c r="C752">
        <f>Table8[[#This Row],[Cumulative 2023 Q4]]+Table8[[#This Row],[Cumulative 2024]]+Table8[[#This Row],[Cumulative 2025]]+Table8[[#This Row],[Cumulative 2026]]</f>
        <v>11403</v>
      </c>
      <c r="D752">
        <f>IF(YEAR(Table8[[#This Row],[Date]])=2023,B752,0)+IF(ROW(D751)=1,0,D751)</f>
        <v>4195</v>
      </c>
      <c r="E752">
        <f>MAX(Table8[Cumulative 2023 Q4])</f>
        <v>4195</v>
      </c>
      <c r="F752">
        <f>IF(YEAR(Table8[[#This Row],[Date]])=2024,B752,0)+IF(ROW(F751)=1,0,F751)</f>
        <v>5831</v>
      </c>
      <c r="G752">
        <f>MAX(Table8[Cumulative 2024])</f>
        <v>5831</v>
      </c>
      <c r="H752">
        <f>IF(YEAR(Table8[[#This Row],[Date]])=2025,B752,0)+IF(ROW(H751)=1,0,H751)</f>
        <v>1377</v>
      </c>
      <c r="I752">
        <f>MAX(Table8[Cumulative 2025])</f>
        <v>1377</v>
      </c>
      <c r="J752">
        <f>IF(YEAR(Table8[[#This Row],[Date]])=2026,B752,0)+IF(ROW(J751)=1,0,J751)</f>
        <v>0</v>
      </c>
      <c r="K752">
        <f>MAX(Table8[Cumulative 2026])</f>
        <v>3102</v>
      </c>
    </row>
    <row r="753" spans="1:11" hidden="1" x14ac:dyDescent="0.25">
      <c r="A753" s="1">
        <v>45962</v>
      </c>
      <c r="B753">
        <f>SUM(_xlfn.CHOOSEROWS(Table8[[The Golden Compass]:[end]],ROW()-1))</f>
        <v>0</v>
      </c>
      <c r="C753">
        <f>Table8[[#This Row],[Cumulative 2023 Q4]]+Table8[[#This Row],[Cumulative 2024]]+Table8[[#This Row],[Cumulative 2025]]+Table8[[#This Row],[Cumulative 2026]]</f>
        <v>11403</v>
      </c>
      <c r="D753">
        <f>IF(YEAR(Table8[[#This Row],[Date]])=2023,B753,0)+IF(ROW(D752)=1,0,D752)</f>
        <v>4195</v>
      </c>
      <c r="E753">
        <f>MAX(Table8[Cumulative 2023 Q4])</f>
        <v>4195</v>
      </c>
      <c r="F753">
        <f>IF(YEAR(Table8[[#This Row],[Date]])=2024,B753,0)+IF(ROW(F752)=1,0,F752)</f>
        <v>5831</v>
      </c>
      <c r="G753">
        <f>MAX(Table8[Cumulative 2024])</f>
        <v>5831</v>
      </c>
      <c r="H753">
        <f>IF(YEAR(Table8[[#This Row],[Date]])=2025,B753,0)+IF(ROW(H752)=1,0,H752)</f>
        <v>1377</v>
      </c>
      <c r="I753">
        <f>MAX(Table8[Cumulative 2025])</f>
        <v>1377</v>
      </c>
      <c r="J753">
        <f>IF(YEAR(Table8[[#This Row],[Date]])=2026,B753,0)+IF(ROW(J752)=1,0,J752)</f>
        <v>0</v>
      </c>
      <c r="K753">
        <f>MAX(Table8[Cumulative 2026])</f>
        <v>3102</v>
      </c>
    </row>
    <row r="754" spans="1:11" hidden="1" x14ac:dyDescent="0.25">
      <c r="A754" s="1">
        <v>45963</v>
      </c>
      <c r="B754">
        <f>SUM(_xlfn.CHOOSEROWS(Table8[[The Golden Compass]:[end]],ROW()-1))</f>
        <v>0</v>
      </c>
      <c r="C754">
        <f>Table8[[#This Row],[Cumulative 2023 Q4]]+Table8[[#This Row],[Cumulative 2024]]+Table8[[#This Row],[Cumulative 2025]]+Table8[[#This Row],[Cumulative 2026]]</f>
        <v>11403</v>
      </c>
      <c r="D754">
        <f>IF(YEAR(Table8[[#This Row],[Date]])=2023,B754,0)+IF(ROW(D753)=1,0,D753)</f>
        <v>4195</v>
      </c>
      <c r="E754">
        <f>MAX(Table8[Cumulative 2023 Q4])</f>
        <v>4195</v>
      </c>
      <c r="F754">
        <f>IF(YEAR(Table8[[#This Row],[Date]])=2024,B754,0)+IF(ROW(F753)=1,0,F753)</f>
        <v>5831</v>
      </c>
      <c r="G754">
        <f>MAX(Table8[Cumulative 2024])</f>
        <v>5831</v>
      </c>
      <c r="H754">
        <f>IF(YEAR(Table8[[#This Row],[Date]])=2025,B754,0)+IF(ROW(H753)=1,0,H753)</f>
        <v>1377</v>
      </c>
      <c r="I754">
        <f>MAX(Table8[Cumulative 2025])</f>
        <v>1377</v>
      </c>
      <c r="J754">
        <f>IF(YEAR(Table8[[#This Row],[Date]])=2026,B754,0)+IF(ROW(J753)=1,0,J753)</f>
        <v>0</v>
      </c>
      <c r="K754">
        <f>MAX(Table8[Cumulative 2026])</f>
        <v>3102</v>
      </c>
    </row>
    <row r="755" spans="1:11" hidden="1" x14ac:dyDescent="0.25">
      <c r="A755" s="1">
        <v>45964</v>
      </c>
      <c r="B755">
        <f>SUM(_xlfn.CHOOSEROWS(Table8[[The Golden Compass]:[end]],ROW()-1))</f>
        <v>0</v>
      </c>
      <c r="C755">
        <f>Table8[[#This Row],[Cumulative 2023 Q4]]+Table8[[#This Row],[Cumulative 2024]]+Table8[[#This Row],[Cumulative 2025]]+Table8[[#This Row],[Cumulative 2026]]</f>
        <v>11403</v>
      </c>
      <c r="D755">
        <f>IF(YEAR(Table8[[#This Row],[Date]])=2023,B755,0)+IF(ROW(D754)=1,0,D754)</f>
        <v>4195</v>
      </c>
      <c r="E755">
        <f>MAX(Table8[Cumulative 2023 Q4])</f>
        <v>4195</v>
      </c>
      <c r="F755">
        <f>IF(YEAR(Table8[[#This Row],[Date]])=2024,B755,0)+IF(ROW(F754)=1,0,F754)</f>
        <v>5831</v>
      </c>
      <c r="G755">
        <f>MAX(Table8[Cumulative 2024])</f>
        <v>5831</v>
      </c>
      <c r="H755">
        <f>IF(YEAR(Table8[[#This Row],[Date]])=2025,B755,0)+IF(ROW(H754)=1,0,H754)</f>
        <v>1377</v>
      </c>
      <c r="I755">
        <f>MAX(Table8[Cumulative 2025])</f>
        <v>1377</v>
      </c>
      <c r="J755">
        <f>IF(YEAR(Table8[[#This Row],[Date]])=2026,B755,0)+IF(ROW(J754)=1,0,J754)</f>
        <v>0</v>
      </c>
      <c r="K755">
        <f>MAX(Table8[Cumulative 2026])</f>
        <v>3102</v>
      </c>
    </row>
    <row r="756" spans="1:11" hidden="1" x14ac:dyDescent="0.25">
      <c r="A756" s="1">
        <v>45965</v>
      </c>
      <c r="B756">
        <f>SUM(_xlfn.CHOOSEROWS(Table8[[The Golden Compass]:[end]],ROW()-1))</f>
        <v>0</v>
      </c>
      <c r="C756">
        <f>Table8[[#This Row],[Cumulative 2023 Q4]]+Table8[[#This Row],[Cumulative 2024]]+Table8[[#This Row],[Cumulative 2025]]+Table8[[#This Row],[Cumulative 2026]]</f>
        <v>11403</v>
      </c>
      <c r="D756">
        <f>IF(YEAR(Table8[[#This Row],[Date]])=2023,B756,0)+IF(ROW(D755)=1,0,D755)</f>
        <v>4195</v>
      </c>
      <c r="E756">
        <f>MAX(Table8[Cumulative 2023 Q4])</f>
        <v>4195</v>
      </c>
      <c r="F756">
        <f>IF(YEAR(Table8[[#This Row],[Date]])=2024,B756,0)+IF(ROW(F755)=1,0,F755)</f>
        <v>5831</v>
      </c>
      <c r="G756">
        <f>MAX(Table8[Cumulative 2024])</f>
        <v>5831</v>
      </c>
      <c r="H756">
        <f>IF(YEAR(Table8[[#This Row],[Date]])=2025,B756,0)+IF(ROW(H755)=1,0,H755)</f>
        <v>1377</v>
      </c>
      <c r="I756">
        <f>MAX(Table8[Cumulative 2025])</f>
        <v>1377</v>
      </c>
      <c r="J756">
        <f>IF(YEAR(Table8[[#This Row],[Date]])=2026,B756,0)+IF(ROW(J755)=1,0,J755)</f>
        <v>0</v>
      </c>
      <c r="K756">
        <f>MAX(Table8[Cumulative 2026])</f>
        <v>3102</v>
      </c>
    </row>
    <row r="757" spans="1:11" hidden="1" x14ac:dyDescent="0.25">
      <c r="A757" s="1">
        <v>45966</v>
      </c>
      <c r="B757">
        <f>SUM(_xlfn.CHOOSEROWS(Table8[[The Golden Compass]:[end]],ROW()-1))</f>
        <v>0</v>
      </c>
      <c r="C757">
        <f>Table8[[#This Row],[Cumulative 2023 Q4]]+Table8[[#This Row],[Cumulative 2024]]+Table8[[#This Row],[Cumulative 2025]]+Table8[[#This Row],[Cumulative 2026]]</f>
        <v>11403</v>
      </c>
      <c r="D757">
        <f>IF(YEAR(Table8[[#This Row],[Date]])=2023,B757,0)+IF(ROW(D756)=1,0,D756)</f>
        <v>4195</v>
      </c>
      <c r="E757">
        <f>MAX(Table8[Cumulative 2023 Q4])</f>
        <v>4195</v>
      </c>
      <c r="F757">
        <f>IF(YEAR(Table8[[#This Row],[Date]])=2024,B757,0)+IF(ROW(F756)=1,0,F756)</f>
        <v>5831</v>
      </c>
      <c r="G757">
        <f>MAX(Table8[Cumulative 2024])</f>
        <v>5831</v>
      </c>
      <c r="H757">
        <f>IF(YEAR(Table8[[#This Row],[Date]])=2025,B757,0)+IF(ROW(H756)=1,0,H756)</f>
        <v>1377</v>
      </c>
      <c r="I757">
        <f>MAX(Table8[Cumulative 2025])</f>
        <v>1377</v>
      </c>
      <c r="J757">
        <f>IF(YEAR(Table8[[#This Row],[Date]])=2026,B757,0)+IF(ROW(J756)=1,0,J756)</f>
        <v>0</v>
      </c>
      <c r="K757">
        <f>MAX(Table8[Cumulative 2026])</f>
        <v>3102</v>
      </c>
    </row>
    <row r="758" spans="1:11" hidden="1" x14ac:dyDescent="0.25">
      <c r="A758" s="1">
        <v>45967</v>
      </c>
      <c r="B758">
        <f>SUM(_xlfn.CHOOSEROWS(Table8[[The Golden Compass]:[end]],ROW()-1))</f>
        <v>0</v>
      </c>
      <c r="C758">
        <f>Table8[[#This Row],[Cumulative 2023 Q4]]+Table8[[#This Row],[Cumulative 2024]]+Table8[[#This Row],[Cumulative 2025]]+Table8[[#This Row],[Cumulative 2026]]</f>
        <v>11403</v>
      </c>
      <c r="D758">
        <f>IF(YEAR(Table8[[#This Row],[Date]])=2023,B758,0)+IF(ROW(D757)=1,0,D757)</f>
        <v>4195</v>
      </c>
      <c r="E758">
        <f>MAX(Table8[Cumulative 2023 Q4])</f>
        <v>4195</v>
      </c>
      <c r="F758">
        <f>IF(YEAR(Table8[[#This Row],[Date]])=2024,B758,0)+IF(ROW(F757)=1,0,F757)</f>
        <v>5831</v>
      </c>
      <c r="G758">
        <f>MAX(Table8[Cumulative 2024])</f>
        <v>5831</v>
      </c>
      <c r="H758">
        <f>IF(YEAR(Table8[[#This Row],[Date]])=2025,B758,0)+IF(ROW(H757)=1,0,H757)</f>
        <v>1377</v>
      </c>
      <c r="I758">
        <f>MAX(Table8[Cumulative 2025])</f>
        <v>1377</v>
      </c>
      <c r="J758">
        <f>IF(YEAR(Table8[[#This Row],[Date]])=2026,B758,0)+IF(ROW(J757)=1,0,J757)</f>
        <v>0</v>
      </c>
      <c r="K758">
        <f>MAX(Table8[Cumulative 2026])</f>
        <v>3102</v>
      </c>
    </row>
    <row r="759" spans="1:11" hidden="1" x14ac:dyDescent="0.25">
      <c r="A759" s="1">
        <v>45968</v>
      </c>
      <c r="B759">
        <f>SUM(_xlfn.CHOOSEROWS(Table8[[The Golden Compass]:[end]],ROW()-1))</f>
        <v>0</v>
      </c>
      <c r="C759">
        <f>Table8[[#This Row],[Cumulative 2023 Q4]]+Table8[[#This Row],[Cumulative 2024]]+Table8[[#This Row],[Cumulative 2025]]+Table8[[#This Row],[Cumulative 2026]]</f>
        <v>11403</v>
      </c>
      <c r="D759">
        <f>IF(YEAR(Table8[[#This Row],[Date]])=2023,B759,0)+IF(ROW(D758)=1,0,D758)</f>
        <v>4195</v>
      </c>
      <c r="E759">
        <f>MAX(Table8[Cumulative 2023 Q4])</f>
        <v>4195</v>
      </c>
      <c r="F759">
        <f>IF(YEAR(Table8[[#This Row],[Date]])=2024,B759,0)+IF(ROW(F758)=1,0,F758)</f>
        <v>5831</v>
      </c>
      <c r="G759">
        <f>MAX(Table8[Cumulative 2024])</f>
        <v>5831</v>
      </c>
      <c r="H759">
        <f>IF(YEAR(Table8[[#This Row],[Date]])=2025,B759,0)+IF(ROW(H758)=1,0,H758)</f>
        <v>1377</v>
      </c>
      <c r="I759">
        <f>MAX(Table8[Cumulative 2025])</f>
        <v>1377</v>
      </c>
      <c r="J759">
        <f>IF(YEAR(Table8[[#This Row],[Date]])=2026,B759,0)+IF(ROW(J758)=1,0,J758)</f>
        <v>0</v>
      </c>
      <c r="K759">
        <f>MAX(Table8[Cumulative 2026])</f>
        <v>3102</v>
      </c>
    </row>
    <row r="760" spans="1:11" hidden="1" x14ac:dyDescent="0.25">
      <c r="A760" s="1">
        <v>45969</v>
      </c>
      <c r="B760">
        <f>SUM(_xlfn.CHOOSEROWS(Table8[[The Golden Compass]:[end]],ROW()-1))</f>
        <v>0</v>
      </c>
      <c r="C760">
        <f>Table8[[#This Row],[Cumulative 2023 Q4]]+Table8[[#This Row],[Cumulative 2024]]+Table8[[#This Row],[Cumulative 2025]]+Table8[[#This Row],[Cumulative 2026]]</f>
        <v>11403</v>
      </c>
      <c r="D760">
        <f>IF(YEAR(Table8[[#This Row],[Date]])=2023,B760,0)+IF(ROW(D759)=1,0,D759)</f>
        <v>4195</v>
      </c>
      <c r="E760">
        <f>MAX(Table8[Cumulative 2023 Q4])</f>
        <v>4195</v>
      </c>
      <c r="F760">
        <f>IF(YEAR(Table8[[#This Row],[Date]])=2024,B760,0)+IF(ROW(F759)=1,0,F759)</f>
        <v>5831</v>
      </c>
      <c r="G760">
        <f>MAX(Table8[Cumulative 2024])</f>
        <v>5831</v>
      </c>
      <c r="H760">
        <f>IF(YEAR(Table8[[#This Row],[Date]])=2025,B760,0)+IF(ROW(H759)=1,0,H759)</f>
        <v>1377</v>
      </c>
      <c r="I760">
        <f>MAX(Table8[Cumulative 2025])</f>
        <v>1377</v>
      </c>
      <c r="J760">
        <f>IF(YEAR(Table8[[#This Row],[Date]])=2026,B760,0)+IF(ROW(J759)=1,0,J759)</f>
        <v>0</v>
      </c>
      <c r="K760">
        <f>MAX(Table8[Cumulative 2026])</f>
        <v>3102</v>
      </c>
    </row>
    <row r="761" spans="1:11" hidden="1" x14ac:dyDescent="0.25">
      <c r="A761" s="1">
        <v>45970</v>
      </c>
      <c r="B761">
        <f>SUM(_xlfn.CHOOSEROWS(Table8[[The Golden Compass]:[end]],ROW()-1))</f>
        <v>0</v>
      </c>
      <c r="C761">
        <f>Table8[[#This Row],[Cumulative 2023 Q4]]+Table8[[#This Row],[Cumulative 2024]]+Table8[[#This Row],[Cumulative 2025]]+Table8[[#This Row],[Cumulative 2026]]</f>
        <v>11403</v>
      </c>
      <c r="D761">
        <f>IF(YEAR(Table8[[#This Row],[Date]])=2023,B761,0)+IF(ROW(D760)=1,0,D760)</f>
        <v>4195</v>
      </c>
      <c r="E761">
        <f>MAX(Table8[Cumulative 2023 Q4])</f>
        <v>4195</v>
      </c>
      <c r="F761">
        <f>IF(YEAR(Table8[[#This Row],[Date]])=2024,B761,0)+IF(ROW(F760)=1,0,F760)</f>
        <v>5831</v>
      </c>
      <c r="G761">
        <f>MAX(Table8[Cumulative 2024])</f>
        <v>5831</v>
      </c>
      <c r="H761">
        <f>IF(YEAR(Table8[[#This Row],[Date]])=2025,B761,0)+IF(ROW(H760)=1,0,H760)</f>
        <v>1377</v>
      </c>
      <c r="I761">
        <f>MAX(Table8[Cumulative 2025])</f>
        <v>1377</v>
      </c>
      <c r="J761">
        <f>IF(YEAR(Table8[[#This Row],[Date]])=2026,B761,0)+IF(ROW(J760)=1,0,J760)</f>
        <v>0</v>
      </c>
      <c r="K761">
        <f>MAX(Table8[Cumulative 2026])</f>
        <v>3102</v>
      </c>
    </row>
    <row r="762" spans="1:11" hidden="1" x14ac:dyDescent="0.25">
      <c r="A762" s="1">
        <v>45971</v>
      </c>
      <c r="B762">
        <f>SUM(_xlfn.CHOOSEROWS(Table8[[The Golden Compass]:[end]],ROW()-1))</f>
        <v>0</v>
      </c>
      <c r="C762">
        <f>Table8[[#This Row],[Cumulative 2023 Q4]]+Table8[[#This Row],[Cumulative 2024]]+Table8[[#This Row],[Cumulative 2025]]+Table8[[#This Row],[Cumulative 2026]]</f>
        <v>11403</v>
      </c>
      <c r="D762">
        <f>IF(YEAR(Table8[[#This Row],[Date]])=2023,B762,0)+IF(ROW(D761)=1,0,D761)</f>
        <v>4195</v>
      </c>
      <c r="E762">
        <f>MAX(Table8[Cumulative 2023 Q4])</f>
        <v>4195</v>
      </c>
      <c r="F762">
        <f>IF(YEAR(Table8[[#This Row],[Date]])=2024,B762,0)+IF(ROW(F761)=1,0,F761)</f>
        <v>5831</v>
      </c>
      <c r="G762">
        <f>MAX(Table8[Cumulative 2024])</f>
        <v>5831</v>
      </c>
      <c r="H762">
        <f>IF(YEAR(Table8[[#This Row],[Date]])=2025,B762,0)+IF(ROW(H761)=1,0,H761)</f>
        <v>1377</v>
      </c>
      <c r="I762">
        <f>MAX(Table8[Cumulative 2025])</f>
        <v>1377</v>
      </c>
      <c r="J762">
        <f>IF(YEAR(Table8[[#This Row],[Date]])=2026,B762,0)+IF(ROW(J761)=1,0,J761)</f>
        <v>0</v>
      </c>
      <c r="K762">
        <f>MAX(Table8[Cumulative 2026])</f>
        <v>3102</v>
      </c>
    </row>
    <row r="763" spans="1:11" hidden="1" x14ac:dyDescent="0.25">
      <c r="A763" s="1">
        <v>45972</v>
      </c>
      <c r="B763">
        <f>SUM(_xlfn.CHOOSEROWS(Table8[[The Golden Compass]:[end]],ROW()-1))</f>
        <v>0</v>
      </c>
      <c r="C763">
        <f>Table8[[#This Row],[Cumulative 2023 Q4]]+Table8[[#This Row],[Cumulative 2024]]+Table8[[#This Row],[Cumulative 2025]]+Table8[[#This Row],[Cumulative 2026]]</f>
        <v>11403</v>
      </c>
      <c r="D763">
        <f>IF(YEAR(Table8[[#This Row],[Date]])=2023,B763,0)+IF(ROW(D762)=1,0,D762)</f>
        <v>4195</v>
      </c>
      <c r="E763">
        <f>MAX(Table8[Cumulative 2023 Q4])</f>
        <v>4195</v>
      </c>
      <c r="F763">
        <f>IF(YEAR(Table8[[#This Row],[Date]])=2024,B763,0)+IF(ROW(F762)=1,0,F762)</f>
        <v>5831</v>
      </c>
      <c r="G763">
        <f>MAX(Table8[Cumulative 2024])</f>
        <v>5831</v>
      </c>
      <c r="H763">
        <f>IF(YEAR(Table8[[#This Row],[Date]])=2025,B763,0)+IF(ROW(H762)=1,0,H762)</f>
        <v>1377</v>
      </c>
      <c r="I763">
        <f>MAX(Table8[Cumulative 2025])</f>
        <v>1377</v>
      </c>
      <c r="J763">
        <f>IF(YEAR(Table8[[#This Row],[Date]])=2026,B763,0)+IF(ROW(J762)=1,0,J762)</f>
        <v>0</v>
      </c>
      <c r="K763">
        <f>MAX(Table8[Cumulative 2026])</f>
        <v>3102</v>
      </c>
    </row>
    <row r="764" spans="1:11" hidden="1" x14ac:dyDescent="0.25">
      <c r="A764" s="1">
        <v>45973</v>
      </c>
      <c r="B764">
        <f>SUM(_xlfn.CHOOSEROWS(Table8[[The Golden Compass]:[end]],ROW()-1))</f>
        <v>0</v>
      </c>
      <c r="C764">
        <f>Table8[[#This Row],[Cumulative 2023 Q4]]+Table8[[#This Row],[Cumulative 2024]]+Table8[[#This Row],[Cumulative 2025]]+Table8[[#This Row],[Cumulative 2026]]</f>
        <v>11403</v>
      </c>
      <c r="D764">
        <f>IF(YEAR(Table8[[#This Row],[Date]])=2023,B764,0)+IF(ROW(D763)=1,0,D763)</f>
        <v>4195</v>
      </c>
      <c r="E764">
        <f>MAX(Table8[Cumulative 2023 Q4])</f>
        <v>4195</v>
      </c>
      <c r="F764">
        <f>IF(YEAR(Table8[[#This Row],[Date]])=2024,B764,0)+IF(ROW(F763)=1,0,F763)</f>
        <v>5831</v>
      </c>
      <c r="G764">
        <f>MAX(Table8[Cumulative 2024])</f>
        <v>5831</v>
      </c>
      <c r="H764">
        <f>IF(YEAR(Table8[[#This Row],[Date]])=2025,B764,0)+IF(ROW(H763)=1,0,H763)</f>
        <v>1377</v>
      </c>
      <c r="I764">
        <f>MAX(Table8[Cumulative 2025])</f>
        <v>1377</v>
      </c>
      <c r="J764">
        <f>IF(YEAR(Table8[[#This Row],[Date]])=2026,B764,0)+IF(ROW(J763)=1,0,J763)</f>
        <v>0</v>
      </c>
      <c r="K764">
        <f>MAX(Table8[Cumulative 2026])</f>
        <v>3102</v>
      </c>
    </row>
    <row r="765" spans="1:11" hidden="1" x14ac:dyDescent="0.25">
      <c r="A765" s="1">
        <v>45974</v>
      </c>
      <c r="B765">
        <f>SUM(_xlfn.CHOOSEROWS(Table8[[The Golden Compass]:[end]],ROW()-1))</f>
        <v>0</v>
      </c>
      <c r="C765">
        <f>Table8[[#This Row],[Cumulative 2023 Q4]]+Table8[[#This Row],[Cumulative 2024]]+Table8[[#This Row],[Cumulative 2025]]+Table8[[#This Row],[Cumulative 2026]]</f>
        <v>11403</v>
      </c>
      <c r="D765">
        <f>IF(YEAR(Table8[[#This Row],[Date]])=2023,B765,0)+IF(ROW(D764)=1,0,D764)</f>
        <v>4195</v>
      </c>
      <c r="E765">
        <f>MAX(Table8[Cumulative 2023 Q4])</f>
        <v>4195</v>
      </c>
      <c r="F765">
        <f>IF(YEAR(Table8[[#This Row],[Date]])=2024,B765,0)+IF(ROW(F764)=1,0,F764)</f>
        <v>5831</v>
      </c>
      <c r="G765">
        <f>MAX(Table8[Cumulative 2024])</f>
        <v>5831</v>
      </c>
      <c r="H765">
        <f>IF(YEAR(Table8[[#This Row],[Date]])=2025,B765,0)+IF(ROW(H764)=1,0,H764)</f>
        <v>1377</v>
      </c>
      <c r="I765">
        <f>MAX(Table8[Cumulative 2025])</f>
        <v>1377</v>
      </c>
      <c r="J765">
        <f>IF(YEAR(Table8[[#This Row],[Date]])=2026,B765,0)+IF(ROW(J764)=1,0,J764)</f>
        <v>0</v>
      </c>
      <c r="K765">
        <f>MAX(Table8[Cumulative 2026])</f>
        <v>3102</v>
      </c>
    </row>
    <row r="766" spans="1:11" hidden="1" x14ac:dyDescent="0.25">
      <c r="A766" s="1">
        <v>45975</v>
      </c>
      <c r="B766">
        <f>SUM(_xlfn.CHOOSEROWS(Table8[[The Golden Compass]:[end]],ROW()-1))</f>
        <v>0</v>
      </c>
      <c r="C766">
        <f>Table8[[#This Row],[Cumulative 2023 Q4]]+Table8[[#This Row],[Cumulative 2024]]+Table8[[#This Row],[Cumulative 2025]]+Table8[[#This Row],[Cumulative 2026]]</f>
        <v>11403</v>
      </c>
      <c r="D766">
        <f>IF(YEAR(Table8[[#This Row],[Date]])=2023,B766,0)+IF(ROW(D765)=1,0,D765)</f>
        <v>4195</v>
      </c>
      <c r="E766">
        <f>MAX(Table8[Cumulative 2023 Q4])</f>
        <v>4195</v>
      </c>
      <c r="F766">
        <f>IF(YEAR(Table8[[#This Row],[Date]])=2024,B766,0)+IF(ROW(F765)=1,0,F765)</f>
        <v>5831</v>
      </c>
      <c r="G766">
        <f>MAX(Table8[Cumulative 2024])</f>
        <v>5831</v>
      </c>
      <c r="H766">
        <f>IF(YEAR(Table8[[#This Row],[Date]])=2025,B766,0)+IF(ROW(H765)=1,0,H765)</f>
        <v>1377</v>
      </c>
      <c r="I766">
        <f>MAX(Table8[Cumulative 2025])</f>
        <v>1377</v>
      </c>
      <c r="J766">
        <f>IF(YEAR(Table8[[#This Row],[Date]])=2026,B766,0)+IF(ROW(J765)=1,0,J765)</f>
        <v>0</v>
      </c>
      <c r="K766">
        <f>MAX(Table8[Cumulative 2026])</f>
        <v>3102</v>
      </c>
    </row>
    <row r="767" spans="1:11" hidden="1" x14ac:dyDescent="0.25">
      <c r="A767" s="1">
        <v>45976</v>
      </c>
      <c r="B767">
        <f>SUM(_xlfn.CHOOSEROWS(Table8[[The Golden Compass]:[end]],ROW()-1))</f>
        <v>0</v>
      </c>
      <c r="C767">
        <f>Table8[[#This Row],[Cumulative 2023 Q4]]+Table8[[#This Row],[Cumulative 2024]]+Table8[[#This Row],[Cumulative 2025]]+Table8[[#This Row],[Cumulative 2026]]</f>
        <v>11403</v>
      </c>
      <c r="D767">
        <f>IF(YEAR(Table8[[#This Row],[Date]])=2023,B767,0)+IF(ROW(D766)=1,0,D766)</f>
        <v>4195</v>
      </c>
      <c r="E767">
        <f>MAX(Table8[Cumulative 2023 Q4])</f>
        <v>4195</v>
      </c>
      <c r="F767">
        <f>IF(YEAR(Table8[[#This Row],[Date]])=2024,B767,0)+IF(ROW(F766)=1,0,F766)</f>
        <v>5831</v>
      </c>
      <c r="G767">
        <f>MAX(Table8[Cumulative 2024])</f>
        <v>5831</v>
      </c>
      <c r="H767">
        <f>IF(YEAR(Table8[[#This Row],[Date]])=2025,B767,0)+IF(ROW(H766)=1,0,H766)</f>
        <v>1377</v>
      </c>
      <c r="I767">
        <f>MAX(Table8[Cumulative 2025])</f>
        <v>1377</v>
      </c>
      <c r="J767">
        <f>IF(YEAR(Table8[[#This Row],[Date]])=2026,B767,0)+IF(ROW(J766)=1,0,J766)</f>
        <v>0</v>
      </c>
      <c r="K767">
        <f>MAX(Table8[Cumulative 2026])</f>
        <v>3102</v>
      </c>
    </row>
    <row r="768" spans="1:11" hidden="1" x14ac:dyDescent="0.25">
      <c r="A768" s="1">
        <v>45977</v>
      </c>
      <c r="B768">
        <f>SUM(_xlfn.CHOOSEROWS(Table8[[The Golden Compass]:[end]],ROW()-1))</f>
        <v>0</v>
      </c>
      <c r="C768">
        <f>Table8[[#This Row],[Cumulative 2023 Q4]]+Table8[[#This Row],[Cumulative 2024]]+Table8[[#This Row],[Cumulative 2025]]+Table8[[#This Row],[Cumulative 2026]]</f>
        <v>11403</v>
      </c>
      <c r="D768">
        <f>IF(YEAR(Table8[[#This Row],[Date]])=2023,B768,0)+IF(ROW(D767)=1,0,D767)</f>
        <v>4195</v>
      </c>
      <c r="E768">
        <f>MAX(Table8[Cumulative 2023 Q4])</f>
        <v>4195</v>
      </c>
      <c r="F768">
        <f>IF(YEAR(Table8[[#This Row],[Date]])=2024,B768,0)+IF(ROW(F767)=1,0,F767)</f>
        <v>5831</v>
      </c>
      <c r="G768">
        <f>MAX(Table8[Cumulative 2024])</f>
        <v>5831</v>
      </c>
      <c r="H768">
        <f>IF(YEAR(Table8[[#This Row],[Date]])=2025,B768,0)+IF(ROW(H767)=1,0,H767)</f>
        <v>1377</v>
      </c>
      <c r="I768">
        <f>MAX(Table8[Cumulative 2025])</f>
        <v>1377</v>
      </c>
      <c r="J768">
        <f>IF(YEAR(Table8[[#This Row],[Date]])=2026,B768,0)+IF(ROW(J767)=1,0,J767)</f>
        <v>0</v>
      </c>
      <c r="K768">
        <f>MAX(Table8[Cumulative 2026])</f>
        <v>3102</v>
      </c>
    </row>
    <row r="769" spans="1:11" hidden="1" x14ac:dyDescent="0.25">
      <c r="A769" s="1">
        <v>45978</v>
      </c>
      <c r="B769">
        <f>SUM(_xlfn.CHOOSEROWS(Table8[[The Golden Compass]:[end]],ROW()-1))</f>
        <v>0</v>
      </c>
      <c r="C769">
        <f>Table8[[#This Row],[Cumulative 2023 Q4]]+Table8[[#This Row],[Cumulative 2024]]+Table8[[#This Row],[Cumulative 2025]]+Table8[[#This Row],[Cumulative 2026]]</f>
        <v>11403</v>
      </c>
      <c r="D769">
        <f>IF(YEAR(Table8[[#This Row],[Date]])=2023,B769,0)+IF(ROW(D768)=1,0,D768)</f>
        <v>4195</v>
      </c>
      <c r="E769">
        <f>MAX(Table8[Cumulative 2023 Q4])</f>
        <v>4195</v>
      </c>
      <c r="F769">
        <f>IF(YEAR(Table8[[#This Row],[Date]])=2024,B769,0)+IF(ROW(F768)=1,0,F768)</f>
        <v>5831</v>
      </c>
      <c r="G769">
        <f>MAX(Table8[Cumulative 2024])</f>
        <v>5831</v>
      </c>
      <c r="H769">
        <f>IF(YEAR(Table8[[#This Row],[Date]])=2025,B769,0)+IF(ROW(H768)=1,0,H768)</f>
        <v>1377</v>
      </c>
      <c r="I769">
        <f>MAX(Table8[Cumulative 2025])</f>
        <v>1377</v>
      </c>
      <c r="J769">
        <f>IF(YEAR(Table8[[#This Row],[Date]])=2026,B769,0)+IF(ROW(J768)=1,0,J768)</f>
        <v>0</v>
      </c>
      <c r="K769">
        <f>MAX(Table8[Cumulative 2026])</f>
        <v>3102</v>
      </c>
    </row>
    <row r="770" spans="1:11" hidden="1" x14ac:dyDescent="0.25">
      <c r="A770" s="1">
        <v>45979</v>
      </c>
      <c r="B770">
        <f>SUM(_xlfn.CHOOSEROWS(Table8[[The Golden Compass]:[end]],ROW()-1))</f>
        <v>0</v>
      </c>
      <c r="C770">
        <f>Table8[[#This Row],[Cumulative 2023 Q4]]+Table8[[#This Row],[Cumulative 2024]]+Table8[[#This Row],[Cumulative 2025]]+Table8[[#This Row],[Cumulative 2026]]</f>
        <v>11403</v>
      </c>
      <c r="D770">
        <f>IF(YEAR(Table8[[#This Row],[Date]])=2023,B770,0)+IF(ROW(D769)=1,0,D769)</f>
        <v>4195</v>
      </c>
      <c r="E770">
        <f>MAX(Table8[Cumulative 2023 Q4])</f>
        <v>4195</v>
      </c>
      <c r="F770">
        <f>IF(YEAR(Table8[[#This Row],[Date]])=2024,B770,0)+IF(ROW(F769)=1,0,F769)</f>
        <v>5831</v>
      </c>
      <c r="G770">
        <f>MAX(Table8[Cumulative 2024])</f>
        <v>5831</v>
      </c>
      <c r="H770">
        <f>IF(YEAR(Table8[[#This Row],[Date]])=2025,B770,0)+IF(ROW(H769)=1,0,H769)</f>
        <v>1377</v>
      </c>
      <c r="I770">
        <f>MAX(Table8[Cumulative 2025])</f>
        <v>1377</v>
      </c>
      <c r="J770">
        <f>IF(YEAR(Table8[[#This Row],[Date]])=2026,B770,0)+IF(ROW(J769)=1,0,J769)</f>
        <v>0</v>
      </c>
      <c r="K770">
        <f>MAX(Table8[Cumulative 2026])</f>
        <v>3102</v>
      </c>
    </row>
    <row r="771" spans="1:11" hidden="1" x14ac:dyDescent="0.25">
      <c r="A771" s="1">
        <v>45980</v>
      </c>
      <c r="B771">
        <f>SUM(_xlfn.CHOOSEROWS(Table8[[The Golden Compass]:[end]],ROW()-1))</f>
        <v>0</v>
      </c>
      <c r="C771">
        <f>Table8[[#This Row],[Cumulative 2023 Q4]]+Table8[[#This Row],[Cumulative 2024]]+Table8[[#This Row],[Cumulative 2025]]+Table8[[#This Row],[Cumulative 2026]]</f>
        <v>11403</v>
      </c>
      <c r="D771">
        <f>IF(YEAR(Table8[[#This Row],[Date]])=2023,B771,0)+IF(ROW(D770)=1,0,D770)</f>
        <v>4195</v>
      </c>
      <c r="E771">
        <f>MAX(Table8[Cumulative 2023 Q4])</f>
        <v>4195</v>
      </c>
      <c r="F771">
        <f>IF(YEAR(Table8[[#This Row],[Date]])=2024,B771,0)+IF(ROW(F770)=1,0,F770)</f>
        <v>5831</v>
      </c>
      <c r="G771">
        <f>MAX(Table8[Cumulative 2024])</f>
        <v>5831</v>
      </c>
      <c r="H771">
        <f>IF(YEAR(Table8[[#This Row],[Date]])=2025,B771,0)+IF(ROW(H770)=1,0,H770)</f>
        <v>1377</v>
      </c>
      <c r="I771">
        <f>MAX(Table8[Cumulative 2025])</f>
        <v>1377</v>
      </c>
      <c r="J771">
        <f>IF(YEAR(Table8[[#This Row],[Date]])=2026,B771,0)+IF(ROW(J770)=1,0,J770)</f>
        <v>0</v>
      </c>
      <c r="K771">
        <f>MAX(Table8[Cumulative 2026])</f>
        <v>3102</v>
      </c>
    </row>
    <row r="772" spans="1:11" hidden="1" x14ac:dyDescent="0.25">
      <c r="A772" s="1">
        <v>45981</v>
      </c>
      <c r="B772">
        <f>SUM(_xlfn.CHOOSEROWS(Table8[[The Golden Compass]:[end]],ROW()-1))</f>
        <v>0</v>
      </c>
      <c r="C772">
        <f>Table8[[#This Row],[Cumulative 2023 Q4]]+Table8[[#This Row],[Cumulative 2024]]+Table8[[#This Row],[Cumulative 2025]]+Table8[[#This Row],[Cumulative 2026]]</f>
        <v>11403</v>
      </c>
      <c r="D772">
        <f>IF(YEAR(Table8[[#This Row],[Date]])=2023,B772,0)+IF(ROW(D771)=1,0,D771)</f>
        <v>4195</v>
      </c>
      <c r="E772">
        <f>MAX(Table8[Cumulative 2023 Q4])</f>
        <v>4195</v>
      </c>
      <c r="F772">
        <f>IF(YEAR(Table8[[#This Row],[Date]])=2024,B772,0)+IF(ROW(F771)=1,0,F771)</f>
        <v>5831</v>
      </c>
      <c r="G772">
        <f>MAX(Table8[Cumulative 2024])</f>
        <v>5831</v>
      </c>
      <c r="H772">
        <f>IF(YEAR(Table8[[#This Row],[Date]])=2025,B772,0)+IF(ROW(H771)=1,0,H771)</f>
        <v>1377</v>
      </c>
      <c r="I772">
        <f>MAX(Table8[Cumulative 2025])</f>
        <v>1377</v>
      </c>
      <c r="J772">
        <f>IF(YEAR(Table8[[#This Row],[Date]])=2026,B772,0)+IF(ROW(J771)=1,0,J771)</f>
        <v>0</v>
      </c>
      <c r="K772">
        <f>MAX(Table8[Cumulative 2026])</f>
        <v>3102</v>
      </c>
    </row>
    <row r="773" spans="1:11" hidden="1" x14ac:dyDescent="0.25">
      <c r="A773" s="1">
        <v>45982</v>
      </c>
      <c r="B773">
        <f>SUM(_xlfn.CHOOSEROWS(Table8[[The Golden Compass]:[end]],ROW()-1))</f>
        <v>0</v>
      </c>
      <c r="C773">
        <f>Table8[[#This Row],[Cumulative 2023 Q4]]+Table8[[#This Row],[Cumulative 2024]]+Table8[[#This Row],[Cumulative 2025]]+Table8[[#This Row],[Cumulative 2026]]</f>
        <v>11403</v>
      </c>
      <c r="D773">
        <f>IF(YEAR(Table8[[#This Row],[Date]])=2023,B773,0)+IF(ROW(D772)=1,0,D772)</f>
        <v>4195</v>
      </c>
      <c r="E773">
        <f>MAX(Table8[Cumulative 2023 Q4])</f>
        <v>4195</v>
      </c>
      <c r="F773">
        <f>IF(YEAR(Table8[[#This Row],[Date]])=2024,B773,0)+IF(ROW(F772)=1,0,F772)</f>
        <v>5831</v>
      </c>
      <c r="G773">
        <f>MAX(Table8[Cumulative 2024])</f>
        <v>5831</v>
      </c>
      <c r="H773">
        <f>IF(YEAR(Table8[[#This Row],[Date]])=2025,B773,0)+IF(ROW(H772)=1,0,H772)</f>
        <v>1377</v>
      </c>
      <c r="I773">
        <f>MAX(Table8[Cumulative 2025])</f>
        <v>1377</v>
      </c>
      <c r="J773">
        <f>IF(YEAR(Table8[[#This Row],[Date]])=2026,B773,0)+IF(ROW(J772)=1,0,J772)</f>
        <v>0</v>
      </c>
      <c r="K773">
        <f>MAX(Table8[Cumulative 2026])</f>
        <v>3102</v>
      </c>
    </row>
    <row r="774" spans="1:11" hidden="1" x14ac:dyDescent="0.25">
      <c r="A774" s="1">
        <v>45983</v>
      </c>
      <c r="B774">
        <f>SUM(_xlfn.CHOOSEROWS(Table8[[The Golden Compass]:[end]],ROW()-1))</f>
        <v>0</v>
      </c>
      <c r="C774">
        <f>Table8[[#This Row],[Cumulative 2023 Q4]]+Table8[[#This Row],[Cumulative 2024]]+Table8[[#This Row],[Cumulative 2025]]+Table8[[#This Row],[Cumulative 2026]]</f>
        <v>11403</v>
      </c>
      <c r="D774">
        <f>IF(YEAR(Table8[[#This Row],[Date]])=2023,B774,0)+IF(ROW(D773)=1,0,D773)</f>
        <v>4195</v>
      </c>
      <c r="E774">
        <f>MAX(Table8[Cumulative 2023 Q4])</f>
        <v>4195</v>
      </c>
      <c r="F774">
        <f>IF(YEAR(Table8[[#This Row],[Date]])=2024,B774,0)+IF(ROW(F773)=1,0,F773)</f>
        <v>5831</v>
      </c>
      <c r="G774">
        <f>MAX(Table8[Cumulative 2024])</f>
        <v>5831</v>
      </c>
      <c r="H774">
        <f>IF(YEAR(Table8[[#This Row],[Date]])=2025,B774,0)+IF(ROW(H773)=1,0,H773)</f>
        <v>1377</v>
      </c>
      <c r="I774">
        <f>MAX(Table8[Cumulative 2025])</f>
        <v>1377</v>
      </c>
      <c r="J774">
        <f>IF(YEAR(Table8[[#This Row],[Date]])=2026,B774,0)+IF(ROW(J773)=1,0,J773)</f>
        <v>0</v>
      </c>
      <c r="K774">
        <f>MAX(Table8[Cumulative 2026])</f>
        <v>3102</v>
      </c>
    </row>
    <row r="775" spans="1:11" hidden="1" x14ac:dyDescent="0.25">
      <c r="A775" s="1">
        <v>45984</v>
      </c>
      <c r="B775">
        <f>SUM(_xlfn.CHOOSEROWS(Table8[[The Golden Compass]:[end]],ROW()-1))</f>
        <v>0</v>
      </c>
      <c r="C775">
        <f>Table8[[#This Row],[Cumulative 2023 Q4]]+Table8[[#This Row],[Cumulative 2024]]+Table8[[#This Row],[Cumulative 2025]]+Table8[[#This Row],[Cumulative 2026]]</f>
        <v>11403</v>
      </c>
      <c r="D775">
        <f>IF(YEAR(Table8[[#This Row],[Date]])=2023,B775,0)+IF(ROW(D774)=1,0,D774)</f>
        <v>4195</v>
      </c>
      <c r="E775">
        <f>MAX(Table8[Cumulative 2023 Q4])</f>
        <v>4195</v>
      </c>
      <c r="F775">
        <f>IF(YEAR(Table8[[#This Row],[Date]])=2024,B775,0)+IF(ROW(F774)=1,0,F774)</f>
        <v>5831</v>
      </c>
      <c r="G775">
        <f>MAX(Table8[Cumulative 2024])</f>
        <v>5831</v>
      </c>
      <c r="H775">
        <f>IF(YEAR(Table8[[#This Row],[Date]])=2025,B775,0)+IF(ROW(H774)=1,0,H774)</f>
        <v>1377</v>
      </c>
      <c r="I775">
        <f>MAX(Table8[Cumulative 2025])</f>
        <v>1377</v>
      </c>
      <c r="J775">
        <f>IF(YEAR(Table8[[#This Row],[Date]])=2026,B775,0)+IF(ROW(J774)=1,0,J774)</f>
        <v>0</v>
      </c>
      <c r="K775">
        <f>MAX(Table8[Cumulative 2026])</f>
        <v>3102</v>
      </c>
    </row>
    <row r="776" spans="1:11" hidden="1" x14ac:dyDescent="0.25">
      <c r="A776" s="1">
        <v>45985</v>
      </c>
      <c r="B776">
        <f>SUM(_xlfn.CHOOSEROWS(Table8[[The Golden Compass]:[end]],ROW()-1))</f>
        <v>0</v>
      </c>
      <c r="C776">
        <f>Table8[[#This Row],[Cumulative 2023 Q4]]+Table8[[#This Row],[Cumulative 2024]]+Table8[[#This Row],[Cumulative 2025]]+Table8[[#This Row],[Cumulative 2026]]</f>
        <v>11403</v>
      </c>
      <c r="D776">
        <f>IF(YEAR(Table8[[#This Row],[Date]])=2023,B776,0)+IF(ROW(D775)=1,0,D775)</f>
        <v>4195</v>
      </c>
      <c r="E776">
        <f>MAX(Table8[Cumulative 2023 Q4])</f>
        <v>4195</v>
      </c>
      <c r="F776">
        <f>IF(YEAR(Table8[[#This Row],[Date]])=2024,B776,0)+IF(ROW(F775)=1,0,F775)</f>
        <v>5831</v>
      </c>
      <c r="G776">
        <f>MAX(Table8[Cumulative 2024])</f>
        <v>5831</v>
      </c>
      <c r="H776">
        <f>IF(YEAR(Table8[[#This Row],[Date]])=2025,B776,0)+IF(ROW(H775)=1,0,H775)</f>
        <v>1377</v>
      </c>
      <c r="I776">
        <f>MAX(Table8[Cumulative 2025])</f>
        <v>1377</v>
      </c>
      <c r="J776">
        <f>IF(YEAR(Table8[[#This Row],[Date]])=2026,B776,0)+IF(ROW(J775)=1,0,J775)</f>
        <v>0</v>
      </c>
      <c r="K776">
        <f>MAX(Table8[Cumulative 2026])</f>
        <v>3102</v>
      </c>
    </row>
    <row r="777" spans="1:11" hidden="1" x14ac:dyDescent="0.25">
      <c r="A777" s="1">
        <v>45986</v>
      </c>
      <c r="B777">
        <f>SUM(_xlfn.CHOOSEROWS(Table8[[The Golden Compass]:[end]],ROW()-1))</f>
        <v>0</v>
      </c>
      <c r="C777">
        <f>Table8[[#This Row],[Cumulative 2023 Q4]]+Table8[[#This Row],[Cumulative 2024]]+Table8[[#This Row],[Cumulative 2025]]+Table8[[#This Row],[Cumulative 2026]]</f>
        <v>11403</v>
      </c>
      <c r="D777">
        <f>IF(YEAR(Table8[[#This Row],[Date]])=2023,B777,0)+IF(ROW(D776)=1,0,D776)</f>
        <v>4195</v>
      </c>
      <c r="E777">
        <f>MAX(Table8[Cumulative 2023 Q4])</f>
        <v>4195</v>
      </c>
      <c r="F777">
        <f>IF(YEAR(Table8[[#This Row],[Date]])=2024,B777,0)+IF(ROW(F776)=1,0,F776)</f>
        <v>5831</v>
      </c>
      <c r="G777">
        <f>MAX(Table8[Cumulative 2024])</f>
        <v>5831</v>
      </c>
      <c r="H777">
        <f>IF(YEAR(Table8[[#This Row],[Date]])=2025,B777,0)+IF(ROW(H776)=1,0,H776)</f>
        <v>1377</v>
      </c>
      <c r="I777">
        <f>MAX(Table8[Cumulative 2025])</f>
        <v>1377</v>
      </c>
      <c r="J777">
        <f>IF(YEAR(Table8[[#This Row],[Date]])=2026,B777,0)+IF(ROW(J776)=1,0,J776)</f>
        <v>0</v>
      </c>
      <c r="K777">
        <f>MAX(Table8[Cumulative 2026])</f>
        <v>3102</v>
      </c>
    </row>
    <row r="778" spans="1:11" hidden="1" x14ac:dyDescent="0.25">
      <c r="A778" s="1">
        <v>45987</v>
      </c>
      <c r="B778">
        <f>SUM(_xlfn.CHOOSEROWS(Table8[[The Golden Compass]:[end]],ROW()-1))</f>
        <v>0</v>
      </c>
      <c r="C778">
        <f>Table8[[#This Row],[Cumulative 2023 Q4]]+Table8[[#This Row],[Cumulative 2024]]+Table8[[#This Row],[Cumulative 2025]]+Table8[[#This Row],[Cumulative 2026]]</f>
        <v>11403</v>
      </c>
      <c r="D778">
        <f>IF(YEAR(Table8[[#This Row],[Date]])=2023,B778,0)+IF(ROW(D777)=1,0,D777)</f>
        <v>4195</v>
      </c>
      <c r="E778">
        <f>MAX(Table8[Cumulative 2023 Q4])</f>
        <v>4195</v>
      </c>
      <c r="F778">
        <f>IF(YEAR(Table8[[#This Row],[Date]])=2024,B778,0)+IF(ROW(F777)=1,0,F777)</f>
        <v>5831</v>
      </c>
      <c r="G778">
        <f>MAX(Table8[Cumulative 2024])</f>
        <v>5831</v>
      </c>
      <c r="H778">
        <f>IF(YEAR(Table8[[#This Row],[Date]])=2025,B778,0)+IF(ROW(H777)=1,0,H777)</f>
        <v>1377</v>
      </c>
      <c r="I778">
        <f>MAX(Table8[Cumulative 2025])</f>
        <v>1377</v>
      </c>
      <c r="J778">
        <f>IF(YEAR(Table8[[#This Row],[Date]])=2026,B778,0)+IF(ROW(J777)=1,0,J777)</f>
        <v>0</v>
      </c>
      <c r="K778">
        <f>MAX(Table8[Cumulative 2026])</f>
        <v>3102</v>
      </c>
    </row>
    <row r="779" spans="1:11" hidden="1" x14ac:dyDescent="0.25">
      <c r="A779" s="1">
        <v>45988</v>
      </c>
      <c r="B779">
        <f>SUM(_xlfn.CHOOSEROWS(Table8[[The Golden Compass]:[end]],ROW()-1))</f>
        <v>0</v>
      </c>
      <c r="C779">
        <f>Table8[[#This Row],[Cumulative 2023 Q4]]+Table8[[#This Row],[Cumulative 2024]]+Table8[[#This Row],[Cumulative 2025]]+Table8[[#This Row],[Cumulative 2026]]</f>
        <v>11403</v>
      </c>
      <c r="D779">
        <f>IF(YEAR(Table8[[#This Row],[Date]])=2023,B779,0)+IF(ROW(D778)=1,0,D778)</f>
        <v>4195</v>
      </c>
      <c r="E779">
        <f>MAX(Table8[Cumulative 2023 Q4])</f>
        <v>4195</v>
      </c>
      <c r="F779">
        <f>IF(YEAR(Table8[[#This Row],[Date]])=2024,B779,0)+IF(ROW(F778)=1,0,F778)</f>
        <v>5831</v>
      </c>
      <c r="G779">
        <f>MAX(Table8[Cumulative 2024])</f>
        <v>5831</v>
      </c>
      <c r="H779">
        <f>IF(YEAR(Table8[[#This Row],[Date]])=2025,B779,0)+IF(ROW(H778)=1,0,H778)</f>
        <v>1377</v>
      </c>
      <c r="I779">
        <f>MAX(Table8[Cumulative 2025])</f>
        <v>1377</v>
      </c>
      <c r="J779">
        <f>IF(YEAR(Table8[[#This Row],[Date]])=2026,B779,0)+IF(ROW(J778)=1,0,J778)</f>
        <v>0</v>
      </c>
      <c r="K779">
        <f>MAX(Table8[Cumulative 2026])</f>
        <v>3102</v>
      </c>
    </row>
    <row r="780" spans="1:11" hidden="1" x14ac:dyDescent="0.25">
      <c r="A780" s="1">
        <v>45989</v>
      </c>
      <c r="B780">
        <f>SUM(_xlfn.CHOOSEROWS(Table8[[The Golden Compass]:[end]],ROW()-1))</f>
        <v>0</v>
      </c>
      <c r="C780">
        <f>Table8[[#This Row],[Cumulative 2023 Q4]]+Table8[[#This Row],[Cumulative 2024]]+Table8[[#This Row],[Cumulative 2025]]+Table8[[#This Row],[Cumulative 2026]]</f>
        <v>11403</v>
      </c>
      <c r="D780">
        <f>IF(YEAR(Table8[[#This Row],[Date]])=2023,B780,0)+IF(ROW(D779)=1,0,D779)</f>
        <v>4195</v>
      </c>
      <c r="E780">
        <f>MAX(Table8[Cumulative 2023 Q4])</f>
        <v>4195</v>
      </c>
      <c r="F780">
        <f>IF(YEAR(Table8[[#This Row],[Date]])=2024,B780,0)+IF(ROW(F779)=1,0,F779)</f>
        <v>5831</v>
      </c>
      <c r="G780">
        <f>MAX(Table8[Cumulative 2024])</f>
        <v>5831</v>
      </c>
      <c r="H780">
        <f>IF(YEAR(Table8[[#This Row],[Date]])=2025,B780,0)+IF(ROW(H779)=1,0,H779)</f>
        <v>1377</v>
      </c>
      <c r="I780">
        <f>MAX(Table8[Cumulative 2025])</f>
        <v>1377</v>
      </c>
      <c r="J780">
        <f>IF(YEAR(Table8[[#This Row],[Date]])=2026,B780,0)+IF(ROW(J779)=1,0,J779)</f>
        <v>0</v>
      </c>
      <c r="K780">
        <f>MAX(Table8[Cumulative 2026])</f>
        <v>3102</v>
      </c>
    </row>
    <row r="781" spans="1:11" hidden="1" x14ac:dyDescent="0.25">
      <c r="A781" s="1">
        <v>45990</v>
      </c>
      <c r="B781">
        <f>SUM(_xlfn.CHOOSEROWS(Table8[[The Golden Compass]:[end]],ROW()-1))</f>
        <v>0</v>
      </c>
      <c r="C781">
        <f>Table8[[#This Row],[Cumulative 2023 Q4]]+Table8[[#This Row],[Cumulative 2024]]+Table8[[#This Row],[Cumulative 2025]]+Table8[[#This Row],[Cumulative 2026]]</f>
        <v>11403</v>
      </c>
      <c r="D781">
        <f>IF(YEAR(Table8[[#This Row],[Date]])=2023,B781,0)+IF(ROW(D780)=1,0,D780)</f>
        <v>4195</v>
      </c>
      <c r="E781">
        <f>MAX(Table8[Cumulative 2023 Q4])</f>
        <v>4195</v>
      </c>
      <c r="F781">
        <f>IF(YEAR(Table8[[#This Row],[Date]])=2024,B781,0)+IF(ROW(F780)=1,0,F780)</f>
        <v>5831</v>
      </c>
      <c r="G781">
        <f>MAX(Table8[Cumulative 2024])</f>
        <v>5831</v>
      </c>
      <c r="H781">
        <f>IF(YEAR(Table8[[#This Row],[Date]])=2025,B781,0)+IF(ROW(H780)=1,0,H780)</f>
        <v>1377</v>
      </c>
      <c r="I781">
        <f>MAX(Table8[Cumulative 2025])</f>
        <v>1377</v>
      </c>
      <c r="J781">
        <f>IF(YEAR(Table8[[#This Row],[Date]])=2026,B781,0)+IF(ROW(J780)=1,0,J780)</f>
        <v>0</v>
      </c>
      <c r="K781">
        <f>MAX(Table8[Cumulative 2026])</f>
        <v>3102</v>
      </c>
    </row>
    <row r="782" spans="1:11" hidden="1" x14ac:dyDescent="0.25">
      <c r="A782" s="1">
        <v>45991</v>
      </c>
      <c r="B782">
        <f>SUM(_xlfn.CHOOSEROWS(Table8[[The Golden Compass]:[end]],ROW()-1))</f>
        <v>0</v>
      </c>
      <c r="C782">
        <f>Table8[[#This Row],[Cumulative 2023 Q4]]+Table8[[#This Row],[Cumulative 2024]]+Table8[[#This Row],[Cumulative 2025]]+Table8[[#This Row],[Cumulative 2026]]</f>
        <v>11403</v>
      </c>
      <c r="D782">
        <f>IF(YEAR(Table8[[#This Row],[Date]])=2023,B782,0)+IF(ROW(D781)=1,0,D781)</f>
        <v>4195</v>
      </c>
      <c r="E782">
        <f>MAX(Table8[Cumulative 2023 Q4])</f>
        <v>4195</v>
      </c>
      <c r="F782">
        <f>IF(YEAR(Table8[[#This Row],[Date]])=2024,B782,0)+IF(ROW(F781)=1,0,F781)</f>
        <v>5831</v>
      </c>
      <c r="G782">
        <f>MAX(Table8[Cumulative 2024])</f>
        <v>5831</v>
      </c>
      <c r="H782">
        <f>IF(YEAR(Table8[[#This Row],[Date]])=2025,B782,0)+IF(ROW(H781)=1,0,H781)</f>
        <v>1377</v>
      </c>
      <c r="I782">
        <f>MAX(Table8[Cumulative 2025])</f>
        <v>1377</v>
      </c>
      <c r="J782">
        <f>IF(YEAR(Table8[[#This Row],[Date]])=2026,B782,0)+IF(ROW(J781)=1,0,J781)</f>
        <v>0</v>
      </c>
      <c r="K782">
        <f>MAX(Table8[Cumulative 2026])</f>
        <v>3102</v>
      </c>
    </row>
    <row r="783" spans="1:11" hidden="1" x14ac:dyDescent="0.25">
      <c r="A783" s="1">
        <v>45992</v>
      </c>
      <c r="B783">
        <f>SUM(_xlfn.CHOOSEROWS(Table8[[The Golden Compass]:[end]],ROW()-1))</f>
        <v>0</v>
      </c>
      <c r="C783">
        <f>Table8[[#This Row],[Cumulative 2023 Q4]]+Table8[[#This Row],[Cumulative 2024]]+Table8[[#This Row],[Cumulative 2025]]+Table8[[#This Row],[Cumulative 2026]]</f>
        <v>11403</v>
      </c>
      <c r="D783">
        <f>IF(YEAR(Table8[[#This Row],[Date]])=2023,B783,0)+IF(ROW(D782)=1,0,D782)</f>
        <v>4195</v>
      </c>
      <c r="E783">
        <f>MAX(Table8[Cumulative 2023 Q4])</f>
        <v>4195</v>
      </c>
      <c r="F783">
        <f>IF(YEAR(Table8[[#This Row],[Date]])=2024,B783,0)+IF(ROW(F782)=1,0,F782)</f>
        <v>5831</v>
      </c>
      <c r="G783">
        <f>MAX(Table8[Cumulative 2024])</f>
        <v>5831</v>
      </c>
      <c r="H783">
        <f>IF(YEAR(Table8[[#This Row],[Date]])=2025,B783,0)+IF(ROW(H782)=1,0,H782)</f>
        <v>1377</v>
      </c>
      <c r="I783">
        <f>MAX(Table8[Cumulative 2025])</f>
        <v>1377</v>
      </c>
      <c r="J783">
        <f>IF(YEAR(Table8[[#This Row],[Date]])=2026,B783,0)+IF(ROW(J782)=1,0,J782)</f>
        <v>0</v>
      </c>
      <c r="K783">
        <f>MAX(Table8[Cumulative 2026])</f>
        <v>3102</v>
      </c>
    </row>
    <row r="784" spans="1:11" hidden="1" x14ac:dyDescent="0.25">
      <c r="A784" s="1">
        <v>45993</v>
      </c>
      <c r="B784">
        <f>SUM(_xlfn.CHOOSEROWS(Table8[[The Golden Compass]:[end]],ROW()-1))</f>
        <v>0</v>
      </c>
      <c r="C784">
        <f>Table8[[#This Row],[Cumulative 2023 Q4]]+Table8[[#This Row],[Cumulative 2024]]+Table8[[#This Row],[Cumulative 2025]]+Table8[[#This Row],[Cumulative 2026]]</f>
        <v>11403</v>
      </c>
      <c r="D784">
        <f>IF(YEAR(Table8[[#This Row],[Date]])=2023,B784,0)+IF(ROW(D783)=1,0,D783)</f>
        <v>4195</v>
      </c>
      <c r="E784">
        <f>MAX(Table8[Cumulative 2023 Q4])</f>
        <v>4195</v>
      </c>
      <c r="F784">
        <f>IF(YEAR(Table8[[#This Row],[Date]])=2024,B784,0)+IF(ROW(F783)=1,0,F783)</f>
        <v>5831</v>
      </c>
      <c r="G784">
        <f>MAX(Table8[Cumulative 2024])</f>
        <v>5831</v>
      </c>
      <c r="H784">
        <f>IF(YEAR(Table8[[#This Row],[Date]])=2025,B784,0)+IF(ROW(H783)=1,0,H783)</f>
        <v>1377</v>
      </c>
      <c r="I784">
        <f>MAX(Table8[Cumulative 2025])</f>
        <v>1377</v>
      </c>
      <c r="J784">
        <f>IF(YEAR(Table8[[#This Row],[Date]])=2026,B784,0)+IF(ROW(J783)=1,0,J783)</f>
        <v>0</v>
      </c>
      <c r="K784">
        <f>MAX(Table8[Cumulative 2026])</f>
        <v>3102</v>
      </c>
    </row>
    <row r="785" spans="1:11" hidden="1" x14ac:dyDescent="0.25">
      <c r="A785" s="1">
        <v>45994</v>
      </c>
      <c r="B785">
        <f>SUM(_xlfn.CHOOSEROWS(Table8[[The Golden Compass]:[end]],ROW()-1))</f>
        <v>0</v>
      </c>
      <c r="C785">
        <f>Table8[[#This Row],[Cumulative 2023 Q4]]+Table8[[#This Row],[Cumulative 2024]]+Table8[[#This Row],[Cumulative 2025]]+Table8[[#This Row],[Cumulative 2026]]</f>
        <v>11403</v>
      </c>
      <c r="D785">
        <f>IF(YEAR(Table8[[#This Row],[Date]])=2023,B785,0)+IF(ROW(D784)=1,0,D784)</f>
        <v>4195</v>
      </c>
      <c r="E785">
        <f>MAX(Table8[Cumulative 2023 Q4])</f>
        <v>4195</v>
      </c>
      <c r="F785">
        <f>IF(YEAR(Table8[[#This Row],[Date]])=2024,B785,0)+IF(ROW(F784)=1,0,F784)</f>
        <v>5831</v>
      </c>
      <c r="G785">
        <f>MAX(Table8[Cumulative 2024])</f>
        <v>5831</v>
      </c>
      <c r="H785">
        <f>IF(YEAR(Table8[[#This Row],[Date]])=2025,B785,0)+IF(ROW(H784)=1,0,H784)</f>
        <v>1377</v>
      </c>
      <c r="I785">
        <f>MAX(Table8[Cumulative 2025])</f>
        <v>1377</v>
      </c>
      <c r="J785">
        <f>IF(YEAR(Table8[[#This Row],[Date]])=2026,B785,0)+IF(ROW(J784)=1,0,J784)</f>
        <v>0</v>
      </c>
      <c r="K785">
        <f>MAX(Table8[Cumulative 2026])</f>
        <v>3102</v>
      </c>
    </row>
    <row r="786" spans="1:11" hidden="1" x14ac:dyDescent="0.25">
      <c r="A786" s="1">
        <v>45995</v>
      </c>
      <c r="B786">
        <f>SUM(_xlfn.CHOOSEROWS(Table8[[The Golden Compass]:[end]],ROW()-1))</f>
        <v>0</v>
      </c>
      <c r="C786">
        <f>Table8[[#This Row],[Cumulative 2023 Q4]]+Table8[[#This Row],[Cumulative 2024]]+Table8[[#This Row],[Cumulative 2025]]+Table8[[#This Row],[Cumulative 2026]]</f>
        <v>11403</v>
      </c>
      <c r="D786">
        <f>IF(YEAR(Table8[[#This Row],[Date]])=2023,B786,0)+IF(ROW(D785)=1,0,D785)</f>
        <v>4195</v>
      </c>
      <c r="E786">
        <f>MAX(Table8[Cumulative 2023 Q4])</f>
        <v>4195</v>
      </c>
      <c r="F786">
        <f>IF(YEAR(Table8[[#This Row],[Date]])=2024,B786,0)+IF(ROW(F785)=1,0,F785)</f>
        <v>5831</v>
      </c>
      <c r="G786">
        <f>MAX(Table8[Cumulative 2024])</f>
        <v>5831</v>
      </c>
      <c r="H786">
        <f>IF(YEAR(Table8[[#This Row],[Date]])=2025,B786,0)+IF(ROW(H785)=1,0,H785)</f>
        <v>1377</v>
      </c>
      <c r="I786">
        <f>MAX(Table8[Cumulative 2025])</f>
        <v>1377</v>
      </c>
      <c r="J786">
        <f>IF(YEAR(Table8[[#This Row],[Date]])=2026,B786,0)+IF(ROW(J785)=1,0,J785)</f>
        <v>0</v>
      </c>
      <c r="K786">
        <f>MAX(Table8[Cumulative 2026])</f>
        <v>3102</v>
      </c>
    </row>
    <row r="787" spans="1:11" hidden="1" x14ac:dyDescent="0.25">
      <c r="A787" s="1">
        <v>45996</v>
      </c>
      <c r="B787">
        <f>SUM(_xlfn.CHOOSEROWS(Table8[[The Golden Compass]:[end]],ROW()-1))</f>
        <v>0</v>
      </c>
      <c r="C787">
        <f>Table8[[#This Row],[Cumulative 2023 Q4]]+Table8[[#This Row],[Cumulative 2024]]+Table8[[#This Row],[Cumulative 2025]]+Table8[[#This Row],[Cumulative 2026]]</f>
        <v>11403</v>
      </c>
      <c r="D787">
        <f>IF(YEAR(Table8[[#This Row],[Date]])=2023,B787,0)+IF(ROW(D786)=1,0,D786)</f>
        <v>4195</v>
      </c>
      <c r="E787">
        <f>MAX(Table8[Cumulative 2023 Q4])</f>
        <v>4195</v>
      </c>
      <c r="F787">
        <f>IF(YEAR(Table8[[#This Row],[Date]])=2024,B787,0)+IF(ROW(F786)=1,0,F786)</f>
        <v>5831</v>
      </c>
      <c r="G787">
        <f>MAX(Table8[Cumulative 2024])</f>
        <v>5831</v>
      </c>
      <c r="H787">
        <f>IF(YEAR(Table8[[#This Row],[Date]])=2025,B787,0)+IF(ROW(H786)=1,0,H786)</f>
        <v>1377</v>
      </c>
      <c r="I787">
        <f>MAX(Table8[Cumulative 2025])</f>
        <v>1377</v>
      </c>
      <c r="J787">
        <f>IF(YEAR(Table8[[#This Row],[Date]])=2026,B787,0)+IF(ROW(J786)=1,0,J786)</f>
        <v>0</v>
      </c>
      <c r="K787">
        <f>MAX(Table8[Cumulative 2026])</f>
        <v>3102</v>
      </c>
    </row>
    <row r="788" spans="1:11" hidden="1" x14ac:dyDescent="0.25">
      <c r="A788" s="1">
        <v>45997</v>
      </c>
      <c r="B788">
        <f>SUM(_xlfn.CHOOSEROWS(Table8[[The Golden Compass]:[end]],ROW()-1))</f>
        <v>0</v>
      </c>
      <c r="C788">
        <f>Table8[[#This Row],[Cumulative 2023 Q4]]+Table8[[#This Row],[Cumulative 2024]]+Table8[[#This Row],[Cumulative 2025]]+Table8[[#This Row],[Cumulative 2026]]</f>
        <v>11403</v>
      </c>
      <c r="D788">
        <f>IF(YEAR(Table8[[#This Row],[Date]])=2023,B788,0)+IF(ROW(D787)=1,0,D787)</f>
        <v>4195</v>
      </c>
      <c r="E788">
        <f>MAX(Table8[Cumulative 2023 Q4])</f>
        <v>4195</v>
      </c>
      <c r="F788">
        <f>IF(YEAR(Table8[[#This Row],[Date]])=2024,B788,0)+IF(ROW(F787)=1,0,F787)</f>
        <v>5831</v>
      </c>
      <c r="G788">
        <f>MAX(Table8[Cumulative 2024])</f>
        <v>5831</v>
      </c>
      <c r="H788">
        <f>IF(YEAR(Table8[[#This Row],[Date]])=2025,B788,0)+IF(ROW(H787)=1,0,H787)</f>
        <v>1377</v>
      </c>
      <c r="I788">
        <f>MAX(Table8[Cumulative 2025])</f>
        <v>1377</v>
      </c>
      <c r="J788">
        <f>IF(YEAR(Table8[[#This Row],[Date]])=2026,B788,0)+IF(ROW(J787)=1,0,J787)</f>
        <v>0</v>
      </c>
      <c r="K788">
        <f>MAX(Table8[Cumulative 2026])</f>
        <v>3102</v>
      </c>
    </row>
    <row r="789" spans="1:11" hidden="1" x14ac:dyDescent="0.25">
      <c r="A789" s="1">
        <v>45998</v>
      </c>
      <c r="B789">
        <f>SUM(_xlfn.CHOOSEROWS(Table8[[The Golden Compass]:[end]],ROW()-1))</f>
        <v>0</v>
      </c>
      <c r="C789">
        <f>Table8[[#This Row],[Cumulative 2023 Q4]]+Table8[[#This Row],[Cumulative 2024]]+Table8[[#This Row],[Cumulative 2025]]+Table8[[#This Row],[Cumulative 2026]]</f>
        <v>11403</v>
      </c>
      <c r="D789">
        <f>IF(YEAR(Table8[[#This Row],[Date]])=2023,B789,0)+IF(ROW(D788)=1,0,D788)</f>
        <v>4195</v>
      </c>
      <c r="E789">
        <f>MAX(Table8[Cumulative 2023 Q4])</f>
        <v>4195</v>
      </c>
      <c r="F789">
        <f>IF(YEAR(Table8[[#This Row],[Date]])=2024,B789,0)+IF(ROW(F788)=1,0,F788)</f>
        <v>5831</v>
      </c>
      <c r="G789">
        <f>MAX(Table8[Cumulative 2024])</f>
        <v>5831</v>
      </c>
      <c r="H789">
        <f>IF(YEAR(Table8[[#This Row],[Date]])=2025,B789,0)+IF(ROW(H788)=1,0,H788)</f>
        <v>1377</v>
      </c>
      <c r="I789">
        <f>MAX(Table8[Cumulative 2025])</f>
        <v>1377</v>
      </c>
      <c r="J789">
        <f>IF(YEAR(Table8[[#This Row],[Date]])=2026,B789,0)+IF(ROW(J788)=1,0,J788)</f>
        <v>0</v>
      </c>
      <c r="K789">
        <f>MAX(Table8[Cumulative 2026])</f>
        <v>3102</v>
      </c>
    </row>
    <row r="790" spans="1:11" hidden="1" x14ac:dyDescent="0.25">
      <c r="A790" s="1">
        <v>45999</v>
      </c>
      <c r="B790">
        <f>SUM(_xlfn.CHOOSEROWS(Table8[[The Golden Compass]:[end]],ROW()-1))</f>
        <v>0</v>
      </c>
      <c r="C790">
        <f>Table8[[#This Row],[Cumulative 2023 Q4]]+Table8[[#This Row],[Cumulative 2024]]+Table8[[#This Row],[Cumulative 2025]]+Table8[[#This Row],[Cumulative 2026]]</f>
        <v>11403</v>
      </c>
      <c r="D790">
        <f>IF(YEAR(Table8[[#This Row],[Date]])=2023,B790,0)+IF(ROW(D789)=1,0,D789)</f>
        <v>4195</v>
      </c>
      <c r="E790">
        <f>MAX(Table8[Cumulative 2023 Q4])</f>
        <v>4195</v>
      </c>
      <c r="F790">
        <f>IF(YEAR(Table8[[#This Row],[Date]])=2024,B790,0)+IF(ROW(F789)=1,0,F789)</f>
        <v>5831</v>
      </c>
      <c r="G790">
        <f>MAX(Table8[Cumulative 2024])</f>
        <v>5831</v>
      </c>
      <c r="H790">
        <f>IF(YEAR(Table8[[#This Row],[Date]])=2025,B790,0)+IF(ROW(H789)=1,0,H789)</f>
        <v>1377</v>
      </c>
      <c r="I790">
        <f>MAX(Table8[Cumulative 2025])</f>
        <v>1377</v>
      </c>
      <c r="J790">
        <f>IF(YEAR(Table8[[#This Row],[Date]])=2026,B790,0)+IF(ROW(J789)=1,0,J789)</f>
        <v>0</v>
      </c>
      <c r="K790">
        <f>MAX(Table8[Cumulative 2026])</f>
        <v>3102</v>
      </c>
    </row>
    <row r="791" spans="1:11" hidden="1" x14ac:dyDescent="0.25">
      <c r="A791" s="1">
        <v>46000</v>
      </c>
      <c r="B791">
        <f>SUM(_xlfn.CHOOSEROWS(Table8[[The Golden Compass]:[end]],ROW()-1))</f>
        <v>0</v>
      </c>
      <c r="C791">
        <f>Table8[[#This Row],[Cumulative 2023 Q4]]+Table8[[#This Row],[Cumulative 2024]]+Table8[[#This Row],[Cumulative 2025]]+Table8[[#This Row],[Cumulative 2026]]</f>
        <v>11403</v>
      </c>
      <c r="D791">
        <f>IF(YEAR(Table8[[#This Row],[Date]])=2023,B791,0)+IF(ROW(D790)=1,0,D790)</f>
        <v>4195</v>
      </c>
      <c r="E791">
        <f>MAX(Table8[Cumulative 2023 Q4])</f>
        <v>4195</v>
      </c>
      <c r="F791">
        <f>IF(YEAR(Table8[[#This Row],[Date]])=2024,B791,0)+IF(ROW(F790)=1,0,F790)</f>
        <v>5831</v>
      </c>
      <c r="G791">
        <f>MAX(Table8[Cumulative 2024])</f>
        <v>5831</v>
      </c>
      <c r="H791">
        <f>IF(YEAR(Table8[[#This Row],[Date]])=2025,B791,0)+IF(ROW(H790)=1,0,H790)</f>
        <v>1377</v>
      </c>
      <c r="I791">
        <f>MAX(Table8[Cumulative 2025])</f>
        <v>1377</v>
      </c>
      <c r="J791">
        <f>IF(YEAR(Table8[[#This Row],[Date]])=2026,B791,0)+IF(ROW(J790)=1,0,J790)</f>
        <v>0</v>
      </c>
      <c r="K791">
        <f>MAX(Table8[Cumulative 2026])</f>
        <v>3102</v>
      </c>
    </row>
    <row r="792" spans="1:11" hidden="1" x14ac:dyDescent="0.25">
      <c r="A792" s="1">
        <v>46001</v>
      </c>
      <c r="B792">
        <f>SUM(_xlfn.CHOOSEROWS(Table8[[The Golden Compass]:[end]],ROW()-1))</f>
        <v>0</v>
      </c>
      <c r="C792">
        <f>Table8[[#This Row],[Cumulative 2023 Q4]]+Table8[[#This Row],[Cumulative 2024]]+Table8[[#This Row],[Cumulative 2025]]+Table8[[#This Row],[Cumulative 2026]]</f>
        <v>11403</v>
      </c>
      <c r="D792">
        <f>IF(YEAR(Table8[[#This Row],[Date]])=2023,B792,0)+IF(ROW(D791)=1,0,D791)</f>
        <v>4195</v>
      </c>
      <c r="E792">
        <f>MAX(Table8[Cumulative 2023 Q4])</f>
        <v>4195</v>
      </c>
      <c r="F792">
        <f>IF(YEAR(Table8[[#This Row],[Date]])=2024,B792,0)+IF(ROW(F791)=1,0,F791)</f>
        <v>5831</v>
      </c>
      <c r="G792">
        <f>MAX(Table8[Cumulative 2024])</f>
        <v>5831</v>
      </c>
      <c r="H792">
        <f>IF(YEAR(Table8[[#This Row],[Date]])=2025,B792,0)+IF(ROW(H791)=1,0,H791)</f>
        <v>1377</v>
      </c>
      <c r="I792">
        <f>MAX(Table8[Cumulative 2025])</f>
        <v>1377</v>
      </c>
      <c r="J792">
        <f>IF(YEAR(Table8[[#This Row],[Date]])=2026,B792,0)+IF(ROW(J791)=1,0,J791)</f>
        <v>0</v>
      </c>
      <c r="K792">
        <f>MAX(Table8[Cumulative 2026])</f>
        <v>3102</v>
      </c>
    </row>
    <row r="793" spans="1:11" hidden="1" x14ac:dyDescent="0.25">
      <c r="A793" s="1">
        <v>46002</v>
      </c>
      <c r="B793">
        <f>SUM(_xlfn.CHOOSEROWS(Table8[[The Golden Compass]:[end]],ROW()-1))</f>
        <v>0</v>
      </c>
      <c r="C793">
        <f>Table8[[#This Row],[Cumulative 2023 Q4]]+Table8[[#This Row],[Cumulative 2024]]+Table8[[#This Row],[Cumulative 2025]]+Table8[[#This Row],[Cumulative 2026]]</f>
        <v>11403</v>
      </c>
      <c r="D793">
        <f>IF(YEAR(Table8[[#This Row],[Date]])=2023,B793,0)+IF(ROW(D792)=1,0,D792)</f>
        <v>4195</v>
      </c>
      <c r="E793">
        <f>MAX(Table8[Cumulative 2023 Q4])</f>
        <v>4195</v>
      </c>
      <c r="F793">
        <f>IF(YEAR(Table8[[#This Row],[Date]])=2024,B793,0)+IF(ROW(F792)=1,0,F792)</f>
        <v>5831</v>
      </c>
      <c r="G793">
        <f>MAX(Table8[Cumulative 2024])</f>
        <v>5831</v>
      </c>
      <c r="H793">
        <f>IF(YEAR(Table8[[#This Row],[Date]])=2025,B793,0)+IF(ROW(H792)=1,0,H792)</f>
        <v>1377</v>
      </c>
      <c r="I793">
        <f>MAX(Table8[Cumulative 2025])</f>
        <v>1377</v>
      </c>
      <c r="J793">
        <f>IF(YEAR(Table8[[#This Row],[Date]])=2026,B793,0)+IF(ROW(J792)=1,0,J792)</f>
        <v>0</v>
      </c>
      <c r="K793">
        <f>MAX(Table8[Cumulative 2026])</f>
        <v>3102</v>
      </c>
    </row>
    <row r="794" spans="1:11" hidden="1" x14ac:dyDescent="0.25">
      <c r="A794" s="1">
        <v>46003</v>
      </c>
      <c r="B794">
        <f>SUM(_xlfn.CHOOSEROWS(Table8[[The Golden Compass]:[end]],ROW()-1))</f>
        <v>0</v>
      </c>
      <c r="C794">
        <f>Table8[[#This Row],[Cumulative 2023 Q4]]+Table8[[#This Row],[Cumulative 2024]]+Table8[[#This Row],[Cumulative 2025]]+Table8[[#This Row],[Cumulative 2026]]</f>
        <v>11403</v>
      </c>
      <c r="D794">
        <f>IF(YEAR(Table8[[#This Row],[Date]])=2023,B794,0)+IF(ROW(D793)=1,0,D793)</f>
        <v>4195</v>
      </c>
      <c r="E794">
        <f>MAX(Table8[Cumulative 2023 Q4])</f>
        <v>4195</v>
      </c>
      <c r="F794">
        <f>IF(YEAR(Table8[[#This Row],[Date]])=2024,B794,0)+IF(ROW(F793)=1,0,F793)</f>
        <v>5831</v>
      </c>
      <c r="G794">
        <f>MAX(Table8[Cumulative 2024])</f>
        <v>5831</v>
      </c>
      <c r="H794">
        <f>IF(YEAR(Table8[[#This Row],[Date]])=2025,B794,0)+IF(ROW(H793)=1,0,H793)</f>
        <v>1377</v>
      </c>
      <c r="I794">
        <f>MAX(Table8[Cumulative 2025])</f>
        <v>1377</v>
      </c>
      <c r="J794">
        <f>IF(YEAR(Table8[[#This Row],[Date]])=2026,B794,0)+IF(ROW(J793)=1,0,J793)</f>
        <v>0</v>
      </c>
      <c r="K794">
        <f>MAX(Table8[Cumulative 2026])</f>
        <v>3102</v>
      </c>
    </row>
    <row r="795" spans="1:11" hidden="1" x14ac:dyDescent="0.25">
      <c r="A795" s="1">
        <v>46004</v>
      </c>
      <c r="B795">
        <f>SUM(_xlfn.CHOOSEROWS(Table8[[The Golden Compass]:[end]],ROW()-1))</f>
        <v>0</v>
      </c>
      <c r="C795">
        <f>Table8[[#This Row],[Cumulative 2023 Q4]]+Table8[[#This Row],[Cumulative 2024]]+Table8[[#This Row],[Cumulative 2025]]+Table8[[#This Row],[Cumulative 2026]]</f>
        <v>11403</v>
      </c>
      <c r="D795">
        <f>IF(YEAR(Table8[[#This Row],[Date]])=2023,B795,0)+IF(ROW(D794)=1,0,D794)</f>
        <v>4195</v>
      </c>
      <c r="E795">
        <f>MAX(Table8[Cumulative 2023 Q4])</f>
        <v>4195</v>
      </c>
      <c r="F795">
        <f>IF(YEAR(Table8[[#This Row],[Date]])=2024,B795,0)+IF(ROW(F794)=1,0,F794)</f>
        <v>5831</v>
      </c>
      <c r="G795">
        <f>MAX(Table8[Cumulative 2024])</f>
        <v>5831</v>
      </c>
      <c r="H795">
        <f>IF(YEAR(Table8[[#This Row],[Date]])=2025,B795,0)+IF(ROW(H794)=1,0,H794)</f>
        <v>1377</v>
      </c>
      <c r="I795">
        <f>MAX(Table8[Cumulative 2025])</f>
        <v>1377</v>
      </c>
      <c r="J795">
        <f>IF(YEAR(Table8[[#This Row],[Date]])=2026,B795,0)+IF(ROW(J794)=1,0,J794)</f>
        <v>0</v>
      </c>
      <c r="K795">
        <f>MAX(Table8[Cumulative 2026])</f>
        <v>3102</v>
      </c>
    </row>
    <row r="796" spans="1:11" hidden="1" x14ac:dyDescent="0.25">
      <c r="A796" s="1">
        <v>46005</v>
      </c>
      <c r="B796">
        <f>SUM(_xlfn.CHOOSEROWS(Table8[[The Golden Compass]:[end]],ROW()-1))</f>
        <v>0</v>
      </c>
      <c r="C796">
        <f>Table8[[#This Row],[Cumulative 2023 Q4]]+Table8[[#This Row],[Cumulative 2024]]+Table8[[#This Row],[Cumulative 2025]]+Table8[[#This Row],[Cumulative 2026]]</f>
        <v>11403</v>
      </c>
      <c r="D796">
        <f>IF(YEAR(Table8[[#This Row],[Date]])=2023,B796,0)+IF(ROW(D795)=1,0,D795)</f>
        <v>4195</v>
      </c>
      <c r="E796">
        <f>MAX(Table8[Cumulative 2023 Q4])</f>
        <v>4195</v>
      </c>
      <c r="F796">
        <f>IF(YEAR(Table8[[#This Row],[Date]])=2024,B796,0)+IF(ROW(F795)=1,0,F795)</f>
        <v>5831</v>
      </c>
      <c r="G796">
        <f>MAX(Table8[Cumulative 2024])</f>
        <v>5831</v>
      </c>
      <c r="H796">
        <f>IF(YEAR(Table8[[#This Row],[Date]])=2025,B796,0)+IF(ROW(H795)=1,0,H795)</f>
        <v>1377</v>
      </c>
      <c r="I796">
        <f>MAX(Table8[Cumulative 2025])</f>
        <v>1377</v>
      </c>
      <c r="J796">
        <f>IF(YEAR(Table8[[#This Row],[Date]])=2026,B796,0)+IF(ROW(J795)=1,0,J795)</f>
        <v>0</v>
      </c>
      <c r="K796">
        <f>MAX(Table8[Cumulative 2026])</f>
        <v>3102</v>
      </c>
    </row>
    <row r="797" spans="1:11" hidden="1" x14ac:dyDescent="0.25">
      <c r="A797" s="1">
        <v>46006</v>
      </c>
      <c r="B797">
        <f>SUM(_xlfn.CHOOSEROWS(Table8[[The Golden Compass]:[end]],ROW()-1))</f>
        <v>0</v>
      </c>
      <c r="C797">
        <f>Table8[[#This Row],[Cumulative 2023 Q4]]+Table8[[#This Row],[Cumulative 2024]]+Table8[[#This Row],[Cumulative 2025]]+Table8[[#This Row],[Cumulative 2026]]</f>
        <v>11403</v>
      </c>
      <c r="D797">
        <f>IF(YEAR(Table8[[#This Row],[Date]])=2023,B797,0)+IF(ROW(D796)=1,0,D796)</f>
        <v>4195</v>
      </c>
      <c r="E797">
        <f>MAX(Table8[Cumulative 2023 Q4])</f>
        <v>4195</v>
      </c>
      <c r="F797">
        <f>IF(YEAR(Table8[[#This Row],[Date]])=2024,B797,0)+IF(ROW(F796)=1,0,F796)</f>
        <v>5831</v>
      </c>
      <c r="G797">
        <f>MAX(Table8[Cumulative 2024])</f>
        <v>5831</v>
      </c>
      <c r="H797">
        <f>IF(YEAR(Table8[[#This Row],[Date]])=2025,B797,0)+IF(ROW(H796)=1,0,H796)</f>
        <v>1377</v>
      </c>
      <c r="I797">
        <f>MAX(Table8[Cumulative 2025])</f>
        <v>1377</v>
      </c>
      <c r="J797">
        <f>IF(YEAR(Table8[[#This Row],[Date]])=2026,B797,0)+IF(ROW(J796)=1,0,J796)</f>
        <v>0</v>
      </c>
      <c r="K797">
        <f>MAX(Table8[Cumulative 2026])</f>
        <v>3102</v>
      </c>
    </row>
    <row r="798" spans="1:11" hidden="1" x14ac:dyDescent="0.25">
      <c r="A798" s="1">
        <v>46007</v>
      </c>
      <c r="B798">
        <f>SUM(_xlfn.CHOOSEROWS(Table8[[The Golden Compass]:[end]],ROW()-1))</f>
        <v>0</v>
      </c>
      <c r="C798">
        <f>Table8[[#This Row],[Cumulative 2023 Q4]]+Table8[[#This Row],[Cumulative 2024]]+Table8[[#This Row],[Cumulative 2025]]+Table8[[#This Row],[Cumulative 2026]]</f>
        <v>11403</v>
      </c>
      <c r="D798">
        <f>IF(YEAR(Table8[[#This Row],[Date]])=2023,B798,0)+IF(ROW(D797)=1,0,D797)</f>
        <v>4195</v>
      </c>
      <c r="E798">
        <f>MAX(Table8[Cumulative 2023 Q4])</f>
        <v>4195</v>
      </c>
      <c r="F798">
        <f>IF(YEAR(Table8[[#This Row],[Date]])=2024,B798,0)+IF(ROW(F797)=1,0,F797)</f>
        <v>5831</v>
      </c>
      <c r="G798">
        <f>MAX(Table8[Cumulative 2024])</f>
        <v>5831</v>
      </c>
      <c r="H798">
        <f>IF(YEAR(Table8[[#This Row],[Date]])=2025,B798,0)+IF(ROW(H797)=1,0,H797)</f>
        <v>1377</v>
      </c>
      <c r="I798">
        <f>MAX(Table8[Cumulative 2025])</f>
        <v>1377</v>
      </c>
      <c r="J798">
        <f>IF(YEAR(Table8[[#This Row],[Date]])=2026,B798,0)+IF(ROW(J797)=1,0,J797)</f>
        <v>0</v>
      </c>
      <c r="K798">
        <f>MAX(Table8[Cumulative 2026])</f>
        <v>3102</v>
      </c>
    </row>
    <row r="799" spans="1:11" hidden="1" x14ac:dyDescent="0.25">
      <c r="A799" s="1">
        <v>46008</v>
      </c>
      <c r="B799">
        <f>SUM(_xlfn.CHOOSEROWS(Table8[[The Golden Compass]:[end]],ROW()-1))</f>
        <v>0</v>
      </c>
      <c r="C799">
        <f>Table8[[#This Row],[Cumulative 2023 Q4]]+Table8[[#This Row],[Cumulative 2024]]+Table8[[#This Row],[Cumulative 2025]]+Table8[[#This Row],[Cumulative 2026]]</f>
        <v>11403</v>
      </c>
      <c r="D799">
        <f>IF(YEAR(Table8[[#This Row],[Date]])=2023,B799,0)+IF(ROW(D798)=1,0,D798)</f>
        <v>4195</v>
      </c>
      <c r="E799">
        <f>MAX(Table8[Cumulative 2023 Q4])</f>
        <v>4195</v>
      </c>
      <c r="F799">
        <f>IF(YEAR(Table8[[#This Row],[Date]])=2024,B799,0)+IF(ROW(F798)=1,0,F798)</f>
        <v>5831</v>
      </c>
      <c r="G799">
        <f>MAX(Table8[Cumulative 2024])</f>
        <v>5831</v>
      </c>
      <c r="H799">
        <f>IF(YEAR(Table8[[#This Row],[Date]])=2025,B799,0)+IF(ROW(H798)=1,0,H798)</f>
        <v>1377</v>
      </c>
      <c r="I799">
        <f>MAX(Table8[Cumulative 2025])</f>
        <v>1377</v>
      </c>
      <c r="J799">
        <f>IF(YEAR(Table8[[#This Row],[Date]])=2026,B799,0)+IF(ROW(J798)=1,0,J798)</f>
        <v>0</v>
      </c>
      <c r="K799">
        <f>MAX(Table8[Cumulative 2026])</f>
        <v>3102</v>
      </c>
    </row>
    <row r="800" spans="1:11" hidden="1" x14ac:dyDescent="0.25">
      <c r="A800" s="1">
        <v>46009</v>
      </c>
      <c r="B800">
        <f>SUM(_xlfn.CHOOSEROWS(Table8[[The Golden Compass]:[end]],ROW()-1))</f>
        <v>0</v>
      </c>
      <c r="C800">
        <f>Table8[[#This Row],[Cumulative 2023 Q4]]+Table8[[#This Row],[Cumulative 2024]]+Table8[[#This Row],[Cumulative 2025]]+Table8[[#This Row],[Cumulative 2026]]</f>
        <v>11403</v>
      </c>
      <c r="D800">
        <f>IF(YEAR(Table8[[#This Row],[Date]])=2023,B800,0)+IF(ROW(D799)=1,0,D799)</f>
        <v>4195</v>
      </c>
      <c r="E800">
        <f>MAX(Table8[Cumulative 2023 Q4])</f>
        <v>4195</v>
      </c>
      <c r="F800">
        <f>IF(YEAR(Table8[[#This Row],[Date]])=2024,B800,0)+IF(ROW(F799)=1,0,F799)</f>
        <v>5831</v>
      </c>
      <c r="G800">
        <f>MAX(Table8[Cumulative 2024])</f>
        <v>5831</v>
      </c>
      <c r="H800">
        <f>IF(YEAR(Table8[[#This Row],[Date]])=2025,B800,0)+IF(ROW(H799)=1,0,H799)</f>
        <v>1377</v>
      </c>
      <c r="I800">
        <f>MAX(Table8[Cumulative 2025])</f>
        <v>1377</v>
      </c>
      <c r="J800">
        <f>IF(YEAR(Table8[[#This Row],[Date]])=2026,B800,0)+IF(ROW(J799)=1,0,J799)</f>
        <v>0</v>
      </c>
      <c r="K800">
        <f>MAX(Table8[Cumulative 2026])</f>
        <v>3102</v>
      </c>
    </row>
    <row r="801" spans="1:11" hidden="1" x14ac:dyDescent="0.25">
      <c r="A801" s="1">
        <v>46010</v>
      </c>
      <c r="B801">
        <f>SUM(_xlfn.CHOOSEROWS(Table8[[The Golden Compass]:[end]],ROW()-1))</f>
        <v>0</v>
      </c>
      <c r="C801">
        <f>Table8[[#This Row],[Cumulative 2023 Q4]]+Table8[[#This Row],[Cumulative 2024]]+Table8[[#This Row],[Cumulative 2025]]+Table8[[#This Row],[Cumulative 2026]]</f>
        <v>11403</v>
      </c>
      <c r="D801">
        <f>IF(YEAR(Table8[[#This Row],[Date]])=2023,B801,0)+IF(ROW(D800)=1,0,D800)</f>
        <v>4195</v>
      </c>
      <c r="E801">
        <f>MAX(Table8[Cumulative 2023 Q4])</f>
        <v>4195</v>
      </c>
      <c r="F801">
        <f>IF(YEAR(Table8[[#This Row],[Date]])=2024,B801,0)+IF(ROW(F800)=1,0,F800)</f>
        <v>5831</v>
      </c>
      <c r="G801">
        <f>MAX(Table8[Cumulative 2024])</f>
        <v>5831</v>
      </c>
      <c r="H801">
        <f>IF(YEAR(Table8[[#This Row],[Date]])=2025,B801,0)+IF(ROW(H800)=1,0,H800)</f>
        <v>1377</v>
      </c>
      <c r="I801">
        <f>MAX(Table8[Cumulative 2025])</f>
        <v>1377</v>
      </c>
      <c r="J801">
        <f>IF(YEAR(Table8[[#This Row],[Date]])=2026,B801,0)+IF(ROW(J800)=1,0,J800)</f>
        <v>0</v>
      </c>
      <c r="K801">
        <f>MAX(Table8[Cumulative 2026])</f>
        <v>3102</v>
      </c>
    </row>
    <row r="802" spans="1:11" hidden="1" x14ac:dyDescent="0.25">
      <c r="A802" s="1">
        <v>46011</v>
      </c>
      <c r="B802">
        <f>SUM(_xlfn.CHOOSEROWS(Table8[[The Golden Compass]:[end]],ROW()-1))</f>
        <v>0</v>
      </c>
      <c r="C802">
        <f>Table8[[#This Row],[Cumulative 2023 Q4]]+Table8[[#This Row],[Cumulative 2024]]+Table8[[#This Row],[Cumulative 2025]]+Table8[[#This Row],[Cumulative 2026]]</f>
        <v>11403</v>
      </c>
      <c r="D802">
        <f>IF(YEAR(Table8[[#This Row],[Date]])=2023,B802,0)+IF(ROW(D801)=1,0,D801)</f>
        <v>4195</v>
      </c>
      <c r="E802">
        <f>MAX(Table8[Cumulative 2023 Q4])</f>
        <v>4195</v>
      </c>
      <c r="F802">
        <f>IF(YEAR(Table8[[#This Row],[Date]])=2024,B802,0)+IF(ROW(F801)=1,0,F801)</f>
        <v>5831</v>
      </c>
      <c r="G802">
        <f>MAX(Table8[Cumulative 2024])</f>
        <v>5831</v>
      </c>
      <c r="H802">
        <f>IF(YEAR(Table8[[#This Row],[Date]])=2025,B802,0)+IF(ROW(H801)=1,0,H801)</f>
        <v>1377</v>
      </c>
      <c r="I802">
        <f>MAX(Table8[Cumulative 2025])</f>
        <v>1377</v>
      </c>
      <c r="J802">
        <f>IF(YEAR(Table8[[#This Row],[Date]])=2026,B802,0)+IF(ROW(J801)=1,0,J801)</f>
        <v>0</v>
      </c>
      <c r="K802">
        <f>MAX(Table8[Cumulative 2026])</f>
        <v>3102</v>
      </c>
    </row>
    <row r="803" spans="1:11" hidden="1" x14ac:dyDescent="0.25">
      <c r="A803" s="1">
        <v>46012</v>
      </c>
      <c r="B803">
        <f>SUM(_xlfn.CHOOSEROWS(Table8[[The Golden Compass]:[end]],ROW()-1))</f>
        <v>0</v>
      </c>
      <c r="C803">
        <f>Table8[[#This Row],[Cumulative 2023 Q4]]+Table8[[#This Row],[Cumulative 2024]]+Table8[[#This Row],[Cumulative 2025]]+Table8[[#This Row],[Cumulative 2026]]</f>
        <v>11403</v>
      </c>
      <c r="D803">
        <f>IF(YEAR(Table8[[#This Row],[Date]])=2023,B803,0)+IF(ROW(D802)=1,0,D802)</f>
        <v>4195</v>
      </c>
      <c r="E803">
        <f>MAX(Table8[Cumulative 2023 Q4])</f>
        <v>4195</v>
      </c>
      <c r="F803">
        <f>IF(YEAR(Table8[[#This Row],[Date]])=2024,B803,0)+IF(ROW(F802)=1,0,F802)</f>
        <v>5831</v>
      </c>
      <c r="G803">
        <f>MAX(Table8[Cumulative 2024])</f>
        <v>5831</v>
      </c>
      <c r="H803">
        <f>IF(YEAR(Table8[[#This Row],[Date]])=2025,B803,0)+IF(ROW(H802)=1,0,H802)</f>
        <v>1377</v>
      </c>
      <c r="I803">
        <f>MAX(Table8[Cumulative 2025])</f>
        <v>1377</v>
      </c>
      <c r="J803">
        <f>IF(YEAR(Table8[[#This Row],[Date]])=2026,B803,0)+IF(ROW(J802)=1,0,J802)</f>
        <v>0</v>
      </c>
      <c r="K803">
        <f>MAX(Table8[Cumulative 2026])</f>
        <v>3102</v>
      </c>
    </row>
    <row r="804" spans="1:11" hidden="1" x14ac:dyDescent="0.25">
      <c r="A804" s="1">
        <v>46013</v>
      </c>
      <c r="B804">
        <f>SUM(_xlfn.CHOOSEROWS(Table8[[The Golden Compass]:[end]],ROW()-1))</f>
        <v>0</v>
      </c>
      <c r="C804">
        <f>Table8[[#This Row],[Cumulative 2023 Q4]]+Table8[[#This Row],[Cumulative 2024]]+Table8[[#This Row],[Cumulative 2025]]+Table8[[#This Row],[Cumulative 2026]]</f>
        <v>11403</v>
      </c>
      <c r="D804">
        <f>IF(YEAR(Table8[[#This Row],[Date]])=2023,B804,0)+IF(ROW(D803)=1,0,D803)</f>
        <v>4195</v>
      </c>
      <c r="E804">
        <f>MAX(Table8[Cumulative 2023 Q4])</f>
        <v>4195</v>
      </c>
      <c r="F804">
        <f>IF(YEAR(Table8[[#This Row],[Date]])=2024,B804,0)+IF(ROW(F803)=1,0,F803)</f>
        <v>5831</v>
      </c>
      <c r="G804">
        <f>MAX(Table8[Cumulative 2024])</f>
        <v>5831</v>
      </c>
      <c r="H804">
        <f>IF(YEAR(Table8[[#This Row],[Date]])=2025,B804,0)+IF(ROW(H803)=1,0,H803)</f>
        <v>1377</v>
      </c>
      <c r="I804">
        <f>MAX(Table8[Cumulative 2025])</f>
        <v>1377</v>
      </c>
      <c r="J804">
        <f>IF(YEAR(Table8[[#This Row],[Date]])=2026,B804,0)+IF(ROW(J803)=1,0,J803)</f>
        <v>0</v>
      </c>
      <c r="K804">
        <f>MAX(Table8[Cumulative 2026])</f>
        <v>3102</v>
      </c>
    </row>
    <row r="805" spans="1:11" hidden="1" x14ac:dyDescent="0.25">
      <c r="A805" s="1">
        <v>46014</v>
      </c>
      <c r="B805">
        <f>SUM(_xlfn.CHOOSEROWS(Table8[[The Golden Compass]:[end]],ROW()-1))</f>
        <v>0</v>
      </c>
      <c r="C805">
        <f>Table8[[#This Row],[Cumulative 2023 Q4]]+Table8[[#This Row],[Cumulative 2024]]+Table8[[#This Row],[Cumulative 2025]]+Table8[[#This Row],[Cumulative 2026]]</f>
        <v>11403</v>
      </c>
      <c r="D805">
        <f>IF(YEAR(Table8[[#This Row],[Date]])=2023,B805,0)+IF(ROW(D804)=1,0,D804)</f>
        <v>4195</v>
      </c>
      <c r="E805">
        <f>MAX(Table8[Cumulative 2023 Q4])</f>
        <v>4195</v>
      </c>
      <c r="F805">
        <f>IF(YEAR(Table8[[#This Row],[Date]])=2024,B805,0)+IF(ROW(F804)=1,0,F804)</f>
        <v>5831</v>
      </c>
      <c r="G805">
        <f>MAX(Table8[Cumulative 2024])</f>
        <v>5831</v>
      </c>
      <c r="H805">
        <f>IF(YEAR(Table8[[#This Row],[Date]])=2025,B805,0)+IF(ROW(H804)=1,0,H804)</f>
        <v>1377</v>
      </c>
      <c r="I805">
        <f>MAX(Table8[Cumulative 2025])</f>
        <v>1377</v>
      </c>
      <c r="J805">
        <f>IF(YEAR(Table8[[#This Row],[Date]])=2026,B805,0)+IF(ROW(J804)=1,0,J804)</f>
        <v>0</v>
      </c>
      <c r="K805">
        <f>MAX(Table8[Cumulative 2026])</f>
        <v>3102</v>
      </c>
    </row>
    <row r="806" spans="1:11" hidden="1" x14ac:dyDescent="0.25">
      <c r="A806" s="1">
        <v>46015</v>
      </c>
      <c r="B806">
        <f>SUM(_xlfn.CHOOSEROWS(Table8[[The Golden Compass]:[end]],ROW()-1))</f>
        <v>0</v>
      </c>
      <c r="C806">
        <f>Table8[[#This Row],[Cumulative 2023 Q4]]+Table8[[#This Row],[Cumulative 2024]]+Table8[[#This Row],[Cumulative 2025]]+Table8[[#This Row],[Cumulative 2026]]</f>
        <v>11403</v>
      </c>
      <c r="D806">
        <f>IF(YEAR(Table8[[#This Row],[Date]])=2023,B806,0)+IF(ROW(D805)=1,0,D805)</f>
        <v>4195</v>
      </c>
      <c r="E806">
        <f>MAX(Table8[Cumulative 2023 Q4])</f>
        <v>4195</v>
      </c>
      <c r="F806">
        <f>IF(YEAR(Table8[[#This Row],[Date]])=2024,B806,0)+IF(ROW(F805)=1,0,F805)</f>
        <v>5831</v>
      </c>
      <c r="G806">
        <f>MAX(Table8[Cumulative 2024])</f>
        <v>5831</v>
      </c>
      <c r="H806">
        <f>IF(YEAR(Table8[[#This Row],[Date]])=2025,B806,0)+IF(ROW(H805)=1,0,H805)</f>
        <v>1377</v>
      </c>
      <c r="I806">
        <f>MAX(Table8[Cumulative 2025])</f>
        <v>1377</v>
      </c>
      <c r="J806">
        <f>IF(YEAR(Table8[[#This Row],[Date]])=2026,B806,0)+IF(ROW(J805)=1,0,J805)</f>
        <v>0</v>
      </c>
      <c r="K806">
        <f>MAX(Table8[Cumulative 2026])</f>
        <v>3102</v>
      </c>
    </row>
    <row r="807" spans="1:11" hidden="1" x14ac:dyDescent="0.25">
      <c r="A807" s="1">
        <v>46016</v>
      </c>
      <c r="B807">
        <f>SUM(_xlfn.CHOOSEROWS(Table8[[The Golden Compass]:[end]],ROW()-1))</f>
        <v>0</v>
      </c>
      <c r="C807">
        <f>Table8[[#This Row],[Cumulative 2023 Q4]]+Table8[[#This Row],[Cumulative 2024]]+Table8[[#This Row],[Cumulative 2025]]+Table8[[#This Row],[Cumulative 2026]]</f>
        <v>11403</v>
      </c>
      <c r="D807">
        <f>IF(YEAR(Table8[[#This Row],[Date]])=2023,B807,0)+IF(ROW(D806)=1,0,D806)</f>
        <v>4195</v>
      </c>
      <c r="E807">
        <f>MAX(Table8[Cumulative 2023 Q4])</f>
        <v>4195</v>
      </c>
      <c r="F807">
        <f>IF(YEAR(Table8[[#This Row],[Date]])=2024,B807,0)+IF(ROW(F806)=1,0,F806)</f>
        <v>5831</v>
      </c>
      <c r="G807">
        <f>MAX(Table8[Cumulative 2024])</f>
        <v>5831</v>
      </c>
      <c r="H807">
        <f>IF(YEAR(Table8[[#This Row],[Date]])=2025,B807,0)+IF(ROW(H806)=1,0,H806)</f>
        <v>1377</v>
      </c>
      <c r="I807">
        <f>MAX(Table8[Cumulative 2025])</f>
        <v>1377</v>
      </c>
      <c r="J807">
        <f>IF(YEAR(Table8[[#This Row],[Date]])=2026,B807,0)+IF(ROW(J806)=1,0,J806)</f>
        <v>0</v>
      </c>
      <c r="K807">
        <f>MAX(Table8[Cumulative 2026])</f>
        <v>3102</v>
      </c>
    </row>
    <row r="808" spans="1:11" hidden="1" x14ac:dyDescent="0.25">
      <c r="A808" s="1">
        <v>46017</v>
      </c>
      <c r="B808">
        <f>SUM(_xlfn.CHOOSEROWS(Table8[[The Golden Compass]:[end]],ROW()-1))</f>
        <v>0</v>
      </c>
      <c r="C808">
        <f>Table8[[#This Row],[Cumulative 2023 Q4]]+Table8[[#This Row],[Cumulative 2024]]+Table8[[#This Row],[Cumulative 2025]]+Table8[[#This Row],[Cumulative 2026]]</f>
        <v>11403</v>
      </c>
      <c r="D808">
        <f>IF(YEAR(Table8[[#This Row],[Date]])=2023,B808,0)+IF(ROW(D807)=1,0,D807)</f>
        <v>4195</v>
      </c>
      <c r="E808">
        <f>MAX(Table8[Cumulative 2023 Q4])</f>
        <v>4195</v>
      </c>
      <c r="F808">
        <f>IF(YEAR(Table8[[#This Row],[Date]])=2024,B808,0)+IF(ROW(F807)=1,0,F807)</f>
        <v>5831</v>
      </c>
      <c r="G808">
        <f>MAX(Table8[Cumulative 2024])</f>
        <v>5831</v>
      </c>
      <c r="H808">
        <f>IF(YEAR(Table8[[#This Row],[Date]])=2025,B808,0)+IF(ROW(H807)=1,0,H807)</f>
        <v>1377</v>
      </c>
      <c r="I808">
        <f>MAX(Table8[Cumulative 2025])</f>
        <v>1377</v>
      </c>
      <c r="J808">
        <f>IF(YEAR(Table8[[#This Row],[Date]])=2026,B808,0)+IF(ROW(J807)=1,0,J807)</f>
        <v>0</v>
      </c>
      <c r="K808">
        <f>MAX(Table8[Cumulative 2026])</f>
        <v>3102</v>
      </c>
    </row>
    <row r="809" spans="1:11" hidden="1" x14ac:dyDescent="0.25">
      <c r="A809" s="1">
        <v>46018</v>
      </c>
      <c r="B809">
        <f>SUM(_xlfn.CHOOSEROWS(Table8[[The Golden Compass]:[end]],ROW()-1))</f>
        <v>0</v>
      </c>
      <c r="C809">
        <f>Table8[[#This Row],[Cumulative 2023 Q4]]+Table8[[#This Row],[Cumulative 2024]]+Table8[[#This Row],[Cumulative 2025]]+Table8[[#This Row],[Cumulative 2026]]</f>
        <v>11403</v>
      </c>
      <c r="D809">
        <f>IF(YEAR(Table8[[#This Row],[Date]])=2023,B809,0)+IF(ROW(D808)=1,0,D808)</f>
        <v>4195</v>
      </c>
      <c r="E809">
        <f>MAX(Table8[Cumulative 2023 Q4])</f>
        <v>4195</v>
      </c>
      <c r="F809">
        <f>IF(YEAR(Table8[[#This Row],[Date]])=2024,B809,0)+IF(ROW(F808)=1,0,F808)</f>
        <v>5831</v>
      </c>
      <c r="G809">
        <f>MAX(Table8[Cumulative 2024])</f>
        <v>5831</v>
      </c>
      <c r="H809">
        <f>IF(YEAR(Table8[[#This Row],[Date]])=2025,B809,0)+IF(ROW(H808)=1,0,H808)</f>
        <v>1377</v>
      </c>
      <c r="I809">
        <f>MAX(Table8[Cumulative 2025])</f>
        <v>1377</v>
      </c>
      <c r="J809">
        <f>IF(YEAR(Table8[[#This Row],[Date]])=2026,B809,0)+IF(ROW(J808)=1,0,J808)</f>
        <v>0</v>
      </c>
      <c r="K809">
        <f>MAX(Table8[Cumulative 2026])</f>
        <v>3102</v>
      </c>
    </row>
    <row r="810" spans="1:11" hidden="1" x14ac:dyDescent="0.25">
      <c r="A810" s="1">
        <v>46019</v>
      </c>
      <c r="B810">
        <f>SUM(_xlfn.CHOOSEROWS(Table8[[The Golden Compass]:[end]],ROW()-1))</f>
        <v>0</v>
      </c>
      <c r="C810">
        <f>Table8[[#This Row],[Cumulative 2023 Q4]]+Table8[[#This Row],[Cumulative 2024]]+Table8[[#This Row],[Cumulative 2025]]+Table8[[#This Row],[Cumulative 2026]]</f>
        <v>11403</v>
      </c>
      <c r="D810">
        <f>IF(YEAR(Table8[[#This Row],[Date]])=2023,B810,0)+IF(ROW(D809)=1,0,D809)</f>
        <v>4195</v>
      </c>
      <c r="E810">
        <f>MAX(Table8[Cumulative 2023 Q4])</f>
        <v>4195</v>
      </c>
      <c r="F810">
        <f>IF(YEAR(Table8[[#This Row],[Date]])=2024,B810,0)+IF(ROW(F809)=1,0,F809)</f>
        <v>5831</v>
      </c>
      <c r="G810">
        <f>MAX(Table8[Cumulative 2024])</f>
        <v>5831</v>
      </c>
      <c r="H810">
        <f>IF(YEAR(Table8[[#This Row],[Date]])=2025,B810,0)+IF(ROW(H809)=1,0,H809)</f>
        <v>1377</v>
      </c>
      <c r="I810">
        <f>MAX(Table8[Cumulative 2025])</f>
        <v>1377</v>
      </c>
      <c r="J810">
        <f>IF(YEAR(Table8[[#This Row],[Date]])=2026,B810,0)+IF(ROW(J809)=1,0,J809)</f>
        <v>0</v>
      </c>
      <c r="K810">
        <f>MAX(Table8[Cumulative 2026])</f>
        <v>3102</v>
      </c>
    </row>
    <row r="811" spans="1:11" hidden="1" x14ac:dyDescent="0.25">
      <c r="A811" s="1">
        <v>46020</v>
      </c>
      <c r="B811">
        <f>SUM(_xlfn.CHOOSEROWS(Table8[[The Golden Compass]:[end]],ROW()-1))</f>
        <v>0</v>
      </c>
      <c r="C811">
        <f>Table8[[#This Row],[Cumulative 2023 Q4]]+Table8[[#This Row],[Cumulative 2024]]+Table8[[#This Row],[Cumulative 2025]]+Table8[[#This Row],[Cumulative 2026]]</f>
        <v>11403</v>
      </c>
      <c r="D811">
        <f>IF(YEAR(Table8[[#This Row],[Date]])=2023,B811,0)+IF(ROW(D810)=1,0,D810)</f>
        <v>4195</v>
      </c>
      <c r="E811">
        <f>MAX(Table8[Cumulative 2023 Q4])</f>
        <v>4195</v>
      </c>
      <c r="F811">
        <f>IF(YEAR(Table8[[#This Row],[Date]])=2024,B811,0)+IF(ROW(F810)=1,0,F810)</f>
        <v>5831</v>
      </c>
      <c r="G811">
        <f>MAX(Table8[Cumulative 2024])</f>
        <v>5831</v>
      </c>
      <c r="H811">
        <f>IF(YEAR(Table8[[#This Row],[Date]])=2025,B811,0)+IF(ROW(H810)=1,0,H810)</f>
        <v>1377</v>
      </c>
      <c r="I811">
        <f>MAX(Table8[Cumulative 2025])</f>
        <v>1377</v>
      </c>
      <c r="J811">
        <f>IF(YEAR(Table8[[#This Row],[Date]])=2026,B811,0)+IF(ROW(J810)=1,0,J810)</f>
        <v>0</v>
      </c>
      <c r="K811">
        <f>MAX(Table8[Cumulative 2026])</f>
        <v>3102</v>
      </c>
    </row>
    <row r="812" spans="1:11" hidden="1" x14ac:dyDescent="0.25">
      <c r="A812" s="1">
        <v>46021</v>
      </c>
      <c r="B812">
        <f>SUM(_xlfn.CHOOSEROWS(Table8[[The Golden Compass]:[end]],ROW()-1))</f>
        <v>0</v>
      </c>
      <c r="C812">
        <f>Table8[[#This Row],[Cumulative 2023 Q4]]+Table8[[#This Row],[Cumulative 2024]]+Table8[[#This Row],[Cumulative 2025]]+Table8[[#This Row],[Cumulative 2026]]</f>
        <v>11403</v>
      </c>
      <c r="D812">
        <f>IF(YEAR(Table8[[#This Row],[Date]])=2023,B812,0)+IF(ROW(D811)=1,0,D811)</f>
        <v>4195</v>
      </c>
      <c r="E812">
        <f>MAX(Table8[Cumulative 2023 Q4])</f>
        <v>4195</v>
      </c>
      <c r="F812">
        <f>IF(YEAR(Table8[[#This Row],[Date]])=2024,B812,0)+IF(ROW(F811)=1,0,F811)</f>
        <v>5831</v>
      </c>
      <c r="G812">
        <f>MAX(Table8[Cumulative 2024])</f>
        <v>5831</v>
      </c>
      <c r="H812">
        <f>IF(YEAR(Table8[[#This Row],[Date]])=2025,B812,0)+IF(ROW(H811)=1,0,H811)</f>
        <v>1377</v>
      </c>
      <c r="I812">
        <f>MAX(Table8[Cumulative 2025])</f>
        <v>1377</v>
      </c>
      <c r="J812">
        <f>IF(YEAR(Table8[[#This Row],[Date]])=2026,B812,0)+IF(ROW(J811)=1,0,J811)</f>
        <v>0</v>
      </c>
      <c r="K812">
        <f>MAX(Table8[Cumulative 2026])</f>
        <v>3102</v>
      </c>
    </row>
    <row r="813" spans="1:11" hidden="1" x14ac:dyDescent="0.25">
      <c r="A813" s="1">
        <v>46022</v>
      </c>
      <c r="B813">
        <f>SUM(_xlfn.CHOOSEROWS(Table8[[The Golden Compass]:[end]],ROW()-1))</f>
        <v>0</v>
      </c>
      <c r="C813">
        <f>Table8[[#This Row],[Cumulative 2023 Q4]]+Table8[[#This Row],[Cumulative 2024]]+Table8[[#This Row],[Cumulative 2025]]+Table8[[#This Row],[Cumulative 2026]]</f>
        <v>11403</v>
      </c>
      <c r="D813">
        <f>IF(YEAR(Table8[[#This Row],[Date]])=2023,B813,0)+IF(ROW(D812)=1,0,D812)</f>
        <v>4195</v>
      </c>
      <c r="E813">
        <f>MAX(Table8[Cumulative 2023 Q4])</f>
        <v>4195</v>
      </c>
      <c r="F813">
        <f>IF(YEAR(Table8[[#This Row],[Date]])=2024,B813,0)+IF(ROW(F812)=1,0,F812)</f>
        <v>5831</v>
      </c>
      <c r="G813">
        <f>MAX(Table8[Cumulative 2024])</f>
        <v>5831</v>
      </c>
      <c r="H813">
        <f>IF(YEAR(Table8[[#This Row],[Date]])=2025,B813,0)+IF(ROW(H812)=1,0,H812)</f>
        <v>1377</v>
      </c>
      <c r="I813">
        <f>MAX(Table8[Cumulative 2025])</f>
        <v>1377</v>
      </c>
      <c r="J813">
        <f>IF(YEAR(Table8[[#This Row],[Date]])=2026,B813,0)+IF(ROW(J812)=1,0,J812)</f>
        <v>0</v>
      </c>
      <c r="K813">
        <f>MAX(Table8[Cumulative 2026])</f>
        <v>3102</v>
      </c>
    </row>
    <row r="814" spans="1:11" hidden="1" x14ac:dyDescent="0.25">
      <c r="A814" s="1">
        <v>46023</v>
      </c>
      <c r="B814">
        <f>SUM(_xlfn.CHOOSEROWS(Table8[[The Golden Compass]:[end]],ROW()-1))</f>
        <v>0</v>
      </c>
      <c r="C814">
        <f>Table8[[#This Row],[Cumulative 2023 Q4]]+Table8[[#This Row],[Cumulative 2024]]+Table8[[#This Row],[Cumulative 2025]]+Table8[[#This Row],[Cumulative 2026]]</f>
        <v>11403</v>
      </c>
      <c r="D814">
        <f>IF(YEAR(Table8[[#This Row],[Date]])=2023,B814,0)+IF(ROW(D813)=1,0,D813)</f>
        <v>4195</v>
      </c>
      <c r="E814">
        <f>MAX(Table8[Cumulative 2023 Q4])</f>
        <v>4195</v>
      </c>
      <c r="F814">
        <f>IF(YEAR(Table8[[#This Row],[Date]])=2024,B814,0)+IF(ROW(F813)=1,0,F813)</f>
        <v>5831</v>
      </c>
      <c r="G814">
        <f>MAX(Table8[Cumulative 2024])</f>
        <v>5831</v>
      </c>
      <c r="H814">
        <f>IF(YEAR(Table8[[#This Row],[Date]])=2025,B814,0)+IF(ROW(H813)=1,0,H813)</f>
        <v>1377</v>
      </c>
      <c r="I814">
        <f>MAX(Table8[Cumulative 2025])</f>
        <v>1377</v>
      </c>
      <c r="J814">
        <f>IF(YEAR(Table8[[#This Row],[Date]])=2026,B814,0)+IF(ROW(J813)=1,0,J813)</f>
        <v>0</v>
      </c>
      <c r="K814">
        <f>MAX(Table8[Cumulative 2026])</f>
        <v>3102</v>
      </c>
    </row>
    <row r="815" spans="1:11" hidden="1" x14ac:dyDescent="0.25">
      <c r="A815" s="1">
        <v>46024</v>
      </c>
      <c r="B815">
        <f>SUM(_xlfn.CHOOSEROWS(Table8[[The Golden Compass]:[end]],ROW()-1))</f>
        <v>0</v>
      </c>
      <c r="C815">
        <f>Table8[[#This Row],[Cumulative 2023 Q4]]+Table8[[#This Row],[Cumulative 2024]]+Table8[[#This Row],[Cumulative 2025]]+Table8[[#This Row],[Cumulative 2026]]</f>
        <v>11403</v>
      </c>
      <c r="D815">
        <f>IF(YEAR(Table8[[#This Row],[Date]])=2023,B815,0)+IF(ROW(D814)=1,0,D814)</f>
        <v>4195</v>
      </c>
      <c r="E815">
        <f>MAX(Table8[Cumulative 2023 Q4])</f>
        <v>4195</v>
      </c>
      <c r="F815">
        <f>IF(YEAR(Table8[[#This Row],[Date]])=2024,B815,0)+IF(ROW(F814)=1,0,F814)</f>
        <v>5831</v>
      </c>
      <c r="G815">
        <f>MAX(Table8[Cumulative 2024])</f>
        <v>5831</v>
      </c>
      <c r="H815">
        <f>IF(YEAR(Table8[[#This Row],[Date]])=2025,B815,0)+IF(ROW(H814)=1,0,H814)</f>
        <v>1377</v>
      </c>
      <c r="I815">
        <f>MAX(Table8[Cumulative 2025])</f>
        <v>1377</v>
      </c>
      <c r="J815">
        <f>IF(YEAR(Table8[[#This Row],[Date]])=2026,B815,0)+IF(ROW(J814)=1,0,J814)</f>
        <v>0</v>
      </c>
      <c r="K815">
        <f>MAX(Table8[Cumulative 2026])</f>
        <v>3102</v>
      </c>
    </row>
    <row r="816" spans="1:11" hidden="1" x14ac:dyDescent="0.25">
      <c r="A816" s="1">
        <v>46025</v>
      </c>
      <c r="B816">
        <f>SUM(_xlfn.CHOOSEROWS(Table8[[The Golden Compass]:[end]],ROW()-1))</f>
        <v>0</v>
      </c>
      <c r="C816">
        <f>Table8[[#This Row],[Cumulative 2023 Q4]]+Table8[[#This Row],[Cumulative 2024]]+Table8[[#This Row],[Cumulative 2025]]+Table8[[#This Row],[Cumulative 2026]]</f>
        <v>11403</v>
      </c>
      <c r="D816">
        <f>IF(YEAR(Table8[[#This Row],[Date]])=2023,B816,0)+IF(ROW(D815)=1,0,D815)</f>
        <v>4195</v>
      </c>
      <c r="E816">
        <f>MAX(Table8[Cumulative 2023 Q4])</f>
        <v>4195</v>
      </c>
      <c r="F816">
        <f>IF(YEAR(Table8[[#This Row],[Date]])=2024,B816,0)+IF(ROW(F815)=1,0,F815)</f>
        <v>5831</v>
      </c>
      <c r="G816">
        <f>MAX(Table8[Cumulative 2024])</f>
        <v>5831</v>
      </c>
      <c r="H816">
        <f>IF(YEAR(Table8[[#This Row],[Date]])=2025,B816,0)+IF(ROW(H815)=1,0,H815)</f>
        <v>1377</v>
      </c>
      <c r="I816">
        <f>MAX(Table8[Cumulative 2025])</f>
        <v>1377</v>
      </c>
      <c r="J816">
        <f>IF(YEAR(Table8[[#This Row],[Date]])=2026,B816,0)+IF(ROW(J815)=1,0,J815)</f>
        <v>0</v>
      </c>
      <c r="K816">
        <f>MAX(Table8[Cumulative 2026])</f>
        <v>3102</v>
      </c>
    </row>
    <row r="817" spans="1:52" hidden="1" x14ac:dyDescent="0.25">
      <c r="A817" s="1">
        <v>46026</v>
      </c>
      <c r="B817">
        <f>SUM(_xlfn.CHOOSEROWS(Table8[[The Golden Compass]:[end]],ROW()-1))</f>
        <v>0</v>
      </c>
      <c r="C817">
        <f>Table8[[#This Row],[Cumulative 2023 Q4]]+Table8[[#This Row],[Cumulative 2024]]+Table8[[#This Row],[Cumulative 2025]]+Table8[[#This Row],[Cumulative 2026]]</f>
        <v>11403</v>
      </c>
      <c r="D817">
        <f>IF(YEAR(Table8[[#This Row],[Date]])=2023,B817,0)+IF(ROW(D816)=1,0,D816)</f>
        <v>4195</v>
      </c>
      <c r="E817">
        <f>MAX(Table8[Cumulative 2023 Q4])</f>
        <v>4195</v>
      </c>
      <c r="F817">
        <f>IF(YEAR(Table8[[#This Row],[Date]])=2024,B817,0)+IF(ROW(F816)=1,0,F816)</f>
        <v>5831</v>
      </c>
      <c r="G817">
        <f>MAX(Table8[Cumulative 2024])</f>
        <v>5831</v>
      </c>
      <c r="H817">
        <f>IF(YEAR(Table8[[#This Row],[Date]])=2025,B817,0)+IF(ROW(H816)=1,0,H816)</f>
        <v>1377</v>
      </c>
      <c r="I817">
        <f>MAX(Table8[Cumulative 2025])</f>
        <v>1377</v>
      </c>
      <c r="J817">
        <f>IF(YEAR(Table8[[#This Row],[Date]])=2026,B817,0)+IF(ROW(J816)=1,0,J816)</f>
        <v>0</v>
      </c>
      <c r="K817">
        <f>MAX(Table8[Cumulative 2026])</f>
        <v>3102</v>
      </c>
    </row>
    <row r="818" spans="1:52" hidden="1" x14ac:dyDescent="0.25">
      <c r="A818" s="1">
        <v>46027</v>
      </c>
      <c r="B818">
        <f>SUM(_xlfn.CHOOSEROWS(Table8[[The Golden Compass]:[end]],ROW()-1))</f>
        <v>47</v>
      </c>
      <c r="C818">
        <f>Table8[[#This Row],[Cumulative 2023 Q4]]+Table8[[#This Row],[Cumulative 2024]]+Table8[[#This Row],[Cumulative 2025]]+Table8[[#This Row],[Cumulative 2026]]</f>
        <v>11450</v>
      </c>
      <c r="D818">
        <f>IF(YEAR(Table8[[#This Row],[Date]])=2023,B818,0)+IF(ROW(D817)=1,0,D817)</f>
        <v>4195</v>
      </c>
      <c r="E818">
        <f>MAX(Table8[Cumulative 2023 Q4])</f>
        <v>4195</v>
      </c>
      <c r="F818">
        <f>IF(YEAR(Table8[[#This Row],[Date]])=2024,B818,0)+IF(ROW(F817)=1,0,F817)</f>
        <v>5831</v>
      </c>
      <c r="G818">
        <f>MAX(Table8[Cumulative 2024])</f>
        <v>5831</v>
      </c>
      <c r="H818">
        <f>IF(YEAR(Table8[[#This Row],[Date]])=2025,B818,0)+IF(ROW(H817)=1,0,H817)</f>
        <v>1377</v>
      </c>
      <c r="I818">
        <f>MAX(Table8[Cumulative 2025])</f>
        <v>1377</v>
      </c>
      <c r="J818">
        <f>IF(YEAR(Table8[[#This Row],[Date]])=2026,B818,0)+IF(ROW(J817)=1,0,J817)</f>
        <v>47</v>
      </c>
      <c r="K818">
        <f>MAX(Table8[Cumulative 2026])</f>
        <v>3102</v>
      </c>
      <c r="AY818">
        <v>47</v>
      </c>
    </row>
    <row r="819" spans="1:52" hidden="1" x14ac:dyDescent="0.25">
      <c r="A819" s="1">
        <v>46028</v>
      </c>
      <c r="B819">
        <f>SUM(_xlfn.CHOOSEROWS(Table8[[The Golden Compass]:[end]],ROW()-1))</f>
        <v>94</v>
      </c>
      <c r="C819">
        <f>Table8[[#This Row],[Cumulative 2023 Q4]]+Table8[[#This Row],[Cumulative 2024]]+Table8[[#This Row],[Cumulative 2025]]+Table8[[#This Row],[Cumulative 2026]]</f>
        <v>11544</v>
      </c>
      <c r="D819">
        <f>IF(YEAR(Table8[[#This Row],[Date]])=2023,B819,0)+IF(ROW(D818)=1,0,D818)</f>
        <v>4195</v>
      </c>
      <c r="E819">
        <f>MAX(Table8[Cumulative 2023 Q4])</f>
        <v>4195</v>
      </c>
      <c r="F819">
        <f>IF(YEAR(Table8[[#This Row],[Date]])=2024,B819,0)+IF(ROW(F818)=1,0,F818)</f>
        <v>5831</v>
      </c>
      <c r="G819">
        <f>MAX(Table8[Cumulative 2024])</f>
        <v>5831</v>
      </c>
      <c r="H819">
        <f>IF(YEAR(Table8[[#This Row],[Date]])=2025,B819,0)+IF(ROW(H818)=1,0,H818)</f>
        <v>1377</v>
      </c>
      <c r="I819">
        <f>MAX(Table8[Cumulative 2025])</f>
        <v>1377</v>
      </c>
      <c r="J819">
        <f>IF(YEAR(Table8[[#This Row],[Date]])=2026,B819,0)+IF(ROW(J818)=1,0,J818)</f>
        <v>141</v>
      </c>
      <c r="K819">
        <f>MAX(Table8[Cumulative 2026])</f>
        <v>3102</v>
      </c>
      <c r="AY819">
        <v>65</v>
      </c>
      <c r="AZ819">
        <v>29</v>
      </c>
    </row>
    <row r="820" spans="1:52" hidden="1" x14ac:dyDescent="0.25">
      <c r="A820" s="1">
        <v>46029</v>
      </c>
      <c r="B820">
        <f>SUM(_xlfn.CHOOSEROWS(Table8[[The Golden Compass]:[end]],ROW()-1))</f>
        <v>15</v>
      </c>
      <c r="C820">
        <f>Table8[[#This Row],[Cumulative 2023 Q4]]+Table8[[#This Row],[Cumulative 2024]]+Table8[[#This Row],[Cumulative 2025]]+Table8[[#This Row],[Cumulative 2026]]</f>
        <v>11559</v>
      </c>
      <c r="D820">
        <f>IF(YEAR(Table8[[#This Row],[Date]])=2023,B820,0)+IF(ROW(D819)=1,0,D819)</f>
        <v>4195</v>
      </c>
      <c r="E820">
        <f>MAX(Table8[Cumulative 2023 Q4])</f>
        <v>4195</v>
      </c>
      <c r="F820">
        <f>IF(YEAR(Table8[[#This Row],[Date]])=2024,B820,0)+IF(ROW(F819)=1,0,F819)</f>
        <v>5831</v>
      </c>
      <c r="G820">
        <f>MAX(Table8[Cumulative 2024])</f>
        <v>5831</v>
      </c>
      <c r="H820">
        <f>IF(YEAR(Table8[[#This Row],[Date]])=2025,B820,0)+IF(ROW(H819)=1,0,H819)</f>
        <v>1377</v>
      </c>
      <c r="I820">
        <f>MAX(Table8[Cumulative 2025])</f>
        <v>1377</v>
      </c>
      <c r="J820">
        <f>IF(YEAR(Table8[[#This Row],[Date]])=2026,B820,0)+IF(ROW(J819)=1,0,J819)</f>
        <v>156</v>
      </c>
      <c r="K820">
        <f>MAX(Table8[Cumulative 2026])</f>
        <v>3102</v>
      </c>
      <c r="AZ820">
        <v>15</v>
      </c>
    </row>
    <row r="821" spans="1:52" hidden="1" x14ac:dyDescent="0.25">
      <c r="A821" s="1">
        <v>46030</v>
      </c>
      <c r="B821">
        <f>SUM(_xlfn.CHOOSEROWS(Table8[[The Golden Compass]:[end]],ROW()-1))</f>
        <v>14</v>
      </c>
      <c r="C821">
        <f>Table8[[#This Row],[Cumulative 2023 Q4]]+Table8[[#This Row],[Cumulative 2024]]+Table8[[#This Row],[Cumulative 2025]]+Table8[[#This Row],[Cumulative 2026]]</f>
        <v>11573</v>
      </c>
      <c r="D821">
        <f>IF(YEAR(Table8[[#This Row],[Date]])=2023,B821,0)+IF(ROW(D820)=1,0,D820)</f>
        <v>4195</v>
      </c>
      <c r="E821">
        <f>MAX(Table8[Cumulative 2023 Q4])</f>
        <v>4195</v>
      </c>
      <c r="F821">
        <f>IF(YEAR(Table8[[#This Row],[Date]])=2024,B821,0)+IF(ROW(F820)=1,0,F820)</f>
        <v>5831</v>
      </c>
      <c r="G821">
        <f>MAX(Table8[Cumulative 2024])</f>
        <v>5831</v>
      </c>
      <c r="H821">
        <f>IF(YEAR(Table8[[#This Row],[Date]])=2025,B821,0)+IF(ROW(H820)=1,0,H820)</f>
        <v>1377</v>
      </c>
      <c r="I821">
        <f>MAX(Table8[Cumulative 2025])</f>
        <v>1377</v>
      </c>
      <c r="J821">
        <f>IF(YEAR(Table8[[#This Row],[Date]])=2026,B821,0)+IF(ROW(J820)=1,0,J820)</f>
        <v>170</v>
      </c>
      <c r="K821">
        <f>MAX(Table8[Cumulative 2026])</f>
        <v>3102</v>
      </c>
      <c r="AZ821">
        <v>14</v>
      </c>
    </row>
    <row r="822" spans="1:52" hidden="1" x14ac:dyDescent="0.25">
      <c r="A822" s="1">
        <v>46031</v>
      </c>
      <c r="B822">
        <f>SUM(_xlfn.CHOOSEROWS(Table8[[The Golden Compass]:[end]],ROW()-1))</f>
        <v>0</v>
      </c>
      <c r="C822">
        <f>Table8[[#This Row],[Cumulative 2023 Q4]]+Table8[[#This Row],[Cumulative 2024]]+Table8[[#This Row],[Cumulative 2025]]+Table8[[#This Row],[Cumulative 2026]]</f>
        <v>11573</v>
      </c>
      <c r="D822">
        <f>IF(YEAR(Table8[[#This Row],[Date]])=2023,B822,0)+IF(ROW(D821)=1,0,D821)</f>
        <v>4195</v>
      </c>
      <c r="E822">
        <f>MAX(Table8[Cumulative 2023 Q4])</f>
        <v>4195</v>
      </c>
      <c r="F822">
        <f>IF(YEAR(Table8[[#This Row],[Date]])=2024,B822,0)+IF(ROW(F821)=1,0,F821)</f>
        <v>5831</v>
      </c>
      <c r="G822">
        <f>MAX(Table8[Cumulative 2024])</f>
        <v>5831</v>
      </c>
      <c r="H822">
        <f>IF(YEAR(Table8[[#This Row],[Date]])=2025,B822,0)+IF(ROW(H821)=1,0,H821)</f>
        <v>1377</v>
      </c>
      <c r="I822">
        <f>MAX(Table8[Cumulative 2025])</f>
        <v>1377</v>
      </c>
      <c r="J822">
        <f>IF(YEAR(Table8[[#This Row],[Date]])=2026,B822,0)+IF(ROW(J821)=1,0,J821)</f>
        <v>170</v>
      </c>
      <c r="K822">
        <f>MAX(Table8[Cumulative 2026])</f>
        <v>3102</v>
      </c>
    </row>
    <row r="823" spans="1:52" hidden="1" x14ac:dyDescent="0.25">
      <c r="A823" s="1">
        <v>46032</v>
      </c>
      <c r="B823">
        <f>SUM(_xlfn.CHOOSEROWS(Table8[[The Golden Compass]:[end]],ROW()-1))</f>
        <v>0</v>
      </c>
      <c r="C823">
        <f>Table8[[#This Row],[Cumulative 2023 Q4]]+Table8[[#This Row],[Cumulative 2024]]+Table8[[#This Row],[Cumulative 2025]]+Table8[[#This Row],[Cumulative 2026]]</f>
        <v>11573</v>
      </c>
      <c r="D823">
        <f>IF(YEAR(Table8[[#This Row],[Date]])=2023,B823,0)+IF(ROW(D822)=1,0,D822)</f>
        <v>4195</v>
      </c>
      <c r="E823">
        <f>MAX(Table8[Cumulative 2023 Q4])</f>
        <v>4195</v>
      </c>
      <c r="F823">
        <f>IF(YEAR(Table8[[#This Row],[Date]])=2024,B823,0)+IF(ROW(F822)=1,0,F822)</f>
        <v>5831</v>
      </c>
      <c r="G823">
        <f>MAX(Table8[Cumulative 2024])</f>
        <v>5831</v>
      </c>
      <c r="H823">
        <f>IF(YEAR(Table8[[#This Row],[Date]])=2025,B823,0)+IF(ROW(H822)=1,0,H822)</f>
        <v>1377</v>
      </c>
      <c r="I823">
        <f>MAX(Table8[Cumulative 2025])</f>
        <v>1377</v>
      </c>
      <c r="J823">
        <f>IF(YEAR(Table8[[#This Row],[Date]])=2026,B823,0)+IF(ROW(J822)=1,0,J822)</f>
        <v>170</v>
      </c>
      <c r="K823">
        <f>MAX(Table8[Cumulative 2026])</f>
        <v>3102</v>
      </c>
    </row>
    <row r="824" spans="1:52" hidden="1" x14ac:dyDescent="0.25">
      <c r="A824" s="1">
        <v>46033</v>
      </c>
      <c r="B824">
        <f>SUM(_xlfn.CHOOSEROWS(Table8[[The Golden Compass]:[end]],ROW()-1))</f>
        <v>0</v>
      </c>
      <c r="C824">
        <f>Table8[[#This Row],[Cumulative 2023 Q4]]+Table8[[#This Row],[Cumulative 2024]]+Table8[[#This Row],[Cumulative 2025]]+Table8[[#This Row],[Cumulative 2026]]</f>
        <v>11573</v>
      </c>
      <c r="D824">
        <f>IF(YEAR(Table8[[#This Row],[Date]])=2023,B824,0)+IF(ROW(D823)=1,0,D823)</f>
        <v>4195</v>
      </c>
      <c r="E824">
        <f>MAX(Table8[Cumulative 2023 Q4])</f>
        <v>4195</v>
      </c>
      <c r="F824">
        <f>IF(YEAR(Table8[[#This Row],[Date]])=2024,B824,0)+IF(ROW(F823)=1,0,F823)</f>
        <v>5831</v>
      </c>
      <c r="G824">
        <f>MAX(Table8[Cumulative 2024])</f>
        <v>5831</v>
      </c>
      <c r="H824">
        <f>IF(YEAR(Table8[[#This Row],[Date]])=2025,B824,0)+IF(ROW(H823)=1,0,H823)</f>
        <v>1377</v>
      </c>
      <c r="I824">
        <f>MAX(Table8[Cumulative 2025])</f>
        <v>1377</v>
      </c>
      <c r="J824">
        <f>IF(YEAR(Table8[[#This Row],[Date]])=2026,B824,0)+IF(ROW(J823)=1,0,J823)</f>
        <v>170</v>
      </c>
      <c r="K824">
        <f>MAX(Table8[Cumulative 2026])</f>
        <v>3102</v>
      </c>
    </row>
    <row r="825" spans="1:52" hidden="1" x14ac:dyDescent="0.25">
      <c r="A825" s="1">
        <v>46034</v>
      </c>
      <c r="B825">
        <f>SUM(_xlfn.CHOOSEROWS(Table8[[The Golden Compass]:[end]],ROW()-1))</f>
        <v>4</v>
      </c>
      <c r="C825">
        <f>Table8[[#This Row],[Cumulative 2023 Q4]]+Table8[[#This Row],[Cumulative 2024]]+Table8[[#This Row],[Cumulative 2025]]+Table8[[#This Row],[Cumulative 2026]]</f>
        <v>11577</v>
      </c>
      <c r="D825">
        <f>IF(YEAR(Table8[[#This Row],[Date]])=2023,B825,0)+IF(ROW(D824)=1,0,D824)</f>
        <v>4195</v>
      </c>
      <c r="E825">
        <f>MAX(Table8[Cumulative 2023 Q4])</f>
        <v>4195</v>
      </c>
      <c r="F825">
        <f>IF(YEAR(Table8[[#This Row],[Date]])=2024,B825,0)+IF(ROW(F824)=1,0,F824)</f>
        <v>5831</v>
      </c>
      <c r="G825">
        <f>MAX(Table8[Cumulative 2024])</f>
        <v>5831</v>
      </c>
      <c r="H825">
        <f>IF(YEAR(Table8[[#This Row],[Date]])=2025,B825,0)+IF(ROW(H824)=1,0,H824)</f>
        <v>1377</v>
      </c>
      <c r="I825">
        <f>MAX(Table8[Cumulative 2025])</f>
        <v>1377</v>
      </c>
      <c r="J825">
        <f>IF(YEAR(Table8[[#This Row],[Date]])=2026,B825,0)+IF(ROW(J824)=1,0,J824)</f>
        <v>174</v>
      </c>
      <c r="K825">
        <f>MAX(Table8[Cumulative 2026])</f>
        <v>3102</v>
      </c>
      <c r="AZ825">
        <v>4</v>
      </c>
    </row>
    <row r="826" spans="1:52" hidden="1" x14ac:dyDescent="0.25">
      <c r="A826" s="1">
        <v>46035</v>
      </c>
      <c r="B826">
        <f>SUM(_xlfn.CHOOSEROWS(Table8[[The Golden Compass]:[end]],ROW()-1))</f>
        <v>12</v>
      </c>
      <c r="C826">
        <f>Table8[[#This Row],[Cumulative 2023 Q4]]+Table8[[#This Row],[Cumulative 2024]]+Table8[[#This Row],[Cumulative 2025]]+Table8[[#This Row],[Cumulative 2026]]</f>
        <v>11589</v>
      </c>
      <c r="D826">
        <f>IF(YEAR(Table8[[#This Row],[Date]])=2023,B826,0)+IF(ROW(D825)=1,0,D825)</f>
        <v>4195</v>
      </c>
      <c r="E826">
        <f>MAX(Table8[Cumulative 2023 Q4])</f>
        <v>4195</v>
      </c>
      <c r="F826">
        <f>IF(YEAR(Table8[[#This Row],[Date]])=2024,B826,0)+IF(ROW(F825)=1,0,F825)</f>
        <v>5831</v>
      </c>
      <c r="G826">
        <f>MAX(Table8[Cumulative 2024])</f>
        <v>5831</v>
      </c>
      <c r="H826">
        <f>IF(YEAR(Table8[[#This Row],[Date]])=2025,B826,0)+IF(ROW(H825)=1,0,H825)</f>
        <v>1377</v>
      </c>
      <c r="I826">
        <f>MAX(Table8[Cumulative 2025])</f>
        <v>1377</v>
      </c>
      <c r="J826">
        <f>IF(YEAR(Table8[[#This Row],[Date]])=2026,B826,0)+IF(ROW(J825)=1,0,J825)</f>
        <v>186</v>
      </c>
      <c r="K826">
        <f>MAX(Table8[Cumulative 2026])</f>
        <v>3102</v>
      </c>
      <c r="AZ826">
        <v>12</v>
      </c>
    </row>
    <row r="827" spans="1:52" hidden="1" x14ac:dyDescent="0.25">
      <c r="A827" s="1">
        <v>46036</v>
      </c>
      <c r="B827">
        <f>SUM(_xlfn.CHOOSEROWS(Table8[[The Golden Compass]:[end]],ROW()-1))</f>
        <v>155</v>
      </c>
      <c r="C827">
        <f>Table8[[#This Row],[Cumulative 2023 Q4]]+Table8[[#This Row],[Cumulative 2024]]+Table8[[#This Row],[Cumulative 2025]]+Table8[[#This Row],[Cumulative 2026]]</f>
        <v>11744</v>
      </c>
      <c r="D827">
        <f>IF(YEAR(Table8[[#This Row],[Date]])=2023,B827,0)+IF(ROW(D826)=1,0,D826)</f>
        <v>4195</v>
      </c>
      <c r="E827">
        <f>MAX(Table8[Cumulative 2023 Q4])</f>
        <v>4195</v>
      </c>
      <c r="F827">
        <f>IF(YEAR(Table8[[#This Row],[Date]])=2024,B827,0)+IF(ROW(F826)=1,0,F826)</f>
        <v>5831</v>
      </c>
      <c r="G827">
        <f>MAX(Table8[Cumulative 2024])</f>
        <v>5831</v>
      </c>
      <c r="H827">
        <f>IF(YEAR(Table8[[#This Row],[Date]])=2025,B827,0)+IF(ROW(H826)=1,0,H826)</f>
        <v>1377</v>
      </c>
      <c r="I827">
        <f>MAX(Table8[Cumulative 2025])</f>
        <v>1377</v>
      </c>
      <c r="J827">
        <f>IF(YEAR(Table8[[#This Row],[Date]])=2026,B827,0)+IF(ROW(J826)=1,0,J826)</f>
        <v>341</v>
      </c>
      <c r="K827">
        <f>MAX(Table8[Cumulative 2026])</f>
        <v>3102</v>
      </c>
      <c r="AZ827">
        <v>155</v>
      </c>
    </row>
    <row r="828" spans="1:52" hidden="1" x14ac:dyDescent="0.25">
      <c r="A828" s="1">
        <v>46037</v>
      </c>
      <c r="B828">
        <f>SUM(_xlfn.CHOOSEROWS(Table8[[The Golden Compass]:[end]],ROW()-1))</f>
        <v>0</v>
      </c>
      <c r="C828">
        <f>Table8[[#This Row],[Cumulative 2023 Q4]]+Table8[[#This Row],[Cumulative 2024]]+Table8[[#This Row],[Cumulative 2025]]+Table8[[#This Row],[Cumulative 2026]]</f>
        <v>11744</v>
      </c>
      <c r="D828">
        <f>IF(YEAR(Table8[[#This Row],[Date]])=2023,B828,0)+IF(ROW(D827)=1,0,D827)</f>
        <v>4195</v>
      </c>
      <c r="E828">
        <f>MAX(Table8[Cumulative 2023 Q4])</f>
        <v>4195</v>
      </c>
      <c r="F828">
        <f>IF(YEAR(Table8[[#This Row],[Date]])=2024,B828,0)+IF(ROW(F827)=1,0,F827)</f>
        <v>5831</v>
      </c>
      <c r="G828">
        <f>MAX(Table8[Cumulative 2024])</f>
        <v>5831</v>
      </c>
      <c r="H828">
        <f>IF(YEAR(Table8[[#This Row],[Date]])=2025,B828,0)+IF(ROW(H827)=1,0,H827)</f>
        <v>1377</v>
      </c>
      <c r="I828">
        <f>MAX(Table8[Cumulative 2025])</f>
        <v>1377</v>
      </c>
      <c r="J828">
        <f>IF(YEAR(Table8[[#This Row],[Date]])=2026,B828,0)+IF(ROW(J827)=1,0,J827)</f>
        <v>341</v>
      </c>
      <c r="K828">
        <f>MAX(Table8[Cumulative 2026])</f>
        <v>3102</v>
      </c>
    </row>
    <row r="829" spans="1:52" hidden="1" x14ac:dyDescent="0.25">
      <c r="A829" s="1">
        <v>46038</v>
      </c>
      <c r="B829">
        <f>SUM(_xlfn.CHOOSEROWS(Table8[[The Golden Compass]:[end]],ROW()-1))</f>
        <v>0</v>
      </c>
      <c r="C829">
        <f>Table8[[#This Row],[Cumulative 2023 Q4]]+Table8[[#This Row],[Cumulative 2024]]+Table8[[#This Row],[Cumulative 2025]]+Table8[[#This Row],[Cumulative 2026]]</f>
        <v>11744</v>
      </c>
      <c r="D829">
        <f>IF(YEAR(Table8[[#This Row],[Date]])=2023,B829,0)+IF(ROW(D828)=1,0,D828)</f>
        <v>4195</v>
      </c>
      <c r="E829">
        <f>MAX(Table8[Cumulative 2023 Q4])</f>
        <v>4195</v>
      </c>
      <c r="F829">
        <f>IF(YEAR(Table8[[#This Row],[Date]])=2024,B829,0)+IF(ROW(F828)=1,0,F828)</f>
        <v>5831</v>
      </c>
      <c r="G829">
        <f>MAX(Table8[Cumulative 2024])</f>
        <v>5831</v>
      </c>
      <c r="H829">
        <f>IF(YEAR(Table8[[#This Row],[Date]])=2025,B829,0)+IF(ROW(H828)=1,0,H828)</f>
        <v>1377</v>
      </c>
      <c r="I829">
        <f>MAX(Table8[Cumulative 2025])</f>
        <v>1377</v>
      </c>
      <c r="J829">
        <f>IF(YEAR(Table8[[#This Row],[Date]])=2026,B829,0)+IF(ROW(J828)=1,0,J828)</f>
        <v>341</v>
      </c>
      <c r="K829">
        <f>MAX(Table8[Cumulative 2026])</f>
        <v>3102</v>
      </c>
    </row>
    <row r="830" spans="1:52" hidden="1" x14ac:dyDescent="0.25">
      <c r="A830" s="1">
        <v>46039</v>
      </c>
      <c r="B830">
        <f>SUM(_xlfn.CHOOSEROWS(Table8[[The Golden Compass]:[end]],ROW()-1))</f>
        <v>0</v>
      </c>
      <c r="C830">
        <f>Table8[[#This Row],[Cumulative 2023 Q4]]+Table8[[#This Row],[Cumulative 2024]]+Table8[[#This Row],[Cumulative 2025]]+Table8[[#This Row],[Cumulative 2026]]</f>
        <v>11744</v>
      </c>
      <c r="D830">
        <f>IF(YEAR(Table8[[#This Row],[Date]])=2023,B830,0)+IF(ROW(D829)=1,0,D829)</f>
        <v>4195</v>
      </c>
      <c r="E830">
        <f>MAX(Table8[Cumulative 2023 Q4])</f>
        <v>4195</v>
      </c>
      <c r="F830">
        <f>IF(YEAR(Table8[[#This Row],[Date]])=2024,B830,0)+IF(ROW(F829)=1,0,F829)</f>
        <v>5831</v>
      </c>
      <c r="G830">
        <f>MAX(Table8[Cumulative 2024])</f>
        <v>5831</v>
      </c>
      <c r="H830">
        <f>IF(YEAR(Table8[[#This Row],[Date]])=2025,B830,0)+IF(ROW(H829)=1,0,H829)</f>
        <v>1377</v>
      </c>
      <c r="I830">
        <f>MAX(Table8[Cumulative 2025])</f>
        <v>1377</v>
      </c>
      <c r="J830">
        <f>IF(YEAR(Table8[[#This Row],[Date]])=2026,B830,0)+IF(ROW(J829)=1,0,J829)</f>
        <v>341</v>
      </c>
      <c r="K830">
        <f>MAX(Table8[Cumulative 2026])</f>
        <v>3102</v>
      </c>
    </row>
    <row r="831" spans="1:52" hidden="1" x14ac:dyDescent="0.25">
      <c r="A831" s="1">
        <v>46040</v>
      </c>
      <c r="B831">
        <f>SUM(_xlfn.CHOOSEROWS(Table8[[The Golden Compass]:[end]],ROW()-1))</f>
        <v>0</v>
      </c>
      <c r="C831">
        <f>Table8[[#This Row],[Cumulative 2023 Q4]]+Table8[[#This Row],[Cumulative 2024]]+Table8[[#This Row],[Cumulative 2025]]+Table8[[#This Row],[Cumulative 2026]]</f>
        <v>11744</v>
      </c>
      <c r="D831">
        <f>IF(YEAR(Table8[[#This Row],[Date]])=2023,B831,0)+IF(ROW(D830)=1,0,D830)</f>
        <v>4195</v>
      </c>
      <c r="E831">
        <f>MAX(Table8[Cumulative 2023 Q4])</f>
        <v>4195</v>
      </c>
      <c r="F831">
        <f>IF(YEAR(Table8[[#This Row],[Date]])=2024,B831,0)+IF(ROW(F830)=1,0,F830)</f>
        <v>5831</v>
      </c>
      <c r="G831">
        <f>MAX(Table8[Cumulative 2024])</f>
        <v>5831</v>
      </c>
      <c r="H831">
        <f>IF(YEAR(Table8[[#This Row],[Date]])=2025,B831,0)+IF(ROW(H830)=1,0,H830)</f>
        <v>1377</v>
      </c>
      <c r="I831">
        <f>MAX(Table8[Cumulative 2025])</f>
        <v>1377</v>
      </c>
      <c r="J831">
        <f>IF(YEAR(Table8[[#This Row],[Date]])=2026,B831,0)+IF(ROW(J830)=1,0,J830)</f>
        <v>341</v>
      </c>
      <c r="K831">
        <f>MAX(Table8[Cumulative 2026])</f>
        <v>3102</v>
      </c>
    </row>
    <row r="832" spans="1:52" hidden="1" x14ac:dyDescent="0.25">
      <c r="A832" s="1">
        <v>46041</v>
      </c>
      <c r="B832">
        <f>SUM(_xlfn.CHOOSEROWS(Table8[[The Golden Compass]:[end]],ROW()-1))</f>
        <v>0</v>
      </c>
      <c r="C832">
        <f>Table8[[#This Row],[Cumulative 2023 Q4]]+Table8[[#This Row],[Cumulative 2024]]+Table8[[#This Row],[Cumulative 2025]]+Table8[[#This Row],[Cumulative 2026]]</f>
        <v>11744</v>
      </c>
      <c r="D832">
        <f>IF(YEAR(Table8[[#This Row],[Date]])=2023,B832,0)+IF(ROW(D831)=1,0,D831)</f>
        <v>4195</v>
      </c>
      <c r="E832">
        <f>MAX(Table8[Cumulative 2023 Q4])</f>
        <v>4195</v>
      </c>
      <c r="F832">
        <f>IF(YEAR(Table8[[#This Row],[Date]])=2024,B832,0)+IF(ROW(F831)=1,0,F831)</f>
        <v>5831</v>
      </c>
      <c r="G832">
        <f>MAX(Table8[Cumulative 2024])</f>
        <v>5831</v>
      </c>
      <c r="H832">
        <f>IF(YEAR(Table8[[#This Row],[Date]])=2025,B832,0)+IF(ROW(H831)=1,0,H831)</f>
        <v>1377</v>
      </c>
      <c r="I832">
        <f>MAX(Table8[Cumulative 2025])</f>
        <v>1377</v>
      </c>
      <c r="J832">
        <f>IF(YEAR(Table8[[#This Row],[Date]])=2026,B832,0)+IF(ROW(J831)=1,0,J831)</f>
        <v>341</v>
      </c>
      <c r="K832">
        <f>MAX(Table8[Cumulative 2026])</f>
        <v>3102</v>
      </c>
    </row>
    <row r="833" spans="1:11" hidden="1" x14ac:dyDescent="0.25">
      <c r="A833" s="1">
        <v>46042</v>
      </c>
      <c r="B833">
        <f>SUM(_xlfn.CHOOSEROWS(Table8[[The Golden Compass]:[end]],ROW()-1))</f>
        <v>0</v>
      </c>
      <c r="C833">
        <f>Table8[[#This Row],[Cumulative 2023 Q4]]+Table8[[#This Row],[Cumulative 2024]]+Table8[[#This Row],[Cumulative 2025]]+Table8[[#This Row],[Cumulative 2026]]</f>
        <v>11744</v>
      </c>
      <c r="D833">
        <f>IF(YEAR(Table8[[#This Row],[Date]])=2023,B833,0)+IF(ROW(D832)=1,0,D832)</f>
        <v>4195</v>
      </c>
      <c r="E833">
        <f>MAX(Table8[Cumulative 2023 Q4])</f>
        <v>4195</v>
      </c>
      <c r="F833">
        <f>IF(YEAR(Table8[[#This Row],[Date]])=2024,B833,0)+IF(ROW(F832)=1,0,F832)</f>
        <v>5831</v>
      </c>
      <c r="G833">
        <f>MAX(Table8[Cumulative 2024])</f>
        <v>5831</v>
      </c>
      <c r="H833">
        <f>IF(YEAR(Table8[[#This Row],[Date]])=2025,B833,0)+IF(ROW(H832)=1,0,H832)</f>
        <v>1377</v>
      </c>
      <c r="I833">
        <f>MAX(Table8[Cumulative 2025])</f>
        <v>1377</v>
      </c>
      <c r="J833">
        <f>IF(YEAR(Table8[[#This Row],[Date]])=2026,B833,0)+IF(ROW(J832)=1,0,J832)</f>
        <v>341</v>
      </c>
      <c r="K833">
        <f>MAX(Table8[Cumulative 2026])</f>
        <v>3102</v>
      </c>
    </row>
    <row r="834" spans="1:11" hidden="1" x14ac:dyDescent="0.25">
      <c r="A834" s="1">
        <v>46043</v>
      </c>
      <c r="B834">
        <f>SUM(_xlfn.CHOOSEROWS(Table8[[The Golden Compass]:[end]],ROW()-1))</f>
        <v>0</v>
      </c>
      <c r="C834">
        <f>Table8[[#This Row],[Cumulative 2023 Q4]]+Table8[[#This Row],[Cumulative 2024]]+Table8[[#This Row],[Cumulative 2025]]+Table8[[#This Row],[Cumulative 2026]]</f>
        <v>11744</v>
      </c>
      <c r="D834">
        <f>IF(YEAR(Table8[[#This Row],[Date]])=2023,B834,0)+IF(ROW(D833)=1,0,D833)</f>
        <v>4195</v>
      </c>
      <c r="E834">
        <f>MAX(Table8[Cumulative 2023 Q4])</f>
        <v>4195</v>
      </c>
      <c r="F834">
        <f>IF(YEAR(Table8[[#This Row],[Date]])=2024,B834,0)+IF(ROW(F833)=1,0,F833)</f>
        <v>5831</v>
      </c>
      <c r="G834">
        <f>MAX(Table8[Cumulative 2024])</f>
        <v>5831</v>
      </c>
      <c r="H834">
        <f>IF(YEAR(Table8[[#This Row],[Date]])=2025,B834,0)+IF(ROW(H833)=1,0,H833)</f>
        <v>1377</v>
      </c>
      <c r="I834">
        <f>MAX(Table8[Cumulative 2025])</f>
        <v>1377</v>
      </c>
      <c r="J834">
        <f>IF(YEAR(Table8[[#This Row],[Date]])=2026,B834,0)+IF(ROW(J833)=1,0,J833)</f>
        <v>341</v>
      </c>
      <c r="K834">
        <f>MAX(Table8[Cumulative 2026])</f>
        <v>3102</v>
      </c>
    </row>
    <row r="835" spans="1:11" hidden="1" x14ac:dyDescent="0.25">
      <c r="A835" s="1">
        <v>46044</v>
      </c>
      <c r="B835">
        <f>SUM(_xlfn.CHOOSEROWS(Table8[[The Golden Compass]:[end]],ROW()-1))</f>
        <v>0</v>
      </c>
      <c r="C835">
        <f>Table8[[#This Row],[Cumulative 2023 Q4]]+Table8[[#This Row],[Cumulative 2024]]+Table8[[#This Row],[Cumulative 2025]]+Table8[[#This Row],[Cumulative 2026]]</f>
        <v>11744</v>
      </c>
      <c r="D835">
        <f>IF(YEAR(Table8[[#This Row],[Date]])=2023,B835,0)+IF(ROW(D834)=1,0,D834)</f>
        <v>4195</v>
      </c>
      <c r="E835">
        <f>MAX(Table8[Cumulative 2023 Q4])</f>
        <v>4195</v>
      </c>
      <c r="F835">
        <f>IF(YEAR(Table8[[#This Row],[Date]])=2024,B835,0)+IF(ROW(F834)=1,0,F834)</f>
        <v>5831</v>
      </c>
      <c r="G835">
        <f>MAX(Table8[Cumulative 2024])</f>
        <v>5831</v>
      </c>
      <c r="H835">
        <f>IF(YEAR(Table8[[#This Row],[Date]])=2025,B835,0)+IF(ROW(H834)=1,0,H834)</f>
        <v>1377</v>
      </c>
      <c r="I835">
        <f>MAX(Table8[Cumulative 2025])</f>
        <v>1377</v>
      </c>
      <c r="J835">
        <f>IF(YEAR(Table8[[#This Row],[Date]])=2026,B835,0)+IF(ROW(J834)=1,0,J834)</f>
        <v>341</v>
      </c>
      <c r="K835">
        <f>MAX(Table8[Cumulative 2026])</f>
        <v>3102</v>
      </c>
    </row>
    <row r="836" spans="1:11" hidden="1" x14ac:dyDescent="0.25">
      <c r="A836" s="1">
        <v>46045</v>
      </c>
      <c r="B836">
        <f>SUM(_xlfn.CHOOSEROWS(Table8[[The Golden Compass]:[end]],ROW()-1))</f>
        <v>0</v>
      </c>
      <c r="C836">
        <f>Table8[[#This Row],[Cumulative 2023 Q4]]+Table8[[#This Row],[Cumulative 2024]]+Table8[[#This Row],[Cumulative 2025]]+Table8[[#This Row],[Cumulative 2026]]</f>
        <v>11744</v>
      </c>
      <c r="D836">
        <f>IF(YEAR(Table8[[#This Row],[Date]])=2023,B836,0)+IF(ROW(D835)=1,0,D835)</f>
        <v>4195</v>
      </c>
      <c r="E836">
        <f>MAX(Table8[Cumulative 2023 Q4])</f>
        <v>4195</v>
      </c>
      <c r="F836">
        <f>IF(YEAR(Table8[[#This Row],[Date]])=2024,B836,0)+IF(ROW(F835)=1,0,F835)</f>
        <v>5831</v>
      </c>
      <c r="G836">
        <f>MAX(Table8[Cumulative 2024])</f>
        <v>5831</v>
      </c>
      <c r="H836">
        <f>IF(YEAR(Table8[[#This Row],[Date]])=2025,B836,0)+IF(ROW(H835)=1,0,H835)</f>
        <v>1377</v>
      </c>
      <c r="I836">
        <f>MAX(Table8[Cumulative 2025])</f>
        <v>1377</v>
      </c>
      <c r="J836">
        <f>IF(YEAR(Table8[[#This Row],[Date]])=2026,B836,0)+IF(ROW(J835)=1,0,J835)</f>
        <v>341</v>
      </c>
      <c r="K836">
        <f>MAX(Table8[Cumulative 2026])</f>
        <v>3102</v>
      </c>
    </row>
    <row r="837" spans="1:11" hidden="1" x14ac:dyDescent="0.25">
      <c r="A837" s="1">
        <v>46046</v>
      </c>
      <c r="B837">
        <f>SUM(_xlfn.CHOOSEROWS(Table8[[The Golden Compass]:[end]],ROW()-1))</f>
        <v>0</v>
      </c>
      <c r="C837">
        <f>Table8[[#This Row],[Cumulative 2023 Q4]]+Table8[[#This Row],[Cumulative 2024]]+Table8[[#This Row],[Cumulative 2025]]+Table8[[#This Row],[Cumulative 2026]]</f>
        <v>11744</v>
      </c>
      <c r="D837">
        <f>IF(YEAR(Table8[[#This Row],[Date]])=2023,B837,0)+IF(ROW(D836)=1,0,D836)</f>
        <v>4195</v>
      </c>
      <c r="E837">
        <f>MAX(Table8[Cumulative 2023 Q4])</f>
        <v>4195</v>
      </c>
      <c r="F837">
        <f>IF(YEAR(Table8[[#This Row],[Date]])=2024,B837,0)+IF(ROW(F836)=1,0,F836)</f>
        <v>5831</v>
      </c>
      <c r="G837">
        <f>MAX(Table8[Cumulative 2024])</f>
        <v>5831</v>
      </c>
      <c r="H837">
        <f>IF(YEAR(Table8[[#This Row],[Date]])=2025,B837,0)+IF(ROW(H836)=1,0,H836)</f>
        <v>1377</v>
      </c>
      <c r="I837">
        <f>MAX(Table8[Cumulative 2025])</f>
        <v>1377</v>
      </c>
      <c r="J837">
        <f>IF(YEAR(Table8[[#This Row],[Date]])=2026,B837,0)+IF(ROW(J836)=1,0,J836)</f>
        <v>341</v>
      </c>
      <c r="K837">
        <f>MAX(Table8[Cumulative 2026])</f>
        <v>3102</v>
      </c>
    </row>
    <row r="838" spans="1:11" hidden="1" x14ac:dyDescent="0.25">
      <c r="A838" s="1">
        <v>46047</v>
      </c>
      <c r="B838">
        <f>SUM(_xlfn.CHOOSEROWS(Table8[[The Golden Compass]:[end]],ROW()-1))</f>
        <v>0</v>
      </c>
      <c r="C838">
        <f>Table8[[#This Row],[Cumulative 2023 Q4]]+Table8[[#This Row],[Cumulative 2024]]+Table8[[#This Row],[Cumulative 2025]]+Table8[[#This Row],[Cumulative 2026]]</f>
        <v>11744</v>
      </c>
      <c r="D838">
        <f>IF(YEAR(Table8[[#This Row],[Date]])=2023,B838,0)+IF(ROW(D837)=1,0,D837)</f>
        <v>4195</v>
      </c>
      <c r="E838">
        <f>MAX(Table8[Cumulative 2023 Q4])</f>
        <v>4195</v>
      </c>
      <c r="F838">
        <f>IF(YEAR(Table8[[#This Row],[Date]])=2024,B838,0)+IF(ROW(F837)=1,0,F837)</f>
        <v>5831</v>
      </c>
      <c r="G838">
        <f>MAX(Table8[Cumulative 2024])</f>
        <v>5831</v>
      </c>
      <c r="H838">
        <f>IF(YEAR(Table8[[#This Row],[Date]])=2025,B838,0)+IF(ROW(H837)=1,0,H837)</f>
        <v>1377</v>
      </c>
      <c r="I838">
        <f>MAX(Table8[Cumulative 2025])</f>
        <v>1377</v>
      </c>
      <c r="J838">
        <f>IF(YEAR(Table8[[#This Row],[Date]])=2026,B838,0)+IF(ROW(J837)=1,0,J837)</f>
        <v>341</v>
      </c>
      <c r="K838">
        <f>MAX(Table8[Cumulative 2026])</f>
        <v>3102</v>
      </c>
    </row>
    <row r="839" spans="1:11" hidden="1" x14ac:dyDescent="0.25">
      <c r="A839" s="1">
        <v>46048</v>
      </c>
      <c r="B839">
        <f>SUM(_xlfn.CHOOSEROWS(Table8[[The Golden Compass]:[end]],ROW()-1))</f>
        <v>0</v>
      </c>
      <c r="C839">
        <f>Table8[[#This Row],[Cumulative 2023 Q4]]+Table8[[#This Row],[Cumulative 2024]]+Table8[[#This Row],[Cumulative 2025]]+Table8[[#This Row],[Cumulative 2026]]</f>
        <v>11744</v>
      </c>
      <c r="D839">
        <f>IF(YEAR(Table8[[#This Row],[Date]])=2023,B839,0)+IF(ROW(D838)=1,0,D838)</f>
        <v>4195</v>
      </c>
      <c r="E839">
        <f>MAX(Table8[Cumulative 2023 Q4])</f>
        <v>4195</v>
      </c>
      <c r="F839">
        <f>IF(YEAR(Table8[[#This Row],[Date]])=2024,B839,0)+IF(ROW(F838)=1,0,F838)</f>
        <v>5831</v>
      </c>
      <c r="G839">
        <f>MAX(Table8[Cumulative 2024])</f>
        <v>5831</v>
      </c>
      <c r="H839">
        <f>IF(YEAR(Table8[[#This Row],[Date]])=2025,B839,0)+IF(ROW(H838)=1,0,H838)</f>
        <v>1377</v>
      </c>
      <c r="I839">
        <f>MAX(Table8[Cumulative 2025])</f>
        <v>1377</v>
      </c>
      <c r="J839">
        <f>IF(YEAR(Table8[[#This Row],[Date]])=2026,B839,0)+IF(ROW(J838)=1,0,J838)</f>
        <v>341</v>
      </c>
      <c r="K839">
        <f>MAX(Table8[Cumulative 2026])</f>
        <v>3102</v>
      </c>
    </row>
    <row r="840" spans="1:11" hidden="1" x14ac:dyDescent="0.25">
      <c r="A840" s="1">
        <v>46049</v>
      </c>
      <c r="B840">
        <f>SUM(_xlfn.CHOOSEROWS(Table8[[The Golden Compass]:[end]],ROW()-1))</f>
        <v>0</v>
      </c>
      <c r="C840">
        <f>Table8[[#This Row],[Cumulative 2023 Q4]]+Table8[[#This Row],[Cumulative 2024]]+Table8[[#This Row],[Cumulative 2025]]+Table8[[#This Row],[Cumulative 2026]]</f>
        <v>11744</v>
      </c>
      <c r="D840">
        <f>IF(YEAR(Table8[[#This Row],[Date]])=2023,B840,0)+IF(ROW(D839)=1,0,D839)</f>
        <v>4195</v>
      </c>
      <c r="E840">
        <f>MAX(Table8[Cumulative 2023 Q4])</f>
        <v>4195</v>
      </c>
      <c r="F840">
        <f>IF(YEAR(Table8[[#This Row],[Date]])=2024,B840,0)+IF(ROW(F839)=1,0,F839)</f>
        <v>5831</v>
      </c>
      <c r="G840">
        <f>MAX(Table8[Cumulative 2024])</f>
        <v>5831</v>
      </c>
      <c r="H840">
        <f>IF(YEAR(Table8[[#This Row],[Date]])=2025,B840,0)+IF(ROW(H839)=1,0,H839)</f>
        <v>1377</v>
      </c>
      <c r="I840">
        <f>MAX(Table8[Cumulative 2025])</f>
        <v>1377</v>
      </c>
      <c r="J840">
        <f>IF(YEAR(Table8[[#This Row],[Date]])=2026,B840,0)+IF(ROW(J839)=1,0,J839)</f>
        <v>341</v>
      </c>
      <c r="K840">
        <f>MAX(Table8[Cumulative 2026])</f>
        <v>3102</v>
      </c>
    </row>
    <row r="841" spans="1:11" hidden="1" x14ac:dyDescent="0.25">
      <c r="A841" s="1">
        <v>46050</v>
      </c>
      <c r="B841">
        <f>SUM(_xlfn.CHOOSEROWS(Table8[[The Golden Compass]:[end]],ROW()-1))</f>
        <v>0</v>
      </c>
      <c r="C841">
        <f>Table8[[#This Row],[Cumulative 2023 Q4]]+Table8[[#This Row],[Cumulative 2024]]+Table8[[#This Row],[Cumulative 2025]]+Table8[[#This Row],[Cumulative 2026]]</f>
        <v>11744</v>
      </c>
      <c r="D841">
        <f>IF(YEAR(Table8[[#This Row],[Date]])=2023,B841,0)+IF(ROW(D840)=1,0,D840)</f>
        <v>4195</v>
      </c>
      <c r="E841">
        <f>MAX(Table8[Cumulative 2023 Q4])</f>
        <v>4195</v>
      </c>
      <c r="F841">
        <f>IF(YEAR(Table8[[#This Row],[Date]])=2024,B841,0)+IF(ROW(F840)=1,0,F840)</f>
        <v>5831</v>
      </c>
      <c r="G841">
        <f>MAX(Table8[Cumulative 2024])</f>
        <v>5831</v>
      </c>
      <c r="H841">
        <f>IF(YEAR(Table8[[#This Row],[Date]])=2025,B841,0)+IF(ROW(H840)=1,0,H840)</f>
        <v>1377</v>
      </c>
      <c r="I841">
        <f>MAX(Table8[Cumulative 2025])</f>
        <v>1377</v>
      </c>
      <c r="J841">
        <f>IF(YEAR(Table8[[#This Row],[Date]])=2026,B841,0)+IF(ROW(J840)=1,0,J840)</f>
        <v>341</v>
      </c>
      <c r="K841">
        <f>MAX(Table8[Cumulative 2026])</f>
        <v>3102</v>
      </c>
    </row>
    <row r="842" spans="1:11" hidden="1" x14ac:dyDescent="0.25">
      <c r="A842" s="1">
        <v>46051</v>
      </c>
      <c r="B842">
        <f>SUM(_xlfn.CHOOSEROWS(Table8[[The Golden Compass]:[end]],ROW()-1))</f>
        <v>0</v>
      </c>
      <c r="C842">
        <f>Table8[[#This Row],[Cumulative 2023 Q4]]+Table8[[#This Row],[Cumulative 2024]]+Table8[[#This Row],[Cumulative 2025]]+Table8[[#This Row],[Cumulative 2026]]</f>
        <v>11744</v>
      </c>
      <c r="D842">
        <f>IF(YEAR(Table8[[#This Row],[Date]])=2023,B842,0)+IF(ROW(D841)=1,0,D841)</f>
        <v>4195</v>
      </c>
      <c r="E842">
        <f>MAX(Table8[Cumulative 2023 Q4])</f>
        <v>4195</v>
      </c>
      <c r="F842">
        <f>IF(YEAR(Table8[[#This Row],[Date]])=2024,B842,0)+IF(ROW(F841)=1,0,F841)</f>
        <v>5831</v>
      </c>
      <c r="G842">
        <f>MAX(Table8[Cumulative 2024])</f>
        <v>5831</v>
      </c>
      <c r="H842">
        <f>IF(YEAR(Table8[[#This Row],[Date]])=2025,B842,0)+IF(ROW(H841)=1,0,H841)</f>
        <v>1377</v>
      </c>
      <c r="I842">
        <f>MAX(Table8[Cumulative 2025])</f>
        <v>1377</v>
      </c>
      <c r="J842">
        <f>IF(YEAR(Table8[[#This Row],[Date]])=2026,B842,0)+IF(ROW(J841)=1,0,J841)</f>
        <v>341</v>
      </c>
      <c r="K842">
        <f>MAX(Table8[Cumulative 2026])</f>
        <v>3102</v>
      </c>
    </row>
    <row r="843" spans="1:11" hidden="1" x14ac:dyDescent="0.25">
      <c r="A843" s="1">
        <v>46052</v>
      </c>
      <c r="B843">
        <f>SUM(_xlfn.CHOOSEROWS(Table8[[The Golden Compass]:[end]],ROW()-1))</f>
        <v>0</v>
      </c>
      <c r="C843">
        <f>Table8[[#This Row],[Cumulative 2023 Q4]]+Table8[[#This Row],[Cumulative 2024]]+Table8[[#This Row],[Cumulative 2025]]+Table8[[#This Row],[Cumulative 2026]]</f>
        <v>11744</v>
      </c>
      <c r="D843">
        <f>IF(YEAR(Table8[[#This Row],[Date]])=2023,B843,0)+IF(ROW(D842)=1,0,D842)</f>
        <v>4195</v>
      </c>
      <c r="E843">
        <f>MAX(Table8[Cumulative 2023 Q4])</f>
        <v>4195</v>
      </c>
      <c r="F843">
        <f>IF(YEAR(Table8[[#This Row],[Date]])=2024,B843,0)+IF(ROW(F842)=1,0,F842)</f>
        <v>5831</v>
      </c>
      <c r="G843">
        <f>MAX(Table8[Cumulative 2024])</f>
        <v>5831</v>
      </c>
      <c r="H843">
        <f>IF(YEAR(Table8[[#This Row],[Date]])=2025,B843,0)+IF(ROW(H842)=1,0,H842)</f>
        <v>1377</v>
      </c>
      <c r="I843">
        <f>MAX(Table8[Cumulative 2025])</f>
        <v>1377</v>
      </c>
      <c r="J843">
        <f>IF(YEAR(Table8[[#This Row],[Date]])=2026,B843,0)+IF(ROW(J842)=1,0,J842)</f>
        <v>341</v>
      </c>
      <c r="K843">
        <f>MAX(Table8[Cumulative 2026])</f>
        <v>3102</v>
      </c>
    </row>
    <row r="844" spans="1:11" hidden="1" x14ac:dyDescent="0.25">
      <c r="A844" s="1">
        <v>46053</v>
      </c>
      <c r="B844">
        <f>SUM(_xlfn.CHOOSEROWS(Table8[[The Golden Compass]:[end]],ROW()-1))</f>
        <v>0</v>
      </c>
      <c r="C844">
        <f>Table8[[#This Row],[Cumulative 2023 Q4]]+Table8[[#This Row],[Cumulative 2024]]+Table8[[#This Row],[Cumulative 2025]]+Table8[[#This Row],[Cumulative 2026]]</f>
        <v>11744</v>
      </c>
      <c r="D844">
        <f>IF(YEAR(Table8[[#This Row],[Date]])=2023,B844,0)+IF(ROW(D843)=1,0,D843)</f>
        <v>4195</v>
      </c>
      <c r="E844">
        <f>MAX(Table8[Cumulative 2023 Q4])</f>
        <v>4195</v>
      </c>
      <c r="F844">
        <f>IF(YEAR(Table8[[#This Row],[Date]])=2024,B844,0)+IF(ROW(F843)=1,0,F843)</f>
        <v>5831</v>
      </c>
      <c r="G844">
        <f>MAX(Table8[Cumulative 2024])</f>
        <v>5831</v>
      </c>
      <c r="H844">
        <f>IF(YEAR(Table8[[#This Row],[Date]])=2025,B844,0)+IF(ROW(H843)=1,0,H843)</f>
        <v>1377</v>
      </c>
      <c r="I844">
        <f>MAX(Table8[Cumulative 2025])</f>
        <v>1377</v>
      </c>
      <c r="J844">
        <f>IF(YEAR(Table8[[#This Row],[Date]])=2026,B844,0)+IF(ROW(J843)=1,0,J843)</f>
        <v>341</v>
      </c>
      <c r="K844">
        <f>MAX(Table8[Cumulative 2026])</f>
        <v>3102</v>
      </c>
    </row>
    <row r="845" spans="1:11" hidden="1" x14ac:dyDescent="0.25">
      <c r="A845" s="1">
        <v>46054</v>
      </c>
      <c r="B845">
        <f>SUM(_xlfn.CHOOSEROWS(Table8[[The Golden Compass]:[end]],ROW()-1))</f>
        <v>0</v>
      </c>
      <c r="C845">
        <f>Table8[[#This Row],[Cumulative 2023 Q4]]+Table8[[#This Row],[Cumulative 2024]]+Table8[[#This Row],[Cumulative 2025]]+Table8[[#This Row],[Cumulative 2026]]</f>
        <v>11744</v>
      </c>
      <c r="D845">
        <f>IF(YEAR(Table8[[#This Row],[Date]])=2023,B845,0)+IF(ROW(D844)=1,0,D844)</f>
        <v>4195</v>
      </c>
      <c r="E845">
        <f>MAX(Table8[Cumulative 2023 Q4])</f>
        <v>4195</v>
      </c>
      <c r="F845">
        <f>IF(YEAR(Table8[[#This Row],[Date]])=2024,B845,0)+IF(ROW(F844)=1,0,F844)</f>
        <v>5831</v>
      </c>
      <c r="G845">
        <f>MAX(Table8[Cumulative 2024])</f>
        <v>5831</v>
      </c>
      <c r="H845">
        <f>IF(YEAR(Table8[[#This Row],[Date]])=2025,B845,0)+IF(ROW(H844)=1,0,H844)</f>
        <v>1377</v>
      </c>
      <c r="I845">
        <f>MAX(Table8[Cumulative 2025])</f>
        <v>1377</v>
      </c>
      <c r="J845">
        <f>IF(YEAR(Table8[[#This Row],[Date]])=2026,B845,0)+IF(ROW(J844)=1,0,J844)</f>
        <v>341</v>
      </c>
      <c r="K845">
        <f>MAX(Table8[Cumulative 2026])</f>
        <v>3102</v>
      </c>
    </row>
    <row r="846" spans="1:11" hidden="1" x14ac:dyDescent="0.25">
      <c r="A846" s="1">
        <v>46055</v>
      </c>
      <c r="B846">
        <f>SUM(_xlfn.CHOOSEROWS(Table8[[The Golden Compass]:[end]],ROW()-1))</f>
        <v>0</v>
      </c>
      <c r="C846">
        <f>Table8[[#This Row],[Cumulative 2023 Q4]]+Table8[[#This Row],[Cumulative 2024]]+Table8[[#This Row],[Cumulative 2025]]+Table8[[#This Row],[Cumulative 2026]]</f>
        <v>11744</v>
      </c>
      <c r="D846">
        <f>IF(YEAR(Table8[[#This Row],[Date]])=2023,B846,0)+IF(ROW(D845)=1,0,D845)</f>
        <v>4195</v>
      </c>
      <c r="E846">
        <f>MAX(Table8[Cumulative 2023 Q4])</f>
        <v>4195</v>
      </c>
      <c r="F846">
        <f>IF(YEAR(Table8[[#This Row],[Date]])=2024,B846,0)+IF(ROW(F845)=1,0,F845)</f>
        <v>5831</v>
      </c>
      <c r="G846">
        <f>MAX(Table8[Cumulative 2024])</f>
        <v>5831</v>
      </c>
      <c r="H846">
        <f>IF(YEAR(Table8[[#This Row],[Date]])=2025,B846,0)+IF(ROW(H845)=1,0,H845)</f>
        <v>1377</v>
      </c>
      <c r="I846">
        <f>MAX(Table8[Cumulative 2025])</f>
        <v>1377</v>
      </c>
      <c r="J846">
        <f>IF(YEAR(Table8[[#This Row],[Date]])=2026,B846,0)+IF(ROW(J845)=1,0,J845)</f>
        <v>341</v>
      </c>
      <c r="K846">
        <f>MAX(Table8[Cumulative 2026])</f>
        <v>3102</v>
      </c>
    </row>
    <row r="847" spans="1:11" hidden="1" x14ac:dyDescent="0.25">
      <c r="A847" s="1">
        <v>46056</v>
      </c>
      <c r="B847">
        <f>SUM(_xlfn.CHOOSEROWS(Table8[[The Golden Compass]:[end]],ROW()-1))</f>
        <v>0</v>
      </c>
      <c r="C847">
        <f>Table8[[#This Row],[Cumulative 2023 Q4]]+Table8[[#This Row],[Cumulative 2024]]+Table8[[#This Row],[Cumulative 2025]]+Table8[[#This Row],[Cumulative 2026]]</f>
        <v>11744</v>
      </c>
      <c r="D847">
        <f>IF(YEAR(Table8[[#This Row],[Date]])=2023,B847,0)+IF(ROW(D846)=1,0,D846)</f>
        <v>4195</v>
      </c>
      <c r="E847">
        <f>MAX(Table8[Cumulative 2023 Q4])</f>
        <v>4195</v>
      </c>
      <c r="F847">
        <f>IF(YEAR(Table8[[#This Row],[Date]])=2024,B847,0)+IF(ROW(F846)=1,0,F846)</f>
        <v>5831</v>
      </c>
      <c r="G847">
        <f>MAX(Table8[Cumulative 2024])</f>
        <v>5831</v>
      </c>
      <c r="H847">
        <f>IF(YEAR(Table8[[#This Row],[Date]])=2025,B847,0)+IF(ROW(H846)=1,0,H846)</f>
        <v>1377</v>
      </c>
      <c r="I847">
        <f>MAX(Table8[Cumulative 2025])</f>
        <v>1377</v>
      </c>
      <c r="J847">
        <f>IF(YEAR(Table8[[#This Row],[Date]])=2026,B847,0)+IF(ROW(J846)=1,0,J846)</f>
        <v>341</v>
      </c>
      <c r="K847">
        <f>MAX(Table8[Cumulative 2026])</f>
        <v>3102</v>
      </c>
    </row>
    <row r="848" spans="1:11" hidden="1" x14ac:dyDescent="0.25">
      <c r="A848" s="1">
        <v>46057</v>
      </c>
      <c r="B848">
        <f>SUM(_xlfn.CHOOSEROWS(Table8[[The Golden Compass]:[end]],ROW()-1))</f>
        <v>0</v>
      </c>
      <c r="C848">
        <f>Table8[[#This Row],[Cumulative 2023 Q4]]+Table8[[#This Row],[Cumulative 2024]]+Table8[[#This Row],[Cumulative 2025]]+Table8[[#This Row],[Cumulative 2026]]</f>
        <v>11744</v>
      </c>
      <c r="D848">
        <f>IF(YEAR(Table8[[#This Row],[Date]])=2023,B848,0)+IF(ROW(D847)=1,0,D847)</f>
        <v>4195</v>
      </c>
      <c r="E848">
        <f>MAX(Table8[Cumulative 2023 Q4])</f>
        <v>4195</v>
      </c>
      <c r="F848">
        <f>IF(YEAR(Table8[[#This Row],[Date]])=2024,B848,0)+IF(ROW(F847)=1,0,F847)</f>
        <v>5831</v>
      </c>
      <c r="G848">
        <f>MAX(Table8[Cumulative 2024])</f>
        <v>5831</v>
      </c>
      <c r="H848">
        <f>IF(YEAR(Table8[[#This Row],[Date]])=2025,B848,0)+IF(ROW(H847)=1,0,H847)</f>
        <v>1377</v>
      </c>
      <c r="I848">
        <f>MAX(Table8[Cumulative 2025])</f>
        <v>1377</v>
      </c>
      <c r="J848">
        <f>IF(YEAR(Table8[[#This Row],[Date]])=2026,B848,0)+IF(ROW(J847)=1,0,J847)</f>
        <v>341</v>
      </c>
      <c r="K848">
        <f>MAX(Table8[Cumulative 2026])</f>
        <v>3102</v>
      </c>
    </row>
    <row r="849" spans="1:11" hidden="1" x14ac:dyDescent="0.25">
      <c r="A849" s="1">
        <v>46058</v>
      </c>
      <c r="B849">
        <f>SUM(_xlfn.CHOOSEROWS(Table8[[The Golden Compass]:[end]],ROW()-1))</f>
        <v>0</v>
      </c>
      <c r="C849">
        <f>Table8[[#This Row],[Cumulative 2023 Q4]]+Table8[[#This Row],[Cumulative 2024]]+Table8[[#This Row],[Cumulative 2025]]+Table8[[#This Row],[Cumulative 2026]]</f>
        <v>11744</v>
      </c>
      <c r="D849">
        <f>IF(YEAR(Table8[[#This Row],[Date]])=2023,B849,0)+IF(ROW(D848)=1,0,D848)</f>
        <v>4195</v>
      </c>
      <c r="E849">
        <f>MAX(Table8[Cumulative 2023 Q4])</f>
        <v>4195</v>
      </c>
      <c r="F849">
        <f>IF(YEAR(Table8[[#This Row],[Date]])=2024,B849,0)+IF(ROW(F848)=1,0,F848)</f>
        <v>5831</v>
      </c>
      <c r="G849">
        <f>MAX(Table8[Cumulative 2024])</f>
        <v>5831</v>
      </c>
      <c r="H849">
        <f>IF(YEAR(Table8[[#This Row],[Date]])=2025,B849,0)+IF(ROW(H848)=1,0,H848)</f>
        <v>1377</v>
      </c>
      <c r="I849">
        <f>MAX(Table8[Cumulative 2025])</f>
        <v>1377</v>
      </c>
      <c r="J849">
        <f>IF(YEAR(Table8[[#This Row],[Date]])=2026,B849,0)+IF(ROW(J848)=1,0,J848)</f>
        <v>341</v>
      </c>
      <c r="K849">
        <f>MAX(Table8[Cumulative 2026])</f>
        <v>3102</v>
      </c>
    </row>
    <row r="850" spans="1:11" hidden="1" x14ac:dyDescent="0.25">
      <c r="A850" s="1">
        <v>46059</v>
      </c>
      <c r="B850">
        <f>SUM(_xlfn.CHOOSEROWS(Table8[[The Golden Compass]:[end]],ROW()-1))</f>
        <v>0</v>
      </c>
      <c r="C850">
        <f>Table8[[#This Row],[Cumulative 2023 Q4]]+Table8[[#This Row],[Cumulative 2024]]+Table8[[#This Row],[Cumulative 2025]]+Table8[[#This Row],[Cumulative 2026]]</f>
        <v>11744</v>
      </c>
      <c r="D850">
        <f>IF(YEAR(Table8[[#This Row],[Date]])=2023,B850,0)+IF(ROW(D849)=1,0,D849)</f>
        <v>4195</v>
      </c>
      <c r="E850">
        <f>MAX(Table8[Cumulative 2023 Q4])</f>
        <v>4195</v>
      </c>
      <c r="F850">
        <f>IF(YEAR(Table8[[#This Row],[Date]])=2024,B850,0)+IF(ROW(F849)=1,0,F849)</f>
        <v>5831</v>
      </c>
      <c r="G850">
        <f>MAX(Table8[Cumulative 2024])</f>
        <v>5831</v>
      </c>
      <c r="H850">
        <f>IF(YEAR(Table8[[#This Row],[Date]])=2025,B850,0)+IF(ROW(H849)=1,0,H849)</f>
        <v>1377</v>
      </c>
      <c r="I850">
        <f>MAX(Table8[Cumulative 2025])</f>
        <v>1377</v>
      </c>
      <c r="J850">
        <f>IF(YEAR(Table8[[#This Row],[Date]])=2026,B850,0)+IF(ROW(J849)=1,0,J849)</f>
        <v>341</v>
      </c>
      <c r="K850">
        <f>MAX(Table8[Cumulative 2026])</f>
        <v>3102</v>
      </c>
    </row>
    <row r="851" spans="1:11" hidden="1" x14ac:dyDescent="0.25">
      <c r="A851" s="1">
        <v>46060</v>
      </c>
      <c r="B851">
        <f>SUM(_xlfn.CHOOSEROWS(Table8[[The Golden Compass]:[end]],ROW()-1))</f>
        <v>0</v>
      </c>
      <c r="C851">
        <f>Table8[[#This Row],[Cumulative 2023 Q4]]+Table8[[#This Row],[Cumulative 2024]]+Table8[[#This Row],[Cumulative 2025]]+Table8[[#This Row],[Cumulative 2026]]</f>
        <v>11744</v>
      </c>
      <c r="D851">
        <f>IF(YEAR(Table8[[#This Row],[Date]])=2023,B851,0)+IF(ROW(D850)=1,0,D850)</f>
        <v>4195</v>
      </c>
      <c r="E851">
        <f>MAX(Table8[Cumulative 2023 Q4])</f>
        <v>4195</v>
      </c>
      <c r="F851">
        <f>IF(YEAR(Table8[[#This Row],[Date]])=2024,B851,0)+IF(ROW(F850)=1,0,F850)</f>
        <v>5831</v>
      </c>
      <c r="G851">
        <f>MAX(Table8[Cumulative 2024])</f>
        <v>5831</v>
      </c>
      <c r="H851">
        <f>IF(YEAR(Table8[[#This Row],[Date]])=2025,B851,0)+IF(ROW(H850)=1,0,H850)</f>
        <v>1377</v>
      </c>
      <c r="I851">
        <f>MAX(Table8[Cumulative 2025])</f>
        <v>1377</v>
      </c>
      <c r="J851">
        <f>IF(YEAR(Table8[[#This Row],[Date]])=2026,B851,0)+IF(ROW(J850)=1,0,J850)</f>
        <v>341</v>
      </c>
      <c r="K851">
        <f>MAX(Table8[Cumulative 2026])</f>
        <v>3102</v>
      </c>
    </row>
    <row r="852" spans="1:11" hidden="1" x14ac:dyDescent="0.25">
      <c r="A852" s="1">
        <v>46061</v>
      </c>
      <c r="B852">
        <f>SUM(_xlfn.CHOOSEROWS(Table8[[The Golden Compass]:[end]],ROW()-1))</f>
        <v>0</v>
      </c>
      <c r="C852">
        <f>Table8[[#This Row],[Cumulative 2023 Q4]]+Table8[[#This Row],[Cumulative 2024]]+Table8[[#This Row],[Cumulative 2025]]+Table8[[#This Row],[Cumulative 2026]]</f>
        <v>11744</v>
      </c>
      <c r="D852">
        <f>IF(YEAR(Table8[[#This Row],[Date]])=2023,B852,0)+IF(ROW(D851)=1,0,D851)</f>
        <v>4195</v>
      </c>
      <c r="E852">
        <f>MAX(Table8[Cumulative 2023 Q4])</f>
        <v>4195</v>
      </c>
      <c r="F852">
        <f>IF(YEAR(Table8[[#This Row],[Date]])=2024,B852,0)+IF(ROW(F851)=1,0,F851)</f>
        <v>5831</v>
      </c>
      <c r="G852">
        <f>MAX(Table8[Cumulative 2024])</f>
        <v>5831</v>
      </c>
      <c r="H852">
        <f>IF(YEAR(Table8[[#This Row],[Date]])=2025,B852,0)+IF(ROW(H851)=1,0,H851)</f>
        <v>1377</v>
      </c>
      <c r="I852">
        <f>MAX(Table8[Cumulative 2025])</f>
        <v>1377</v>
      </c>
      <c r="J852">
        <f>IF(YEAR(Table8[[#This Row],[Date]])=2026,B852,0)+IF(ROW(J851)=1,0,J851)</f>
        <v>341</v>
      </c>
      <c r="K852">
        <f>MAX(Table8[Cumulative 2026])</f>
        <v>3102</v>
      </c>
    </row>
    <row r="853" spans="1:11" hidden="1" x14ac:dyDescent="0.25">
      <c r="A853" s="1">
        <v>46062</v>
      </c>
      <c r="B853">
        <f>SUM(_xlfn.CHOOSEROWS(Table8[[The Golden Compass]:[end]],ROW()-1))</f>
        <v>0</v>
      </c>
      <c r="C853">
        <f>Table8[[#This Row],[Cumulative 2023 Q4]]+Table8[[#This Row],[Cumulative 2024]]+Table8[[#This Row],[Cumulative 2025]]+Table8[[#This Row],[Cumulative 2026]]</f>
        <v>11744</v>
      </c>
      <c r="D853">
        <f>IF(YEAR(Table8[[#This Row],[Date]])=2023,B853,0)+IF(ROW(D852)=1,0,D852)</f>
        <v>4195</v>
      </c>
      <c r="E853">
        <f>MAX(Table8[Cumulative 2023 Q4])</f>
        <v>4195</v>
      </c>
      <c r="F853">
        <f>IF(YEAR(Table8[[#This Row],[Date]])=2024,B853,0)+IF(ROW(F852)=1,0,F852)</f>
        <v>5831</v>
      </c>
      <c r="G853">
        <f>MAX(Table8[Cumulative 2024])</f>
        <v>5831</v>
      </c>
      <c r="H853">
        <f>IF(YEAR(Table8[[#This Row],[Date]])=2025,B853,0)+IF(ROW(H852)=1,0,H852)</f>
        <v>1377</v>
      </c>
      <c r="I853">
        <f>MAX(Table8[Cumulative 2025])</f>
        <v>1377</v>
      </c>
      <c r="J853">
        <f>IF(YEAR(Table8[[#This Row],[Date]])=2026,B853,0)+IF(ROW(J852)=1,0,J852)</f>
        <v>341</v>
      </c>
      <c r="K853">
        <f>MAX(Table8[Cumulative 2026])</f>
        <v>3102</v>
      </c>
    </row>
    <row r="854" spans="1:11" hidden="1" x14ac:dyDescent="0.25">
      <c r="A854" s="1">
        <v>46063</v>
      </c>
      <c r="B854">
        <f>SUM(_xlfn.CHOOSEROWS(Table8[[The Golden Compass]:[end]],ROW()-1))</f>
        <v>0</v>
      </c>
      <c r="C854">
        <f>Table8[[#This Row],[Cumulative 2023 Q4]]+Table8[[#This Row],[Cumulative 2024]]+Table8[[#This Row],[Cumulative 2025]]+Table8[[#This Row],[Cumulative 2026]]</f>
        <v>11744</v>
      </c>
      <c r="D854">
        <f>IF(YEAR(Table8[[#This Row],[Date]])=2023,B854,0)+IF(ROW(D853)=1,0,D853)</f>
        <v>4195</v>
      </c>
      <c r="E854">
        <f>MAX(Table8[Cumulative 2023 Q4])</f>
        <v>4195</v>
      </c>
      <c r="F854">
        <f>IF(YEAR(Table8[[#This Row],[Date]])=2024,B854,0)+IF(ROW(F853)=1,0,F853)</f>
        <v>5831</v>
      </c>
      <c r="G854">
        <f>MAX(Table8[Cumulative 2024])</f>
        <v>5831</v>
      </c>
      <c r="H854">
        <f>IF(YEAR(Table8[[#This Row],[Date]])=2025,B854,0)+IF(ROW(H853)=1,0,H853)</f>
        <v>1377</v>
      </c>
      <c r="I854">
        <f>MAX(Table8[Cumulative 2025])</f>
        <v>1377</v>
      </c>
      <c r="J854">
        <f>IF(YEAR(Table8[[#This Row],[Date]])=2026,B854,0)+IF(ROW(J853)=1,0,J853)</f>
        <v>341</v>
      </c>
      <c r="K854">
        <f>MAX(Table8[Cumulative 2026])</f>
        <v>3102</v>
      </c>
    </row>
    <row r="855" spans="1:11" hidden="1" x14ac:dyDescent="0.25">
      <c r="A855" s="1">
        <v>46064</v>
      </c>
      <c r="B855">
        <f>SUM(_xlfn.CHOOSEROWS(Table8[[The Golden Compass]:[end]],ROW()-1))</f>
        <v>0</v>
      </c>
      <c r="C855">
        <f>Table8[[#This Row],[Cumulative 2023 Q4]]+Table8[[#This Row],[Cumulative 2024]]+Table8[[#This Row],[Cumulative 2025]]+Table8[[#This Row],[Cumulative 2026]]</f>
        <v>11744</v>
      </c>
      <c r="D855">
        <f>IF(YEAR(Table8[[#This Row],[Date]])=2023,B855,0)+IF(ROW(D854)=1,0,D854)</f>
        <v>4195</v>
      </c>
      <c r="E855">
        <f>MAX(Table8[Cumulative 2023 Q4])</f>
        <v>4195</v>
      </c>
      <c r="F855">
        <f>IF(YEAR(Table8[[#This Row],[Date]])=2024,B855,0)+IF(ROW(F854)=1,0,F854)</f>
        <v>5831</v>
      </c>
      <c r="G855">
        <f>MAX(Table8[Cumulative 2024])</f>
        <v>5831</v>
      </c>
      <c r="H855">
        <f>IF(YEAR(Table8[[#This Row],[Date]])=2025,B855,0)+IF(ROW(H854)=1,0,H854)</f>
        <v>1377</v>
      </c>
      <c r="I855">
        <f>MAX(Table8[Cumulative 2025])</f>
        <v>1377</v>
      </c>
      <c r="J855">
        <f>IF(YEAR(Table8[[#This Row],[Date]])=2026,B855,0)+IF(ROW(J854)=1,0,J854)</f>
        <v>341</v>
      </c>
      <c r="K855">
        <f>MAX(Table8[Cumulative 2026])</f>
        <v>3102</v>
      </c>
    </row>
    <row r="856" spans="1:11" hidden="1" x14ac:dyDescent="0.25">
      <c r="A856" s="1">
        <v>46065</v>
      </c>
      <c r="B856">
        <f>SUM(_xlfn.CHOOSEROWS(Table8[[The Golden Compass]:[end]],ROW()-1))</f>
        <v>0</v>
      </c>
      <c r="C856">
        <f>Table8[[#This Row],[Cumulative 2023 Q4]]+Table8[[#This Row],[Cumulative 2024]]+Table8[[#This Row],[Cumulative 2025]]+Table8[[#This Row],[Cumulative 2026]]</f>
        <v>11744</v>
      </c>
      <c r="D856">
        <f>IF(YEAR(Table8[[#This Row],[Date]])=2023,B856,0)+IF(ROW(D855)=1,0,D855)</f>
        <v>4195</v>
      </c>
      <c r="E856">
        <f>MAX(Table8[Cumulative 2023 Q4])</f>
        <v>4195</v>
      </c>
      <c r="F856">
        <f>IF(YEAR(Table8[[#This Row],[Date]])=2024,B856,0)+IF(ROW(F855)=1,0,F855)</f>
        <v>5831</v>
      </c>
      <c r="G856">
        <f>MAX(Table8[Cumulative 2024])</f>
        <v>5831</v>
      </c>
      <c r="H856">
        <f>IF(YEAR(Table8[[#This Row],[Date]])=2025,B856,0)+IF(ROW(H855)=1,0,H855)</f>
        <v>1377</v>
      </c>
      <c r="I856">
        <f>MAX(Table8[Cumulative 2025])</f>
        <v>1377</v>
      </c>
      <c r="J856">
        <f>IF(YEAR(Table8[[#This Row],[Date]])=2026,B856,0)+IF(ROW(J855)=1,0,J855)</f>
        <v>341</v>
      </c>
      <c r="K856">
        <f>MAX(Table8[Cumulative 2026])</f>
        <v>3102</v>
      </c>
    </row>
    <row r="857" spans="1:11" hidden="1" x14ac:dyDescent="0.25">
      <c r="A857" s="1">
        <v>46066</v>
      </c>
      <c r="B857">
        <f>SUM(_xlfn.CHOOSEROWS(Table8[[The Golden Compass]:[end]],ROW()-1))</f>
        <v>0</v>
      </c>
      <c r="C857">
        <f>Table8[[#This Row],[Cumulative 2023 Q4]]+Table8[[#This Row],[Cumulative 2024]]+Table8[[#This Row],[Cumulative 2025]]+Table8[[#This Row],[Cumulative 2026]]</f>
        <v>11744</v>
      </c>
      <c r="D857">
        <f>IF(YEAR(Table8[[#This Row],[Date]])=2023,B857,0)+IF(ROW(D856)=1,0,D856)</f>
        <v>4195</v>
      </c>
      <c r="E857">
        <f>MAX(Table8[Cumulative 2023 Q4])</f>
        <v>4195</v>
      </c>
      <c r="F857">
        <f>IF(YEAR(Table8[[#This Row],[Date]])=2024,B857,0)+IF(ROW(F856)=1,0,F856)</f>
        <v>5831</v>
      </c>
      <c r="G857">
        <f>MAX(Table8[Cumulative 2024])</f>
        <v>5831</v>
      </c>
      <c r="H857">
        <f>IF(YEAR(Table8[[#This Row],[Date]])=2025,B857,0)+IF(ROW(H856)=1,0,H856)</f>
        <v>1377</v>
      </c>
      <c r="I857">
        <f>MAX(Table8[Cumulative 2025])</f>
        <v>1377</v>
      </c>
      <c r="J857">
        <f>IF(YEAR(Table8[[#This Row],[Date]])=2026,B857,0)+IF(ROW(J856)=1,0,J856)</f>
        <v>341</v>
      </c>
      <c r="K857">
        <f>MAX(Table8[Cumulative 2026])</f>
        <v>3102</v>
      </c>
    </row>
    <row r="858" spans="1:11" hidden="1" x14ac:dyDescent="0.25">
      <c r="A858" s="1">
        <v>46067</v>
      </c>
      <c r="B858">
        <f>SUM(_xlfn.CHOOSEROWS(Table8[[The Golden Compass]:[end]],ROW()-1))</f>
        <v>0</v>
      </c>
      <c r="C858">
        <f>Table8[[#This Row],[Cumulative 2023 Q4]]+Table8[[#This Row],[Cumulative 2024]]+Table8[[#This Row],[Cumulative 2025]]+Table8[[#This Row],[Cumulative 2026]]</f>
        <v>11744</v>
      </c>
      <c r="D858">
        <f>IF(YEAR(Table8[[#This Row],[Date]])=2023,B858,0)+IF(ROW(D857)=1,0,D857)</f>
        <v>4195</v>
      </c>
      <c r="E858">
        <f>MAX(Table8[Cumulative 2023 Q4])</f>
        <v>4195</v>
      </c>
      <c r="F858">
        <f>IF(YEAR(Table8[[#This Row],[Date]])=2024,B858,0)+IF(ROW(F857)=1,0,F857)</f>
        <v>5831</v>
      </c>
      <c r="G858">
        <f>MAX(Table8[Cumulative 2024])</f>
        <v>5831</v>
      </c>
      <c r="H858">
        <f>IF(YEAR(Table8[[#This Row],[Date]])=2025,B858,0)+IF(ROW(H857)=1,0,H857)</f>
        <v>1377</v>
      </c>
      <c r="I858">
        <f>MAX(Table8[Cumulative 2025])</f>
        <v>1377</v>
      </c>
      <c r="J858">
        <f>IF(YEAR(Table8[[#This Row],[Date]])=2026,B858,0)+IF(ROW(J857)=1,0,J857)</f>
        <v>341</v>
      </c>
      <c r="K858">
        <f>MAX(Table8[Cumulative 2026])</f>
        <v>3102</v>
      </c>
    </row>
    <row r="859" spans="1:11" hidden="1" x14ac:dyDescent="0.25">
      <c r="A859" s="1">
        <v>46068</v>
      </c>
      <c r="B859">
        <f>SUM(_xlfn.CHOOSEROWS(Table8[[The Golden Compass]:[end]],ROW()-1))</f>
        <v>0</v>
      </c>
      <c r="C859">
        <f>Table8[[#This Row],[Cumulative 2023 Q4]]+Table8[[#This Row],[Cumulative 2024]]+Table8[[#This Row],[Cumulative 2025]]+Table8[[#This Row],[Cumulative 2026]]</f>
        <v>11744</v>
      </c>
      <c r="D859">
        <f>IF(YEAR(Table8[[#This Row],[Date]])=2023,B859,0)+IF(ROW(D858)=1,0,D858)</f>
        <v>4195</v>
      </c>
      <c r="E859">
        <f>MAX(Table8[Cumulative 2023 Q4])</f>
        <v>4195</v>
      </c>
      <c r="F859">
        <f>IF(YEAR(Table8[[#This Row],[Date]])=2024,B859,0)+IF(ROW(F858)=1,0,F858)</f>
        <v>5831</v>
      </c>
      <c r="G859">
        <f>MAX(Table8[Cumulative 2024])</f>
        <v>5831</v>
      </c>
      <c r="H859">
        <f>IF(YEAR(Table8[[#This Row],[Date]])=2025,B859,0)+IF(ROW(H858)=1,0,H858)</f>
        <v>1377</v>
      </c>
      <c r="I859">
        <f>MAX(Table8[Cumulative 2025])</f>
        <v>1377</v>
      </c>
      <c r="J859">
        <f>IF(YEAR(Table8[[#This Row],[Date]])=2026,B859,0)+IF(ROW(J858)=1,0,J858)</f>
        <v>341</v>
      </c>
      <c r="K859">
        <f>MAX(Table8[Cumulative 2026])</f>
        <v>3102</v>
      </c>
    </row>
    <row r="860" spans="1:11" hidden="1" x14ac:dyDescent="0.25">
      <c r="A860" s="1">
        <v>46069</v>
      </c>
      <c r="B860">
        <f>SUM(_xlfn.CHOOSEROWS(Table8[[The Golden Compass]:[end]],ROW()-1))</f>
        <v>0</v>
      </c>
      <c r="C860">
        <f>Table8[[#This Row],[Cumulative 2023 Q4]]+Table8[[#This Row],[Cumulative 2024]]+Table8[[#This Row],[Cumulative 2025]]+Table8[[#This Row],[Cumulative 2026]]</f>
        <v>11744</v>
      </c>
      <c r="D860">
        <f>IF(YEAR(Table8[[#This Row],[Date]])=2023,B860,0)+IF(ROW(D859)=1,0,D859)</f>
        <v>4195</v>
      </c>
      <c r="E860">
        <f>MAX(Table8[Cumulative 2023 Q4])</f>
        <v>4195</v>
      </c>
      <c r="F860">
        <f>IF(YEAR(Table8[[#This Row],[Date]])=2024,B860,0)+IF(ROW(F859)=1,0,F859)</f>
        <v>5831</v>
      </c>
      <c r="G860">
        <f>MAX(Table8[Cumulative 2024])</f>
        <v>5831</v>
      </c>
      <c r="H860">
        <f>IF(YEAR(Table8[[#This Row],[Date]])=2025,B860,0)+IF(ROW(H859)=1,0,H859)</f>
        <v>1377</v>
      </c>
      <c r="I860">
        <f>MAX(Table8[Cumulative 2025])</f>
        <v>1377</v>
      </c>
      <c r="J860">
        <f>IF(YEAR(Table8[[#This Row],[Date]])=2026,B860,0)+IF(ROW(J859)=1,0,J859)</f>
        <v>341</v>
      </c>
      <c r="K860">
        <f>MAX(Table8[Cumulative 2026])</f>
        <v>3102</v>
      </c>
    </row>
    <row r="861" spans="1:11" hidden="1" x14ac:dyDescent="0.25">
      <c r="A861" s="1">
        <v>46070</v>
      </c>
      <c r="B861">
        <f>SUM(_xlfn.CHOOSEROWS(Table8[[The Golden Compass]:[end]],ROW()-1))</f>
        <v>0</v>
      </c>
      <c r="C861">
        <f>Table8[[#This Row],[Cumulative 2023 Q4]]+Table8[[#This Row],[Cumulative 2024]]+Table8[[#This Row],[Cumulative 2025]]+Table8[[#This Row],[Cumulative 2026]]</f>
        <v>11744</v>
      </c>
      <c r="D861">
        <f>IF(YEAR(Table8[[#This Row],[Date]])=2023,B861,0)+IF(ROW(D860)=1,0,D860)</f>
        <v>4195</v>
      </c>
      <c r="E861">
        <f>MAX(Table8[Cumulative 2023 Q4])</f>
        <v>4195</v>
      </c>
      <c r="F861">
        <f>IF(YEAR(Table8[[#This Row],[Date]])=2024,B861,0)+IF(ROW(F860)=1,0,F860)</f>
        <v>5831</v>
      </c>
      <c r="G861">
        <f>MAX(Table8[Cumulative 2024])</f>
        <v>5831</v>
      </c>
      <c r="H861">
        <f>IF(YEAR(Table8[[#This Row],[Date]])=2025,B861,0)+IF(ROW(H860)=1,0,H860)</f>
        <v>1377</v>
      </c>
      <c r="I861">
        <f>MAX(Table8[Cumulative 2025])</f>
        <v>1377</v>
      </c>
      <c r="J861">
        <f>IF(YEAR(Table8[[#This Row],[Date]])=2026,B861,0)+IF(ROW(J860)=1,0,J860)</f>
        <v>341</v>
      </c>
      <c r="K861">
        <f>MAX(Table8[Cumulative 2026])</f>
        <v>3102</v>
      </c>
    </row>
    <row r="862" spans="1:11" hidden="1" x14ac:dyDescent="0.25">
      <c r="A862" s="1">
        <v>46071</v>
      </c>
      <c r="B862">
        <f>SUM(_xlfn.CHOOSEROWS(Table8[[The Golden Compass]:[end]],ROW()-1))</f>
        <v>0</v>
      </c>
      <c r="C862">
        <f>Table8[[#This Row],[Cumulative 2023 Q4]]+Table8[[#This Row],[Cumulative 2024]]+Table8[[#This Row],[Cumulative 2025]]+Table8[[#This Row],[Cumulative 2026]]</f>
        <v>11744</v>
      </c>
      <c r="D862">
        <f>IF(YEAR(Table8[[#This Row],[Date]])=2023,B862,0)+IF(ROW(D861)=1,0,D861)</f>
        <v>4195</v>
      </c>
      <c r="E862">
        <f>MAX(Table8[Cumulative 2023 Q4])</f>
        <v>4195</v>
      </c>
      <c r="F862">
        <f>IF(YEAR(Table8[[#This Row],[Date]])=2024,B862,0)+IF(ROW(F861)=1,0,F861)</f>
        <v>5831</v>
      </c>
      <c r="G862">
        <f>MAX(Table8[Cumulative 2024])</f>
        <v>5831</v>
      </c>
      <c r="H862">
        <f>IF(YEAR(Table8[[#This Row],[Date]])=2025,B862,0)+IF(ROW(H861)=1,0,H861)</f>
        <v>1377</v>
      </c>
      <c r="I862">
        <f>MAX(Table8[Cumulative 2025])</f>
        <v>1377</v>
      </c>
      <c r="J862">
        <f>IF(YEAR(Table8[[#This Row],[Date]])=2026,B862,0)+IF(ROW(J861)=1,0,J861)</f>
        <v>341</v>
      </c>
      <c r="K862">
        <f>MAX(Table8[Cumulative 2026])</f>
        <v>3102</v>
      </c>
    </row>
    <row r="863" spans="1:11" hidden="1" x14ac:dyDescent="0.25">
      <c r="A863" s="1">
        <v>46072</v>
      </c>
      <c r="B863">
        <f>SUM(_xlfn.CHOOSEROWS(Table8[[The Golden Compass]:[end]],ROW()-1))</f>
        <v>0</v>
      </c>
      <c r="C863">
        <f>Table8[[#This Row],[Cumulative 2023 Q4]]+Table8[[#This Row],[Cumulative 2024]]+Table8[[#This Row],[Cumulative 2025]]+Table8[[#This Row],[Cumulative 2026]]</f>
        <v>11744</v>
      </c>
      <c r="D863">
        <f>IF(YEAR(Table8[[#This Row],[Date]])=2023,B863,0)+IF(ROW(D862)=1,0,D862)</f>
        <v>4195</v>
      </c>
      <c r="E863">
        <f>MAX(Table8[Cumulative 2023 Q4])</f>
        <v>4195</v>
      </c>
      <c r="F863">
        <f>IF(YEAR(Table8[[#This Row],[Date]])=2024,B863,0)+IF(ROW(F862)=1,0,F862)</f>
        <v>5831</v>
      </c>
      <c r="G863">
        <f>MAX(Table8[Cumulative 2024])</f>
        <v>5831</v>
      </c>
      <c r="H863">
        <f>IF(YEAR(Table8[[#This Row],[Date]])=2025,B863,0)+IF(ROW(H862)=1,0,H862)</f>
        <v>1377</v>
      </c>
      <c r="I863">
        <f>MAX(Table8[Cumulative 2025])</f>
        <v>1377</v>
      </c>
      <c r="J863">
        <f>IF(YEAR(Table8[[#This Row],[Date]])=2026,B863,0)+IF(ROW(J862)=1,0,J862)</f>
        <v>341</v>
      </c>
      <c r="K863">
        <f>MAX(Table8[Cumulative 2026])</f>
        <v>3102</v>
      </c>
    </row>
    <row r="864" spans="1:11" hidden="1" x14ac:dyDescent="0.25">
      <c r="A864" s="1">
        <v>46073</v>
      </c>
      <c r="B864">
        <f>SUM(_xlfn.CHOOSEROWS(Table8[[The Golden Compass]:[end]],ROW()-1))</f>
        <v>0</v>
      </c>
      <c r="C864">
        <f>Table8[[#This Row],[Cumulative 2023 Q4]]+Table8[[#This Row],[Cumulative 2024]]+Table8[[#This Row],[Cumulative 2025]]+Table8[[#This Row],[Cumulative 2026]]</f>
        <v>11744</v>
      </c>
      <c r="D864">
        <f>IF(YEAR(Table8[[#This Row],[Date]])=2023,B864,0)+IF(ROW(D863)=1,0,D863)</f>
        <v>4195</v>
      </c>
      <c r="E864">
        <f>MAX(Table8[Cumulative 2023 Q4])</f>
        <v>4195</v>
      </c>
      <c r="F864">
        <f>IF(YEAR(Table8[[#This Row],[Date]])=2024,B864,0)+IF(ROW(F863)=1,0,F863)</f>
        <v>5831</v>
      </c>
      <c r="G864">
        <f>MAX(Table8[Cumulative 2024])</f>
        <v>5831</v>
      </c>
      <c r="H864">
        <f>IF(YEAR(Table8[[#This Row],[Date]])=2025,B864,0)+IF(ROW(H863)=1,0,H863)</f>
        <v>1377</v>
      </c>
      <c r="I864">
        <f>MAX(Table8[Cumulative 2025])</f>
        <v>1377</v>
      </c>
      <c r="J864">
        <f>IF(YEAR(Table8[[#This Row],[Date]])=2026,B864,0)+IF(ROW(J863)=1,0,J863)</f>
        <v>341</v>
      </c>
      <c r="K864">
        <f>MAX(Table8[Cumulative 2026])</f>
        <v>3102</v>
      </c>
    </row>
    <row r="865" spans="1:11" hidden="1" x14ac:dyDescent="0.25">
      <c r="A865" s="1">
        <v>46074</v>
      </c>
      <c r="B865">
        <f>SUM(_xlfn.CHOOSEROWS(Table8[[The Golden Compass]:[end]],ROW()-1))</f>
        <v>0</v>
      </c>
      <c r="C865">
        <f>Table8[[#This Row],[Cumulative 2023 Q4]]+Table8[[#This Row],[Cumulative 2024]]+Table8[[#This Row],[Cumulative 2025]]+Table8[[#This Row],[Cumulative 2026]]</f>
        <v>11744</v>
      </c>
      <c r="D865">
        <f>IF(YEAR(Table8[[#This Row],[Date]])=2023,B865,0)+IF(ROW(D864)=1,0,D864)</f>
        <v>4195</v>
      </c>
      <c r="E865">
        <f>MAX(Table8[Cumulative 2023 Q4])</f>
        <v>4195</v>
      </c>
      <c r="F865">
        <f>IF(YEAR(Table8[[#This Row],[Date]])=2024,B865,0)+IF(ROW(F864)=1,0,F864)</f>
        <v>5831</v>
      </c>
      <c r="G865">
        <f>MAX(Table8[Cumulative 2024])</f>
        <v>5831</v>
      </c>
      <c r="H865">
        <f>IF(YEAR(Table8[[#This Row],[Date]])=2025,B865,0)+IF(ROW(H864)=1,0,H864)</f>
        <v>1377</v>
      </c>
      <c r="I865">
        <f>MAX(Table8[Cumulative 2025])</f>
        <v>1377</v>
      </c>
      <c r="J865">
        <f>IF(YEAR(Table8[[#This Row],[Date]])=2026,B865,0)+IF(ROW(J864)=1,0,J864)</f>
        <v>341</v>
      </c>
      <c r="K865">
        <f>MAX(Table8[Cumulative 2026])</f>
        <v>3102</v>
      </c>
    </row>
    <row r="866" spans="1:11" hidden="1" x14ac:dyDescent="0.25">
      <c r="A866" s="1">
        <v>46075</v>
      </c>
      <c r="B866">
        <f>SUM(_xlfn.CHOOSEROWS(Table8[[The Golden Compass]:[end]],ROW()-1))</f>
        <v>0</v>
      </c>
      <c r="C866">
        <f>Table8[[#This Row],[Cumulative 2023 Q4]]+Table8[[#This Row],[Cumulative 2024]]+Table8[[#This Row],[Cumulative 2025]]+Table8[[#This Row],[Cumulative 2026]]</f>
        <v>11744</v>
      </c>
      <c r="D866">
        <f>IF(YEAR(Table8[[#This Row],[Date]])=2023,B866,0)+IF(ROW(D865)=1,0,D865)</f>
        <v>4195</v>
      </c>
      <c r="E866">
        <f>MAX(Table8[Cumulative 2023 Q4])</f>
        <v>4195</v>
      </c>
      <c r="F866">
        <f>IF(YEAR(Table8[[#This Row],[Date]])=2024,B866,0)+IF(ROW(F865)=1,0,F865)</f>
        <v>5831</v>
      </c>
      <c r="G866">
        <f>MAX(Table8[Cumulative 2024])</f>
        <v>5831</v>
      </c>
      <c r="H866">
        <f>IF(YEAR(Table8[[#This Row],[Date]])=2025,B866,0)+IF(ROW(H865)=1,0,H865)</f>
        <v>1377</v>
      </c>
      <c r="I866">
        <f>MAX(Table8[Cumulative 2025])</f>
        <v>1377</v>
      </c>
      <c r="J866">
        <f>IF(YEAR(Table8[[#This Row],[Date]])=2026,B866,0)+IF(ROW(J865)=1,0,J865)</f>
        <v>341</v>
      </c>
      <c r="K866">
        <f>MAX(Table8[Cumulative 2026])</f>
        <v>3102</v>
      </c>
    </row>
    <row r="867" spans="1:11" hidden="1" x14ac:dyDescent="0.25">
      <c r="A867" s="1">
        <v>46076</v>
      </c>
      <c r="B867">
        <f>SUM(_xlfn.CHOOSEROWS(Table8[[The Golden Compass]:[end]],ROW()-1))</f>
        <v>0</v>
      </c>
      <c r="C867">
        <f>Table8[[#This Row],[Cumulative 2023 Q4]]+Table8[[#This Row],[Cumulative 2024]]+Table8[[#This Row],[Cumulative 2025]]+Table8[[#This Row],[Cumulative 2026]]</f>
        <v>11744</v>
      </c>
      <c r="D867">
        <f>IF(YEAR(Table8[[#This Row],[Date]])=2023,B867,0)+IF(ROW(D866)=1,0,D866)</f>
        <v>4195</v>
      </c>
      <c r="E867">
        <f>MAX(Table8[Cumulative 2023 Q4])</f>
        <v>4195</v>
      </c>
      <c r="F867">
        <f>IF(YEAR(Table8[[#This Row],[Date]])=2024,B867,0)+IF(ROW(F866)=1,0,F866)</f>
        <v>5831</v>
      </c>
      <c r="G867">
        <f>MAX(Table8[Cumulative 2024])</f>
        <v>5831</v>
      </c>
      <c r="H867">
        <f>IF(YEAR(Table8[[#This Row],[Date]])=2025,B867,0)+IF(ROW(H866)=1,0,H866)</f>
        <v>1377</v>
      </c>
      <c r="I867">
        <f>MAX(Table8[Cumulative 2025])</f>
        <v>1377</v>
      </c>
      <c r="J867">
        <f>IF(YEAR(Table8[[#This Row],[Date]])=2026,B867,0)+IF(ROW(J866)=1,0,J866)</f>
        <v>341</v>
      </c>
      <c r="K867">
        <f>MAX(Table8[Cumulative 2026])</f>
        <v>3102</v>
      </c>
    </row>
    <row r="868" spans="1:11" hidden="1" x14ac:dyDescent="0.25">
      <c r="A868" s="1">
        <v>46077</v>
      </c>
      <c r="B868">
        <f>SUM(_xlfn.CHOOSEROWS(Table8[[The Golden Compass]:[end]],ROW()-1))</f>
        <v>0</v>
      </c>
      <c r="C868">
        <f>Table8[[#This Row],[Cumulative 2023 Q4]]+Table8[[#This Row],[Cumulative 2024]]+Table8[[#This Row],[Cumulative 2025]]+Table8[[#This Row],[Cumulative 2026]]</f>
        <v>11744</v>
      </c>
      <c r="D868">
        <f>IF(YEAR(Table8[[#This Row],[Date]])=2023,B868,0)+IF(ROW(D867)=1,0,D867)</f>
        <v>4195</v>
      </c>
      <c r="E868">
        <f>MAX(Table8[Cumulative 2023 Q4])</f>
        <v>4195</v>
      </c>
      <c r="F868">
        <f>IF(YEAR(Table8[[#This Row],[Date]])=2024,B868,0)+IF(ROW(F867)=1,0,F867)</f>
        <v>5831</v>
      </c>
      <c r="G868">
        <f>MAX(Table8[Cumulative 2024])</f>
        <v>5831</v>
      </c>
      <c r="H868">
        <f>IF(YEAR(Table8[[#This Row],[Date]])=2025,B868,0)+IF(ROW(H867)=1,0,H867)</f>
        <v>1377</v>
      </c>
      <c r="I868">
        <f>MAX(Table8[Cumulative 2025])</f>
        <v>1377</v>
      </c>
      <c r="J868">
        <f>IF(YEAR(Table8[[#This Row],[Date]])=2026,B868,0)+IF(ROW(J867)=1,0,J867)</f>
        <v>341</v>
      </c>
      <c r="K868">
        <f>MAX(Table8[Cumulative 2026])</f>
        <v>3102</v>
      </c>
    </row>
    <row r="869" spans="1:11" hidden="1" x14ac:dyDescent="0.25">
      <c r="A869" s="1">
        <v>46078</v>
      </c>
      <c r="B869">
        <f>SUM(_xlfn.CHOOSEROWS(Table8[[The Golden Compass]:[end]],ROW()-1))</f>
        <v>0</v>
      </c>
      <c r="C869">
        <f>Table8[[#This Row],[Cumulative 2023 Q4]]+Table8[[#This Row],[Cumulative 2024]]+Table8[[#This Row],[Cumulative 2025]]+Table8[[#This Row],[Cumulative 2026]]</f>
        <v>11744</v>
      </c>
      <c r="D869">
        <f>IF(YEAR(Table8[[#This Row],[Date]])=2023,B869,0)+IF(ROW(D868)=1,0,D868)</f>
        <v>4195</v>
      </c>
      <c r="E869">
        <f>MAX(Table8[Cumulative 2023 Q4])</f>
        <v>4195</v>
      </c>
      <c r="F869">
        <f>IF(YEAR(Table8[[#This Row],[Date]])=2024,B869,0)+IF(ROW(F868)=1,0,F868)</f>
        <v>5831</v>
      </c>
      <c r="G869">
        <f>MAX(Table8[Cumulative 2024])</f>
        <v>5831</v>
      </c>
      <c r="H869">
        <f>IF(YEAR(Table8[[#This Row],[Date]])=2025,B869,0)+IF(ROW(H868)=1,0,H868)</f>
        <v>1377</v>
      </c>
      <c r="I869">
        <f>MAX(Table8[Cumulative 2025])</f>
        <v>1377</v>
      </c>
      <c r="J869">
        <f>IF(YEAR(Table8[[#This Row],[Date]])=2026,B869,0)+IF(ROW(J868)=1,0,J868)</f>
        <v>341</v>
      </c>
      <c r="K869">
        <f>MAX(Table8[Cumulative 2026])</f>
        <v>3102</v>
      </c>
    </row>
    <row r="870" spans="1:11" hidden="1" x14ac:dyDescent="0.25">
      <c r="A870" s="1">
        <v>46079</v>
      </c>
      <c r="B870">
        <f>SUM(_xlfn.CHOOSEROWS(Table8[[The Golden Compass]:[end]],ROW()-1))</f>
        <v>0</v>
      </c>
      <c r="C870">
        <f>Table8[[#This Row],[Cumulative 2023 Q4]]+Table8[[#This Row],[Cumulative 2024]]+Table8[[#This Row],[Cumulative 2025]]+Table8[[#This Row],[Cumulative 2026]]</f>
        <v>11744</v>
      </c>
      <c r="D870">
        <f>IF(YEAR(Table8[[#This Row],[Date]])=2023,B870,0)+IF(ROW(D869)=1,0,D869)</f>
        <v>4195</v>
      </c>
      <c r="E870">
        <f>MAX(Table8[Cumulative 2023 Q4])</f>
        <v>4195</v>
      </c>
      <c r="F870">
        <f>IF(YEAR(Table8[[#This Row],[Date]])=2024,B870,0)+IF(ROW(F869)=1,0,F869)</f>
        <v>5831</v>
      </c>
      <c r="G870">
        <f>MAX(Table8[Cumulative 2024])</f>
        <v>5831</v>
      </c>
      <c r="H870">
        <f>IF(YEAR(Table8[[#This Row],[Date]])=2025,B870,0)+IF(ROW(H869)=1,0,H869)</f>
        <v>1377</v>
      </c>
      <c r="I870">
        <f>MAX(Table8[Cumulative 2025])</f>
        <v>1377</v>
      </c>
      <c r="J870">
        <f>IF(YEAR(Table8[[#This Row],[Date]])=2026,B870,0)+IF(ROW(J869)=1,0,J869)</f>
        <v>341</v>
      </c>
      <c r="K870">
        <f>MAX(Table8[Cumulative 2026])</f>
        <v>3102</v>
      </c>
    </row>
    <row r="871" spans="1:11" hidden="1" x14ac:dyDescent="0.25">
      <c r="A871" s="1">
        <v>46080</v>
      </c>
      <c r="B871">
        <f>SUM(_xlfn.CHOOSEROWS(Table8[[The Golden Compass]:[end]],ROW()-1))</f>
        <v>0</v>
      </c>
      <c r="C871">
        <f>Table8[[#This Row],[Cumulative 2023 Q4]]+Table8[[#This Row],[Cumulative 2024]]+Table8[[#This Row],[Cumulative 2025]]+Table8[[#This Row],[Cumulative 2026]]</f>
        <v>11744</v>
      </c>
      <c r="D871">
        <f>IF(YEAR(Table8[[#This Row],[Date]])=2023,B871,0)+IF(ROW(D870)=1,0,D870)</f>
        <v>4195</v>
      </c>
      <c r="E871">
        <f>MAX(Table8[Cumulative 2023 Q4])</f>
        <v>4195</v>
      </c>
      <c r="F871">
        <f>IF(YEAR(Table8[[#This Row],[Date]])=2024,B871,0)+IF(ROW(F870)=1,0,F870)</f>
        <v>5831</v>
      </c>
      <c r="G871">
        <f>MAX(Table8[Cumulative 2024])</f>
        <v>5831</v>
      </c>
      <c r="H871">
        <f>IF(YEAR(Table8[[#This Row],[Date]])=2025,B871,0)+IF(ROW(H870)=1,0,H870)</f>
        <v>1377</v>
      </c>
      <c r="I871">
        <f>MAX(Table8[Cumulative 2025])</f>
        <v>1377</v>
      </c>
      <c r="J871">
        <f>IF(YEAR(Table8[[#This Row],[Date]])=2026,B871,0)+IF(ROW(J870)=1,0,J870)</f>
        <v>341</v>
      </c>
      <c r="K871">
        <f>MAX(Table8[Cumulative 2026])</f>
        <v>3102</v>
      </c>
    </row>
    <row r="872" spans="1:11" hidden="1" x14ac:dyDescent="0.25">
      <c r="A872" s="1">
        <v>46081</v>
      </c>
      <c r="B872">
        <f>SUM(_xlfn.CHOOSEROWS(Table8[[The Golden Compass]:[end]],ROW()-1))</f>
        <v>0</v>
      </c>
      <c r="C872">
        <f>Table8[[#This Row],[Cumulative 2023 Q4]]+Table8[[#This Row],[Cumulative 2024]]+Table8[[#This Row],[Cumulative 2025]]+Table8[[#This Row],[Cumulative 2026]]</f>
        <v>11744</v>
      </c>
      <c r="D872">
        <f>IF(YEAR(Table8[[#This Row],[Date]])=2023,B872,0)+IF(ROW(D871)=1,0,D871)</f>
        <v>4195</v>
      </c>
      <c r="E872">
        <f>MAX(Table8[Cumulative 2023 Q4])</f>
        <v>4195</v>
      </c>
      <c r="F872">
        <f>IF(YEAR(Table8[[#This Row],[Date]])=2024,B872,0)+IF(ROW(F871)=1,0,F871)</f>
        <v>5831</v>
      </c>
      <c r="G872">
        <f>MAX(Table8[Cumulative 2024])</f>
        <v>5831</v>
      </c>
      <c r="H872">
        <f>IF(YEAR(Table8[[#This Row],[Date]])=2025,B872,0)+IF(ROW(H871)=1,0,H871)</f>
        <v>1377</v>
      </c>
      <c r="I872">
        <f>MAX(Table8[Cumulative 2025])</f>
        <v>1377</v>
      </c>
      <c r="J872">
        <f>IF(YEAR(Table8[[#This Row],[Date]])=2026,B872,0)+IF(ROW(J871)=1,0,J871)</f>
        <v>341</v>
      </c>
      <c r="K872">
        <f>MAX(Table8[Cumulative 2026])</f>
        <v>3102</v>
      </c>
    </row>
    <row r="873" spans="1:11" hidden="1" x14ac:dyDescent="0.25">
      <c r="A873" s="1">
        <v>46082</v>
      </c>
      <c r="B873">
        <f>SUM(_xlfn.CHOOSEROWS(Table8[[The Golden Compass]:[end]],ROW()-1))</f>
        <v>0</v>
      </c>
      <c r="C873">
        <f>Table8[[#This Row],[Cumulative 2023 Q4]]+Table8[[#This Row],[Cumulative 2024]]+Table8[[#This Row],[Cumulative 2025]]+Table8[[#This Row],[Cumulative 2026]]</f>
        <v>11744</v>
      </c>
      <c r="D873">
        <f>IF(YEAR(Table8[[#This Row],[Date]])=2023,B873,0)+IF(ROW(D872)=1,0,D872)</f>
        <v>4195</v>
      </c>
      <c r="E873">
        <f>MAX(Table8[Cumulative 2023 Q4])</f>
        <v>4195</v>
      </c>
      <c r="F873">
        <f>IF(YEAR(Table8[[#This Row],[Date]])=2024,B873,0)+IF(ROW(F872)=1,0,F872)</f>
        <v>5831</v>
      </c>
      <c r="G873">
        <f>MAX(Table8[Cumulative 2024])</f>
        <v>5831</v>
      </c>
      <c r="H873">
        <f>IF(YEAR(Table8[[#This Row],[Date]])=2025,B873,0)+IF(ROW(H872)=1,0,H872)</f>
        <v>1377</v>
      </c>
      <c r="I873">
        <f>MAX(Table8[Cumulative 2025])</f>
        <v>1377</v>
      </c>
      <c r="J873">
        <f>IF(YEAR(Table8[[#This Row],[Date]])=2026,B873,0)+IF(ROW(J872)=1,0,J872)</f>
        <v>341</v>
      </c>
      <c r="K873">
        <f>MAX(Table8[Cumulative 2026])</f>
        <v>3102</v>
      </c>
    </row>
    <row r="874" spans="1:11" hidden="1" x14ac:dyDescent="0.25">
      <c r="A874" s="1">
        <v>46083</v>
      </c>
      <c r="B874">
        <f>SUM(_xlfn.CHOOSEROWS(Table8[[The Golden Compass]:[end]],ROW()-1))</f>
        <v>0</v>
      </c>
      <c r="C874">
        <f>Table8[[#This Row],[Cumulative 2023 Q4]]+Table8[[#This Row],[Cumulative 2024]]+Table8[[#This Row],[Cumulative 2025]]+Table8[[#This Row],[Cumulative 2026]]</f>
        <v>11744</v>
      </c>
      <c r="D874">
        <f>IF(YEAR(Table8[[#This Row],[Date]])=2023,B874,0)+IF(ROW(D873)=1,0,D873)</f>
        <v>4195</v>
      </c>
      <c r="E874">
        <f>MAX(Table8[Cumulative 2023 Q4])</f>
        <v>4195</v>
      </c>
      <c r="F874">
        <f>IF(YEAR(Table8[[#This Row],[Date]])=2024,B874,0)+IF(ROW(F873)=1,0,F873)</f>
        <v>5831</v>
      </c>
      <c r="G874">
        <f>MAX(Table8[Cumulative 2024])</f>
        <v>5831</v>
      </c>
      <c r="H874">
        <f>IF(YEAR(Table8[[#This Row],[Date]])=2025,B874,0)+IF(ROW(H873)=1,0,H873)</f>
        <v>1377</v>
      </c>
      <c r="I874">
        <f>MAX(Table8[Cumulative 2025])</f>
        <v>1377</v>
      </c>
      <c r="J874">
        <f>IF(YEAR(Table8[[#This Row],[Date]])=2026,B874,0)+IF(ROW(J873)=1,0,J873)</f>
        <v>341</v>
      </c>
      <c r="K874">
        <f>MAX(Table8[Cumulative 2026])</f>
        <v>3102</v>
      </c>
    </row>
    <row r="875" spans="1:11" hidden="1" x14ac:dyDescent="0.25">
      <c r="A875" s="1">
        <v>46084</v>
      </c>
      <c r="B875">
        <f>SUM(_xlfn.CHOOSEROWS(Table8[[The Golden Compass]:[end]],ROW()-1))</f>
        <v>0</v>
      </c>
      <c r="C875">
        <f>Table8[[#This Row],[Cumulative 2023 Q4]]+Table8[[#This Row],[Cumulative 2024]]+Table8[[#This Row],[Cumulative 2025]]+Table8[[#This Row],[Cumulative 2026]]</f>
        <v>11744</v>
      </c>
      <c r="D875">
        <f>IF(YEAR(Table8[[#This Row],[Date]])=2023,B875,0)+IF(ROW(D874)=1,0,D874)</f>
        <v>4195</v>
      </c>
      <c r="E875">
        <f>MAX(Table8[Cumulative 2023 Q4])</f>
        <v>4195</v>
      </c>
      <c r="F875">
        <f>IF(YEAR(Table8[[#This Row],[Date]])=2024,B875,0)+IF(ROW(F874)=1,0,F874)</f>
        <v>5831</v>
      </c>
      <c r="G875">
        <f>MAX(Table8[Cumulative 2024])</f>
        <v>5831</v>
      </c>
      <c r="H875">
        <f>IF(YEAR(Table8[[#This Row],[Date]])=2025,B875,0)+IF(ROW(H874)=1,0,H874)</f>
        <v>1377</v>
      </c>
      <c r="I875">
        <f>MAX(Table8[Cumulative 2025])</f>
        <v>1377</v>
      </c>
      <c r="J875">
        <f>IF(YEAR(Table8[[#This Row],[Date]])=2026,B875,0)+IF(ROW(J874)=1,0,J874)</f>
        <v>341</v>
      </c>
      <c r="K875">
        <f>MAX(Table8[Cumulative 2026])</f>
        <v>3102</v>
      </c>
    </row>
    <row r="876" spans="1:11" hidden="1" x14ac:dyDescent="0.25">
      <c r="A876" s="1">
        <v>46085</v>
      </c>
      <c r="B876">
        <f>SUM(_xlfn.CHOOSEROWS(Table8[[The Golden Compass]:[end]],ROW()-1))</f>
        <v>0</v>
      </c>
      <c r="C876">
        <f>Table8[[#This Row],[Cumulative 2023 Q4]]+Table8[[#This Row],[Cumulative 2024]]+Table8[[#This Row],[Cumulative 2025]]+Table8[[#This Row],[Cumulative 2026]]</f>
        <v>11744</v>
      </c>
      <c r="D876">
        <f>IF(YEAR(Table8[[#This Row],[Date]])=2023,B876,0)+IF(ROW(D875)=1,0,D875)</f>
        <v>4195</v>
      </c>
      <c r="E876">
        <f>MAX(Table8[Cumulative 2023 Q4])</f>
        <v>4195</v>
      </c>
      <c r="F876">
        <f>IF(YEAR(Table8[[#This Row],[Date]])=2024,B876,0)+IF(ROW(F875)=1,0,F875)</f>
        <v>5831</v>
      </c>
      <c r="G876">
        <f>MAX(Table8[Cumulative 2024])</f>
        <v>5831</v>
      </c>
      <c r="H876">
        <f>IF(YEAR(Table8[[#This Row],[Date]])=2025,B876,0)+IF(ROW(H875)=1,0,H875)</f>
        <v>1377</v>
      </c>
      <c r="I876">
        <f>MAX(Table8[Cumulative 2025])</f>
        <v>1377</v>
      </c>
      <c r="J876">
        <f>IF(YEAR(Table8[[#This Row],[Date]])=2026,B876,0)+IF(ROW(J875)=1,0,J875)</f>
        <v>341</v>
      </c>
      <c r="K876">
        <f>MAX(Table8[Cumulative 2026])</f>
        <v>3102</v>
      </c>
    </row>
    <row r="877" spans="1:11" hidden="1" x14ac:dyDescent="0.25">
      <c r="A877" s="1">
        <v>46086</v>
      </c>
      <c r="B877">
        <f>SUM(_xlfn.CHOOSEROWS(Table8[[The Golden Compass]:[end]],ROW()-1))</f>
        <v>0</v>
      </c>
      <c r="C877">
        <f>Table8[[#This Row],[Cumulative 2023 Q4]]+Table8[[#This Row],[Cumulative 2024]]+Table8[[#This Row],[Cumulative 2025]]+Table8[[#This Row],[Cumulative 2026]]</f>
        <v>11744</v>
      </c>
      <c r="D877">
        <f>IF(YEAR(Table8[[#This Row],[Date]])=2023,B877,0)+IF(ROW(D876)=1,0,D876)</f>
        <v>4195</v>
      </c>
      <c r="E877">
        <f>MAX(Table8[Cumulative 2023 Q4])</f>
        <v>4195</v>
      </c>
      <c r="F877">
        <f>IF(YEAR(Table8[[#This Row],[Date]])=2024,B877,0)+IF(ROW(F876)=1,0,F876)</f>
        <v>5831</v>
      </c>
      <c r="G877">
        <f>MAX(Table8[Cumulative 2024])</f>
        <v>5831</v>
      </c>
      <c r="H877">
        <f>IF(YEAR(Table8[[#This Row],[Date]])=2025,B877,0)+IF(ROW(H876)=1,0,H876)</f>
        <v>1377</v>
      </c>
      <c r="I877">
        <f>MAX(Table8[Cumulative 2025])</f>
        <v>1377</v>
      </c>
      <c r="J877">
        <f>IF(YEAR(Table8[[#This Row],[Date]])=2026,B877,0)+IF(ROW(J876)=1,0,J876)</f>
        <v>341</v>
      </c>
      <c r="K877">
        <f>MAX(Table8[Cumulative 2026])</f>
        <v>3102</v>
      </c>
    </row>
    <row r="878" spans="1:11" hidden="1" x14ac:dyDescent="0.25">
      <c r="A878" s="1">
        <v>46087</v>
      </c>
      <c r="B878">
        <f>SUM(_xlfn.CHOOSEROWS(Table8[[The Golden Compass]:[end]],ROW()-1))</f>
        <v>0</v>
      </c>
      <c r="C878">
        <f>Table8[[#This Row],[Cumulative 2023 Q4]]+Table8[[#This Row],[Cumulative 2024]]+Table8[[#This Row],[Cumulative 2025]]+Table8[[#This Row],[Cumulative 2026]]</f>
        <v>11744</v>
      </c>
      <c r="D878">
        <f>IF(YEAR(Table8[[#This Row],[Date]])=2023,B878,0)+IF(ROW(D877)=1,0,D877)</f>
        <v>4195</v>
      </c>
      <c r="E878">
        <f>MAX(Table8[Cumulative 2023 Q4])</f>
        <v>4195</v>
      </c>
      <c r="F878">
        <f>IF(YEAR(Table8[[#This Row],[Date]])=2024,B878,0)+IF(ROW(F877)=1,0,F877)</f>
        <v>5831</v>
      </c>
      <c r="G878">
        <f>MAX(Table8[Cumulative 2024])</f>
        <v>5831</v>
      </c>
      <c r="H878">
        <f>IF(YEAR(Table8[[#This Row],[Date]])=2025,B878,0)+IF(ROW(H877)=1,0,H877)</f>
        <v>1377</v>
      </c>
      <c r="I878">
        <f>MAX(Table8[Cumulative 2025])</f>
        <v>1377</v>
      </c>
      <c r="J878">
        <f>IF(YEAR(Table8[[#This Row],[Date]])=2026,B878,0)+IF(ROW(J877)=1,0,J877)</f>
        <v>341</v>
      </c>
      <c r="K878">
        <f>MAX(Table8[Cumulative 2026])</f>
        <v>3102</v>
      </c>
    </row>
    <row r="879" spans="1:11" hidden="1" x14ac:dyDescent="0.25">
      <c r="A879" s="1">
        <v>46088</v>
      </c>
      <c r="B879">
        <f>SUM(_xlfn.CHOOSEROWS(Table8[[The Golden Compass]:[end]],ROW()-1))</f>
        <v>0</v>
      </c>
      <c r="C879">
        <f>Table8[[#This Row],[Cumulative 2023 Q4]]+Table8[[#This Row],[Cumulative 2024]]+Table8[[#This Row],[Cumulative 2025]]+Table8[[#This Row],[Cumulative 2026]]</f>
        <v>11744</v>
      </c>
      <c r="D879">
        <f>IF(YEAR(Table8[[#This Row],[Date]])=2023,B879,0)+IF(ROW(D878)=1,0,D878)</f>
        <v>4195</v>
      </c>
      <c r="E879">
        <f>MAX(Table8[Cumulative 2023 Q4])</f>
        <v>4195</v>
      </c>
      <c r="F879">
        <f>IF(YEAR(Table8[[#This Row],[Date]])=2024,B879,0)+IF(ROW(F878)=1,0,F878)</f>
        <v>5831</v>
      </c>
      <c r="G879">
        <f>MAX(Table8[Cumulative 2024])</f>
        <v>5831</v>
      </c>
      <c r="H879">
        <f>IF(YEAR(Table8[[#This Row],[Date]])=2025,B879,0)+IF(ROW(H878)=1,0,H878)</f>
        <v>1377</v>
      </c>
      <c r="I879">
        <f>MAX(Table8[Cumulative 2025])</f>
        <v>1377</v>
      </c>
      <c r="J879">
        <f>IF(YEAR(Table8[[#This Row],[Date]])=2026,B879,0)+IF(ROW(J878)=1,0,J878)</f>
        <v>341</v>
      </c>
      <c r="K879">
        <f>MAX(Table8[Cumulative 2026])</f>
        <v>3102</v>
      </c>
    </row>
    <row r="880" spans="1:11" hidden="1" x14ac:dyDescent="0.25">
      <c r="A880" s="1">
        <v>46089</v>
      </c>
      <c r="B880">
        <f>SUM(_xlfn.CHOOSEROWS(Table8[[The Golden Compass]:[end]],ROW()-1))</f>
        <v>0</v>
      </c>
      <c r="C880">
        <f>Table8[[#This Row],[Cumulative 2023 Q4]]+Table8[[#This Row],[Cumulative 2024]]+Table8[[#This Row],[Cumulative 2025]]+Table8[[#This Row],[Cumulative 2026]]</f>
        <v>11744</v>
      </c>
      <c r="D880">
        <f>IF(YEAR(Table8[[#This Row],[Date]])=2023,B880,0)+IF(ROW(D879)=1,0,D879)</f>
        <v>4195</v>
      </c>
      <c r="E880">
        <f>MAX(Table8[Cumulative 2023 Q4])</f>
        <v>4195</v>
      </c>
      <c r="F880">
        <f>IF(YEAR(Table8[[#This Row],[Date]])=2024,B880,0)+IF(ROW(F879)=1,0,F879)</f>
        <v>5831</v>
      </c>
      <c r="G880">
        <f>MAX(Table8[Cumulative 2024])</f>
        <v>5831</v>
      </c>
      <c r="H880">
        <f>IF(YEAR(Table8[[#This Row],[Date]])=2025,B880,0)+IF(ROW(H879)=1,0,H879)</f>
        <v>1377</v>
      </c>
      <c r="I880">
        <f>MAX(Table8[Cumulative 2025])</f>
        <v>1377</v>
      </c>
      <c r="J880">
        <f>IF(YEAR(Table8[[#This Row],[Date]])=2026,B880,0)+IF(ROW(J879)=1,0,J879)</f>
        <v>341</v>
      </c>
      <c r="K880">
        <f>MAX(Table8[Cumulative 2026])</f>
        <v>3102</v>
      </c>
    </row>
    <row r="881" spans="1:53" hidden="1" x14ac:dyDescent="0.25">
      <c r="A881" s="1">
        <v>46090</v>
      </c>
      <c r="B881">
        <f>SUM(_xlfn.CHOOSEROWS(Table8[[The Golden Compass]:[end]],ROW()-1))</f>
        <v>0</v>
      </c>
      <c r="C881">
        <f>Table8[[#This Row],[Cumulative 2023 Q4]]+Table8[[#This Row],[Cumulative 2024]]+Table8[[#This Row],[Cumulative 2025]]+Table8[[#This Row],[Cumulative 2026]]</f>
        <v>11744</v>
      </c>
      <c r="D881">
        <f>IF(YEAR(Table8[[#This Row],[Date]])=2023,B881,0)+IF(ROW(D880)=1,0,D880)</f>
        <v>4195</v>
      </c>
      <c r="E881">
        <f>MAX(Table8[Cumulative 2023 Q4])</f>
        <v>4195</v>
      </c>
      <c r="F881">
        <f>IF(YEAR(Table8[[#This Row],[Date]])=2024,B881,0)+IF(ROW(F880)=1,0,F880)</f>
        <v>5831</v>
      </c>
      <c r="G881">
        <f>MAX(Table8[Cumulative 2024])</f>
        <v>5831</v>
      </c>
      <c r="H881">
        <f>IF(YEAR(Table8[[#This Row],[Date]])=2025,B881,0)+IF(ROW(H880)=1,0,H880)</f>
        <v>1377</v>
      </c>
      <c r="I881">
        <f>MAX(Table8[Cumulative 2025])</f>
        <v>1377</v>
      </c>
      <c r="J881">
        <f>IF(YEAR(Table8[[#This Row],[Date]])=2026,B881,0)+IF(ROW(J880)=1,0,J880)</f>
        <v>341</v>
      </c>
      <c r="K881">
        <f>MAX(Table8[Cumulative 2026])</f>
        <v>3102</v>
      </c>
    </row>
    <row r="882" spans="1:53" hidden="1" x14ac:dyDescent="0.25">
      <c r="A882" s="1">
        <v>46091</v>
      </c>
      <c r="B882">
        <f>SUM(_xlfn.CHOOSEROWS(Table8[[The Golden Compass]:[end]],ROW()-1))</f>
        <v>0</v>
      </c>
      <c r="C882">
        <f>Table8[[#This Row],[Cumulative 2023 Q4]]+Table8[[#This Row],[Cumulative 2024]]+Table8[[#This Row],[Cumulative 2025]]+Table8[[#This Row],[Cumulative 2026]]</f>
        <v>11744</v>
      </c>
      <c r="D882">
        <f>IF(YEAR(Table8[[#This Row],[Date]])=2023,B882,0)+IF(ROW(D881)=1,0,D881)</f>
        <v>4195</v>
      </c>
      <c r="E882">
        <f>MAX(Table8[Cumulative 2023 Q4])</f>
        <v>4195</v>
      </c>
      <c r="F882">
        <f>IF(YEAR(Table8[[#This Row],[Date]])=2024,B882,0)+IF(ROW(F881)=1,0,F881)</f>
        <v>5831</v>
      </c>
      <c r="G882">
        <f>MAX(Table8[Cumulative 2024])</f>
        <v>5831</v>
      </c>
      <c r="H882">
        <f>IF(YEAR(Table8[[#This Row],[Date]])=2025,B882,0)+IF(ROW(H881)=1,0,H881)</f>
        <v>1377</v>
      </c>
      <c r="I882">
        <f>MAX(Table8[Cumulative 2025])</f>
        <v>1377</v>
      </c>
      <c r="J882">
        <f>IF(YEAR(Table8[[#This Row],[Date]])=2026,B882,0)+IF(ROW(J881)=1,0,J881)</f>
        <v>341</v>
      </c>
      <c r="K882">
        <f>MAX(Table8[Cumulative 2026])</f>
        <v>3102</v>
      </c>
    </row>
    <row r="883" spans="1:53" hidden="1" x14ac:dyDescent="0.25">
      <c r="A883" s="1">
        <v>46092</v>
      </c>
      <c r="B883">
        <f>SUM(_xlfn.CHOOSEROWS(Table8[[The Golden Compass]:[end]],ROW()-1))</f>
        <v>0</v>
      </c>
      <c r="C883">
        <f>Table8[[#This Row],[Cumulative 2023 Q4]]+Table8[[#This Row],[Cumulative 2024]]+Table8[[#This Row],[Cumulative 2025]]+Table8[[#This Row],[Cumulative 2026]]</f>
        <v>11744</v>
      </c>
      <c r="D883">
        <f>IF(YEAR(Table8[[#This Row],[Date]])=2023,B883,0)+IF(ROW(D882)=1,0,D882)</f>
        <v>4195</v>
      </c>
      <c r="E883">
        <f>MAX(Table8[Cumulative 2023 Q4])</f>
        <v>4195</v>
      </c>
      <c r="F883">
        <f>IF(YEAR(Table8[[#This Row],[Date]])=2024,B883,0)+IF(ROW(F882)=1,0,F882)</f>
        <v>5831</v>
      </c>
      <c r="G883">
        <f>MAX(Table8[Cumulative 2024])</f>
        <v>5831</v>
      </c>
      <c r="H883">
        <f>IF(YEAR(Table8[[#This Row],[Date]])=2025,B883,0)+IF(ROW(H882)=1,0,H882)</f>
        <v>1377</v>
      </c>
      <c r="I883">
        <f>MAX(Table8[Cumulative 2025])</f>
        <v>1377</v>
      </c>
      <c r="J883">
        <f>IF(YEAR(Table8[[#This Row],[Date]])=2026,B883,0)+IF(ROW(J882)=1,0,J882)</f>
        <v>341</v>
      </c>
      <c r="K883">
        <f>MAX(Table8[Cumulative 2026])</f>
        <v>3102</v>
      </c>
    </row>
    <row r="884" spans="1:53" hidden="1" x14ac:dyDescent="0.25">
      <c r="A884" s="1">
        <v>46093</v>
      </c>
      <c r="B884">
        <f>SUM(_xlfn.CHOOSEROWS(Table8[[The Golden Compass]:[end]],ROW()-1))</f>
        <v>0</v>
      </c>
      <c r="C884">
        <f>Table8[[#This Row],[Cumulative 2023 Q4]]+Table8[[#This Row],[Cumulative 2024]]+Table8[[#This Row],[Cumulative 2025]]+Table8[[#This Row],[Cumulative 2026]]</f>
        <v>11744</v>
      </c>
      <c r="D884">
        <f>IF(YEAR(Table8[[#This Row],[Date]])=2023,B884,0)+IF(ROW(D883)=1,0,D883)</f>
        <v>4195</v>
      </c>
      <c r="E884">
        <f>MAX(Table8[Cumulative 2023 Q4])</f>
        <v>4195</v>
      </c>
      <c r="F884">
        <f>IF(YEAR(Table8[[#This Row],[Date]])=2024,B884,0)+IF(ROW(F883)=1,0,F883)</f>
        <v>5831</v>
      </c>
      <c r="G884">
        <f>MAX(Table8[Cumulative 2024])</f>
        <v>5831</v>
      </c>
      <c r="H884">
        <f>IF(YEAR(Table8[[#This Row],[Date]])=2025,B884,0)+IF(ROW(H883)=1,0,H883)</f>
        <v>1377</v>
      </c>
      <c r="I884">
        <f>MAX(Table8[Cumulative 2025])</f>
        <v>1377</v>
      </c>
      <c r="J884">
        <f>IF(YEAR(Table8[[#This Row],[Date]])=2026,B884,0)+IF(ROW(J883)=1,0,J883)</f>
        <v>341</v>
      </c>
      <c r="K884">
        <f>MAX(Table8[Cumulative 2026])</f>
        <v>3102</v>
      </c>
    </row>
    <row r="885" spans="1:53" hidden="1" x14ac:dyDescent="0.25">
      <c r="A885" s="1">
        <v>46094</v>
      </c>
      <c r="B885">
        <f>SUM(_xlfn.CHOOSEROWS(Table8[[The Golden Compass]:[end]],ROW()-1))</f>
        <v>0</v>
      </c>
      <c r="C885">
        <f>Table8[[#This Row],[Cumulative 2023 Q4]]+Table8[[#This Row],[Cumulative 2024]]+Table8[[#This Row],[Cumulative 2025]]+Table8[[#This Row],[Cumulative 2026]]</f>
        <v>11744</v>
      </c>
      <c r="D885">
        <f>IF(YEAR(Table8[[#This Row],[Date]])=2023,B885,0)+IF(ROW(D884)=1,0,D884)</f>
        <v>4195</v>
      </c>
      <c r="E885">
        <f>MAX(Table8[Cumulative 2023 Q4])</f>
        <v>4195</v>
      </c>
      <c r="F885">
        <f>IF(YEAR(Table8[[#This Row],[Date]])=2024,B885,0)+IF(ROW(F884)=1,0,F884)</f>
        <v>5831</v>
      </c>
      <c r="G885">
        <f>MAX(Table8[Cumulative 2024])</f>
        <v>5831</v>
      </c>
      <c r="H885">
        <f>IF(YEAR(Table8[[#This Row],[Date]])=2025,B885,0)+IF(ROW(H884)=1,0,H884)</f>
        <v>1377</v>
      </c>
      <c r="I885">
        <f>MAX(Table8[Cumulative 2025])</f>
        <v>1377</v>
      </c>
      <c r="J885">
        <f>IF(YEAR(Table8[[#This Row],[Date]])=2026,B885,0)+IF(ROW(J884)=1,0,J884)</f>
        <v>341</v>
      </c>
      <c r="K885">
        <f>MAX(Table8[Cumulative 2026])</f>
        <v>3102</v>
      </c>
    </row>
    <row r="886" spans="1:53" hidden="1" x14ac:dyDescent="0.25">
      <c r="A886" s="1">
        <v>46095</v>
      </c>
      <c r="B886">
        <f>SUM(_xlfn.CHOOSEROWS(Table8[[The Golden Compass]:[end]],ROW()-1))</f>
        <v>0</v>
      </c>
      <c r="C886">
        <f>Table8[[#This Row],[Cumulative 2023 Q4]]+Table8[[#This Row],[Cumulative 2024]]+Table8[[#This Row],[Cumulative 2025]]+Table8[[#This Row],[Cumulative 2026]]</f>
        <v>11744</v>
      </c>
      <c r="D886">
        <f>IF(YEAR(Table8[[#This Row],[Date]])=2023,B886,0)+IF(ROW(D885)=1,0,D885)</f>
        <v>4195</v>
      </c>
      <c r="E886">
        <f>MAX(Table8[Cumulative 2023 Q4])</f>
        <v>4195</v>
      </c>
      <c r="F886">
        <f>IF(YEAR(Table8[[#This Row],[Date]])=2024,B886,0)+IF(ROW(F885)=1,0,F885)</f>
        <v>5831</v>
      </c>
      <c r="G886">
        <f>MAX(Table8[Cumulative 2024])</f>
        <v>5831</v>
      </c>
      <c r="H886">
        <f>IF(YEAR(Table8[[#This Row],[Date]])=2025,B886,0)+IF(ROW(H885)=1,0,H885)</f>
        <v>1377</v>
      </c>
      <c r="I886">
        <f>MAX(Table8[Cumulative 2025])</f>
        <v>1377</v>
      </c>
      <c r="J886">
        <f>IF(YEAR(Table8[[#This Row],[Date]])=2026,B886,0)+IF(ROW(J885)=1,0,J885)</f>
        <v>341</v>
      </c>
      <c r="K886">
        <f>MAX(Table8[Cumulative 2026])</f>
        <v>3102</v>
      </c>
    </row>
    <row r="887" spans="1:53" hidden="1" x14ac:dyDescent="0.25">
      <c r="A887" s="1">
        <v>46096</v>
      </c>
      <c r="B887">
        <f>SUM(_xlfn.CHOOSEROWS(Table8[[The Golden Compass]:[end]],ROW()-1))</f>
        <v>0</v>
      </c>
      <c r="C887">
        <f>Table8[[#This Row],[Cumulative 2023 Q4]]+Table8[[#This Row],[Cumulative 2024]]+Table8[[#This Row],[Cumulative 2025]]+Table8[[#This Row],[Cumulative 2026]]</f>
        <v>11744</v>
      </c>
      <c r="D887">
        <f>IF(YEAR(Table8[[#This Row],[Date]])=2023,B887,0)+IF(ROW(D886)=1,0,D886)</f>
        <v>4195</v>
      </c>
      <c r="E887">
        <f>MAX(Table8[Cumulative 2023 Q4])</f>
        <v>4195</v>
      </c>
      <c r="F887">
        <f>IF(YEAR(Table8[[#This Row],[Date]])=2024,B887,0)+IF(ROW(F886)=1,0,F886)</f>
        <v>5831</v>
      </c>
      <c r="G887">
        <f>MAX(Table8[Cumulative 2024])</f>
        <v>5831</v>
      </c>
      <c r="H887">
        <f>IF(YEAR(Table8[[#This Row],[Date]])=2025,B887,0)+IF(ROW(H886)=1,0,H886)</f>
        <v>1377</v>
      </c>
      <c r="I887">
        <f>MAX(Table8[Cumulative 2025])</f>
        <v>1377</v>
      </c>
      <c r="J887">
        <f>IF(YEAR(Table8[[#This Row],[Date]])=2026,B887,0)+IF(ROW(J886)=1,0,J886)</f>
        <v>341</v>
      </c>
      <c r="K887">
        <f>MAX(Table8[Cumulative 2026])</f>
        <v>3102</v>
      </c>
    </row>
    <row r="888" spans="1:53" hidden="1" x14ac:dyDescent="0.25">
      <c r="A888" s="1">
        <v>46097</v>
      </c>
      <c r="B888">
        <f>SUM(_xlfn.CHOOSEROWS(Table8[[The Golden Compass]:[end]],ROW()-1))</f>
        <v>0</v>
      </c>
      <c r="C888">
        <f>Table8[[#This Row],[Cumulative 2023 Q4]]+Table8[[#This Row],[Cumulative 2024]]+Table8[[#This Row],[Cumulative 2025]]+Table8[[#This Row],[Cumulative 2026]]</f>
        <v>11744</v>
      </c>
      <c r="D888">
        <f>IF(YEAR(Table8[[#This Row],[Date]])=2023,B888,0)+IF(ROW(D887)=1,0,D887)</f>
        <v>4195</v>
      </c>
      <c r="E888">
        <f>MAX(Table8[Cumulative 2023 Q4])</f>
        <v>4195</v>
      </c>
      <c r="F888">
        <f>IF(YEAR(Table8[[#This Row],[Date]])=2024,B888,0)+IF(ROW(F887)=1,0,F887)</f>
        <v>5831</v>
      </c>
      <c r="G888">
        <f>MAX(Table8[Cumulative 2024])</f>
        <v>5831</v>
      </c>
      <c r="H888">
        <f>IF(YEAR(Table8[[#This Row],[Date]])=2025,B888,0)+IF(ROW(H887)=1,0,H887)</f>
        <v>1377</v>
      </c>
      <c r="I888">
        <f>MAX(Table8[Cumulative 2025])</f>
        <v>1377</v>
      </c>
      <c r="J888">
        <f>IF(YEAR(Table8[[#This Row],[Date]])=2026,B888,0)+IF(ROW(J887)=1,0,J887)</f>
        <v>341</v>
      </c>
      <c r="K888">
        <f>MAX(Table8[Cumulative 2026])</f>
        <v>3102</v>
      </c>
    </row>
    <row r="889" spans="1:53" hidden="1" x14ac:dyDescent="0.25">
      <c r="A889" s="1">
        <v>46098</v>
      </c>
      <c r="B889">
        <f>SUM(_xlfn.CHOOSEROWS(Table8[[The Golden Compass]:[end]],ROW()-1))</f>
        <v>0</v>
      </c>
      <c r="C889">
        <f>Table8[[#This Row],[Cumulative 2023 Q4]]+Table8[[#This Row],[Cumulative 2024]]+Table8[[#This Row],[Cumulative 2025]]+Table8[[#This Row],[Cumulative 2026]]</f>
        <v>11744</v>
      </c>
      <c r="D889">
        <f>IF(YEAR(Table8[[#This Row],[Date]])=2023,B889,0)+IF(ROW(D888)=1,0,D888)</f>
        <v>4195</v>
      </c>
      <c r="E889">
        <f>MAX(Table8[Cumulative 2023 Q4])</f>
        <v>4195</v>
      </c>
      <c r="F889">
        <f>IF(YEAR(Table8[[#This Row],[Date]])=2024,B889,0)+IF(ROW(F888)=1,0,F888)</f>
        <v>5831</v>
      </c>
      <c r="G889">
        <f>MAX(Table8[Cumulative 2024])</f>
        <v>5831</v>
      </c>
      <c r="H889">
        <f>IF(YEAR(Table8[[#This Row],[Date]])=2025,B889,0)+IF(ROW(H888)=1,0,H888)</f>
        <v>1377</v>
      </c>
      <c r="I889">
        <f>MAX(Table8[Cumulative 2025])</f>
        <v>1377</v>
      </c>
      <c r="J889">
        <f>IF(YEAR(Table8[[#This Row],[Date]])=2026,B889,0)+IF(ROW(J888)=1,0,J888)</f>
        <v>341</v>
      </c>
      <c r="K889">
        <f>MAX(Table8[Cumulative 2026])</f>
        <v>3102</v>
      </c>
    </row>
    <row r="890" spans="1:53" hidden="1" x14ac:dyDescent="0.25">
      <c r="A890" s="1">
        <v>46099</v>
      </c>
      <c r="B890">
        <f>SUM(_xlfn.CHOOSEROWS(Table8[[The Golden Compass]:[end]],ROW()-1))</f>
        <v>0</v>
      </c>
      <c r="C890">
        <f>Table8[[#This Row],[Cumulative 2023 Q4]]+Table8[[#This Row],[Cumulative 2024]]+Table8[[#This Row],[Cumulative 2025]]+Table8[[#This Row],[Cumulative 2026]]</f>
        <v>11744</v>
      </c>
      <c r="D890">
        <f>IF(YEAR(Table8[[#This Row],[Date]])=2023,B890,0)+IF(ROW(D889)=1,0,D889)</f>
        <v>4195</v>
      </c>
      <c r="E890">
        <f>MAX(Table8[Cumulative 2023 Q4])</f>
        <v>4195</v>
      </c>
      <c r="F890">
        <f>IF(YEAR(Table8[[#This Row],[Date]])=2024,B890,0)+IF(ROW(F889)=1,0,F889)</f>
        <v>5831</v>
      </c>
      <c r="G890">
        <f>MAX(Table8[Cumulative 2024])</f>
        <v>5831</v>
      </c>
      <c r="H890">
        <f>IF(YEAR(Table8[[#This Row],[Date]])=2025,B890,0)+IF(ROW(H889)=1,0,H889)</f>
        <v>1377</v>
      </c>
      <c r="I890">
        <f>MAX(Table8[Cumulative 2025])</f>
        <v>1377</v>
      </c>
      <c r="J890">
        <f>IF(YEAR(Table8[[#This Row],[Date]])=2026,B890,0)+IF(ROW(J889)=1,0,J889)</f>
        <v>341</v>
      </c>
      <c r="K890">
        <f>MAX(Table8[Cumulative 2026])</f>
        <v>3102</v>
      </c>
    </row>
    <row r="891" spans="1:53" hidden="1" x14ac:dyDescent="0.25">
      <c r="A891" s="1">
        <v>46100</v>
      </c>
      <c r="B891">
        <f>SUM(_xlfn.CHOOSEROWS(Table8[[The Golden Compass]:[end]],ROW()-1))</f>
        <v>0</v>
      </c>
      <c r="C891">
        <f>Table8[[#This Row],[Cumulative 2023 Q4]]+Table8[[#This Row],[Cumulative 2024]]+Table8[[#This Row],[Cumulative 2025]]+Table8[[#This Row],[Cumulative 2026]]</f>
        <v>11744</v>
      </c>
      <c r="D891">
        <f>IF(YEAR(Table8[[#This Row],[Date]])=2023,B891,0)+IF(ROW(D890)=1,0,D890)</f>
        <v>4195</v>
      </c>
      <c r="E891">
        <f>MAX(Table8[Cumulative 2023 Q4])</f>
        <v>4195</v>
      </c>
      <c r="F891">
        <f>IF(YEAR(Table8[[#This Row],[Date]])=2024,B891,0)+IF(ROW(F890)=1,0,F890)</f>
        <v>5831</v>
      </c>
      <c r="G891">
        <f>MAX(Table8[Cumulative 2024])</f>
        <v>5831</v>
      </c>
      <c r="H891">
        <f>IF(YEAR(Table8[[#This Row],[Date]])=2025,B891,0)+IF(ROW(H890)=1,0,H890)</f>
        <v>1377</v>
      </c>
      <c r="I891">
        <f>MAX(Table8[Cumulative 2025])</f>
        <v>1377</v>
      </c>
      <c r="J891">
        <f>IF(YEAR(Table8[[#This Row],[Date]])=2026,B891,0)+IF(ROW(J890)=1,0,J890)</f>
        <v>341</v>
      </c>
      <c r="K891">
        <f>MAX(Table8[Cumulative 2026])</f>
        <v>3102</v>
      </c>
    </row>
    <row r="892" spans="1:53" hidden="1" x14ac:dyDescent="0.25">
      <c r="A892" s="1">
        <v>46101</v>
      </c>
      <c r="B892">
        <f>SUM(_xlfn.CHOOSEROWS(Table8[[The Golden Compass]:[end]],ROW()-1))</f>
        <v>0</v>
      </c>
      <c r="C892">
        <f>Table8[[#This Row],[Cumulative 2023 Q4]]+Table8[[#This Row],[Cumulative 2024]]+Table8[[#This Row],[Cumulative 2025]]+Table8[[#This Row],[Cumulative 2026]]</f>
        <v>11744</v>
      </c>
      <c r="D892">
        <f>IF(YEAR(Table8[[#This Row],[Date]])=2023,B892,0)+IF(ROW(D891)=1,0,D891)</f>
        <v>4195</v>
      </c>
      <c r="E892">
        <f>MAX(Table8[Cumulative 2023 Q4])</f>
        <v>4195</v>
      </c>
      <c r="F892">
        <f>IF(YEAR(Table8[[#This Row],[Date]])=2024,B892,0)+IF(ROW(F891)=1,0,F891)</f>
        <v>5831</v>
      </c>
      <c r="G892">
        <f>MAX(Table8[Cumulative 2024])</f>
        <v>5831</v>
      </c>
      <c r="H892">
        <f>IF(YEAR(Table8[[#This Row],[Date]])=2025,B892,0)+IF(ROW(H891)=1,0,H891)</f>
        <v>1377</v>
      </c>
      <c r="I892">
        <f>MAX(Table8[Cumulative 2025])</f>
        <v>1377</v>
      </c>
      <c r="J892">
        <f>IF(YEAR(Table8[[#This Row],[Date]])=2026,B892,0)+IF(ROW(J891)=1,0,J891)</f>
        <v>341</v>
      </c>
      <c r="K892">
        <f>MAX(Table8[Cumulative 2026])</f>
        <v>3102</v>
      </c>
    </row>
    <row r="893" spans="1:53" hidden="1" x14ac:dyDescent="0.25">
      <c r="A893" s="1">
        <v>46102</v>
      </c>
      <c r="B893">
        <f>SUM(_xlfn.CHOOSEROWS(Table8[[The Golden Compass]:[end]],ROW()-1))</f>
        <v>0</v>
      </c>
      <c r="C893">
        <f>Table8[[#This Row],[Cumulative 2023 Q4]]+Table8[[#This Row],[Cumulative 2024]]+Table8[[#This Row],[Cumulative 2025]]+Table8[[#This Row],[Cumulative 2026]]</f>
        <v>11744</v>
      </c>
      <c r="D893">
        <f>IF(YEAR(Table8[[#This Row],[Date]])=2023,B893,0)+IF(ROW(D892)=1,0,D892)</f>
        <v>4195</v>
      </c>
      <c r="E893">
        <f>MAX(Table8[Cumulative 2023 Q4])</f>
        <v>4195</v>
      </c>
      <c r="F893">
        <f>IF(YEAR(Table8[[#This Row],[Date]])=2024,B893,0)+IF(ROW(F892)=1,0,F892)</f>
        <v>5831</v>
      </c>
      <c r="G893">
        <f>MAX(Table8[Cumulative 2024])</f>
        <v>5831</v>
      </c>
      <c r="H893">
        <f>IF(YEAR(Table8[[#This Row],[Date]])=2025,B893,0)+IF(ROW(H892)=1,0,H892)</f>
        <v>1377</v>
      </c>
      <c r="I893">
        <f>MAX(Table8[Cumulative 2025])</f>
        <v>1377</v>
      </c>
      <c r="J893">
        <f>IF(YEAR(Table8[[#This Row],[Date]])=2026,B893,0)+IF(ROW(J892)=1,0,J892)</f>
        <v>341</v>
      </c>
      <c r="K893">
        <f>MAX(Table8[Cumulative 2026])</f>
        <v>3102</v>
      </c>
    </row>
    <row r="894" spans="1:53" hidden="1" x14ac:dyDescent="0.25">
      <c r="A894" s="1">
        <v>46103</v>
      </c>
      <c r="B894">
        <f>SUM(_xlfn.CHOOSEROWS(Table8[[The Golden Compass]:[end]],ROW()-1))</f>
        <v>154.5</v>
      </c>
      <c r="C894">
        <f>Table8[[#This Row],[Cumulative 2023 Q4]]+Table8[[#This Row],[Cumulative 2024]]+Table8[[#This Row],[Cumulative 2025]]+Table8[[#This Row],[Cumulative 2026]]</f>
        <v>11898.5</v>
      </c>
      <c r="D894">
        <f>IF(YEAR(Table8[[#This Row],[Date]])=2023,B894,0)+IF(ROW(D893)=1,0,D893)</f>
        <v>4195</v>
      </c>
      <c r="E894">
        <f>MAX(Table8[Cumulative 2023 Q4])</f>
        <v>4195</v>
      </c>
      <c r="F894">
        <f>IF(YEAR(Table8[[#This Row],[Date]])=2024,B894,0)+IF(ROW(F893)=1,0,F893)</f>
        <v>5831</v>
      </c>
      <c r="G894">
        <f>MAX(Table8[Cumulative 2024])</f>
        <v>5831</v>
      </c>
      <c r="H894">
        <f>IF(YEAR(Table8[[#This Row],[Date]])=2025,B894,0)+IF(ROW(H893)=1,0,H893)</f>
        <v>1377</v>
      </c>
      <c r="I894">
        <f>MAX(Table8[Cumulative 2025])</f>
        <v>1377</v>
      </c>
      <c r="J894">
        <f>IF(YEAR(Table8[[#This Row],[Date]])=2026,B894,0)+IF(ROW(J893)=1,0,J893)</f>
        <v>495.5</v>
      </c>
      <c r="K894">
        <f>MAX(Table8[Cumulative 2026])</f>
        <v>3102</v>
      </c>
      <c r="BA894">
        <v>154.5</v>
      </c>
    </row>
    <row r="895" spans="1:53" hidden="1" x14ac:dyDescent="0.25">
      <c r="A895" s="1">
        <v>46104</v>
      </c>
      <c r="B895">
        <f>SUM(_xlfn.CHOOSEROWS(Table8[[The Golden Compass]:[end]],ROW()-1))</f>
        <v>104.5</v>
      </c>
      <c r="C895">
        <f>Table8[[#This Row],[Cumulative 2023 Q4]]+Table8[[#This Row],[Cumulative 2024]]+Table8[[#This Row],[Cumulative 2025]]+Table8[[#This Row],[Cumulative 2026]]</f>
        <v>12003</v>
      </c>
      <c r="D895">
        <f>IF(YEAR(Table8[[#This Row],[Date]])=2023,B895,0)+IF(ROW(D894)=1,0,D894)</f>
        <v>4195</v>
      </c>
      <c r="E895">
        <f>MAX(Table8[Cumulative 2023 Q4])</f>
        <v>4195</v>
      </c>
      <c r="F895">
        <f>IF(YEAR(Table8[[#This Row],[Date]])=2024,B895,0)+IF(ROW(F894)=1,0,F894)</f>
        <v>5831</v>
      </c>
      <c r="G895">
        <f>MAX(Table8[Cumulative 2024])</f>
        <v>5831</v>
      </c>
      <c r="H895">
        <f>IF(YEAR(Table8[[#This Row],[Date]])=2025,B895,0)+IF(ROW(H894)=1,0,H894)</f>
        <v>1377</v>
      </c>
      <c r="I895">
        <f>MAX(Table8[Cumulative 2025])</f>
        <v>1377</v>
      </c>
      <c r="J895">
        <f>IF(YEAR(Table8[[#This Row],[Date]])=2026,B895,0)+IF(ROW(J894)=1,0,J894)</f>
        <v>600</v>
      </c>
      <c r="K895">
        <f>MAX(Table8[Cumulative 2026])</f>
        <v>3102</v>
      </c>
      <c r="BA895">
        <v>104.5</v>
      </c>
    </row>
    <row r="896" spans="1:53" hidden="1" x14ac:dyDescent="0.25">
      <c r="A896" s="1">
        <v>46105</v>
      </c>
      <c r="B896">
        <f>SUM(_xlfn.CHOOSEROWS(Table8[[The Golden Compass]:[end]],ROW()-1))</f>
        <v>120</v>
      </c>
      <c r="C896">
        <f>Table8[[#This Row],[Cumulative 2023 Q4]]+Table8[[#This Row],[Cumulative 2024]]+Table8[[#This Row],[Cumulative 2025]]+Table8[[#This Row],[Cumulative 2026]]</f>
        <v>12123</v>
      </c>
      <c r="D896">
        <f>IF(YEAR(Table8[[#This Row],[Date]])=2023,B896,0)+IF(ROW(D895)=1,0,D895)</f>
        <v>4195</v>
      </c>
      <c r="E896">
        <f>MAX(Table8[Cumulative 2023 Q4])</f>
        <v>4195</v>
      </c>
      <c r="F896">
        <f>IF(YEAR(Table8[[#This Row],[Date]])=2024,B896,0)+IF(ROW(F895)=1,0,F895)</f>
        <v>5831</v>
      </c>
      <c r="G896">
        <f>MAX(Table8[Cumulative 2024])</f>
        <v>5831</v>
      </c>
      <c r="H896">
        <f>IF(YEAR(Table8[[#This Row],[Date]])=2025,B896,0)+IF(ROW(H895)=1,0,H895)</f>
        <v>1377</v>
      </c>
      <c r="I896">
        <f>MAX(Table8[Cumulative 2025])</f>
        <v>1377</v>
      </c>
      <c r="J896">
        <f>IF(YEAR(Table8[[#This Row],[Date]])=2026,B896,0)+IF(ROW(J895)=1,0,J895)</f>
        <v>720</v>
      </c>
      <c r="K896">
        <f>MAX(Table8[Cumulative 2026])</f>
        <v>3102</v>
      </c>
      <c r="BA896">
        <v>120</v>
      </c>
    </row>
    <row r="897" spans="1:55" hidden="1" x14ac:dyDescent="0.25">
      <c r="A897" s="1">
        <v>46106</v>
      </c>
      <c r="B897">
        <f>SUM(_xlfn.CHOOSEROWS(Table8[[The Golden Compass]:[end]],ROW()-1))</f>
        <v>95</v>
      </c>
      <c r="C897">
        <f>Table8[[#This Row],[Cumulative 2023 Q4]]+Table8[[#This Row],[Cumulative 2024]]+Table8[[#This Row],[Cumulative 2025]]+Table8[[#This Row],[Cumulative 2026]]</f>
        <v>12218</v>
      </c>
      <c r="D897">
        <f>IF(YEAR(Table8[[#This Row],[Date]])=2023,B897,0)+IF(ROW(D896)=1,0,D896)</f>
        <v>4195</v>
      </c>
      <c r="E897">
        <f>MAX(Table8[Cumulative 2023 Q4])</f>
        <v>4195</v>
      </c>
      <c r="F897">
        <f>IF(YEAR(Table8[[#This Row],[Date]])=2024,B897,0)+IF(ROW(F896)=1,0,F896)</f>
        <v>5831</v>
      </c>
      <c r="G897">
        <f>MAX(Table8[Cumulative 2024])</f>
        <v>5831</v>
      </c>
      <c r="H897">
        <f>IF(YEAR(Table8[[#This Row],[Date]])=2025,B897,0)+IF(ROW(H896)=1,0,H896)</f>
        <v>1377</v>
      </c>
      <c r="I897">
        <f>MAX(Table8[Cumulative 2025])</f>
        <v>1377</v>
      </c>
      <c r="J897">
        <f>IF(YEAR(Table8[[#This Row],[Date]])=2026,B897,0)+IF(ROW(J896)=1,0,J896)</f>
        <v>815</v>
      </c>
      <c r="K897">
        <f>MAX(Table8[Cumulative 2026])</f>
        <v>3102</v>
      </c>
      <c r="BA897">
        <v>95</v>
      </c>
    </row>
    <row r="898" spans="1:55" hidden="1" x14ac:dyDescent="0.25">
      <c r="A898" s="1">
        <v>46107</v>
      </c>
      <c r="B898">
        <f>SUM(_xlfn.CHOOSEROWS(Table8[[The Golden Compass]:[end]],ROW()-1))</f>
        <v>9</v>
      </c>
      <c r="C898">
        <f>Table8[[#This Row],[Cumulative 2023 Q4]]+Table8[[#This Row],[Cumulative 2024]]+Table8[[#This Row],[Cumulative 2025]]+Table8[[#This Row],[Cumulative 2026]]</f>
        <v>12227</v>
      </c>
      <c r="D898">
        <f>IF(YEAR(Table8[[#This Row],[Date]])=2023,B898,0)+IF(ROW(D897)=1,0,D897)</f>
        <v>4195</v>
      </c>
      <c r="E898">
        <f>MAX(Table8[Cumulative 2023 Q4])</f>
        <v>4195</v>
      </c>
      <c r="F898">
        <f>IF(YEAR(Table8[[#This Row],[Date]])=2024,B898,0)+IF(ROW(F897)=1,0,F897)</f>
        <v>5831</v>
      </c>
      <c r="G898">
        <f>MAX(Table8[Cumulative 2024])</f>
        <v>5831</v>
      </c>
      <c r="H898">
        <f>IF(YEAR(Table8[[#This Row],[Date]])=2025,B898,0)+IF(ROW(H897)=1,0,H897)</f>
        <v>1377</v>
      </c>
      <c r="I898">
        <f>MAX(Table8[Cumulative 2025])</f>
        <v>1377</v>
      </c>
      <c r="J898">
        <f>IF(YEAR(Table8[[#This Row],[Date]])=2026,B898,0)+IF(ROW(J897)=1,0,J897)</f>
        <v>824</v>
      </c>
      <c r="K898">
        <f>MAX(Table8[Cumulative 2026])</f>
        <v>3102</v>
      </c>
      <c r="BB898">
        <v>9</v>
      </c>
    </row>
    <row r="899" spans="1:55" hidden="1" x14ac:dyDescent="0.25">
      <c r="A899" s="1">
        <v>46108</v>
      </c>
      <c r="B899">
        <f>SUM(_xlfn.CHOOSEROWS(Table8[[The Golden Compass]:[end]],ROW()-1))</f>
        <v>0</v>
      </c>
      <c r="C899">
        <f>Table8[[#This Row],[Cumulative 2023 Q4]]+Table8[[#This Row],[Cumulative 2024]]+Table8[[#This Row],[Cumulative 2025]]+Table8[[#This Row],[Cumulative 2026]]</f>
        <v>12227</v>
      </c>
      <c r="D899">
        <f>IF(YEAR(Table8[[#This Row],[Date]])=2023,B899,0)+IF(ROW(D898)=1,0,D898)</f>
        <v>4195</v>
      </c>
      <c r="E899">
        <f>MAX(Table8[Cumulative 2023 Q4])</f>
        <v>4195</v>
      </c>
      <c r="F899">
        <f>IF(YEAR(Table8[[#This Row],[Date]])=2024,B899,0)+IF(ROW(F898)=1,0,F898)</f>
        <v>5831</v>
      </c>
      <c r="G899">
        <f>MAX(Table8[Cumulative 2024])</f>
        <v>5831</v>
      </c>
      <c r="H899">
        <f>IF(YEAR(Table8[[#This Row],[Date]])=2025,B899,0)+IF(ROW(H898)=1,0,H898)</f>
        <v>1377</v>
      </c>
      <c r="I899">
        <f>MAX(Table8[Cumulative 2025])</f>
        <v>1377</v>
      </c>
      <c r="J899">
        <f>IF(YEAR(Table8[[#This Row],[Date]])=2026,B899,0)+IF(ROW(J898)=1,0,J898)</f>
        <v>824</v>
      </c>
      <c r="K899">
        <f>MAX(Table8[Cumulative 2026])</f>
        <v>3102</v>
      </c>
    </row>
    <row r="900" spans="1:55" hidden="1" x14ac:dyDescent="0.25">
      <c r="A900" s="1">
        <v>46109</v>
      </c>
      <c r="B900">
        <f>SUM(_xlfn.CHOOSEROWS(Table8[[The Golden Compass]:[end]],ROW()-1))</f>
        <v>25</v>
      </c>
      <c r="C900">
        <f>Table8[[#This Row],[Cumulative 2023 Q4]]+Table8[[#This Row],[Cumulative 2024]]+Table8[[#This Row],[Cumulative 2025]]+Table8[[#This Row],[Cumulative 2026]]</f>
        <v>12252</v>
      </c>
      <c r="D900">
        <f>IF(YEAR(Table8[[#This Row],[Date]])=2023,B900,0)+IF(ROW(D899)=1,0,D899)</f>
        <v>4195</v>
      </c>
      <c r="E900">
        <f>MAX(Table8[Cumulative 2023 Q4])</f>
        <v>4195</v>
      </c>
      <c r="F900">
        <f>IF(YEAR(Table8[[#This Row],[Date]])=2024,B900,0)+IF(ROW(F899)=1,0,F899)</f>
        <v>5831</v>
      </c>
      <c r="G900">
        <f>MAX(Table8[Cumulative 2024])</f>
        <v>5831</v>
      </c>
      <c r="H900">
        <f>IF(YEAR(Table8[[#This Row],[Date]])=2025,B900,0)+IF(ROW(H899)=1,0,H899)</f>
        <v>1377</v>
      </c>
      <c r="I900">
        <f>MAX(Table8[Cumulative 2025])</f>
        <v>1377</v>
      </c>
      <c r="J900">
        <f>IF(YEAR(Table8[[#This Row],[Date]])=2026,B900,0)+IF(ROW(J899)=1,0,J899)</f>
        <v>849</v>
      </c>
      <c r="K900">
        <f>MAX(Table8[Cumulative 2026])</f>
        <v>3102</v>
      </c>
      <c r="BB900">
        <v>25</v>
      </c>
    </row>
    <row r="901" spans="1:55" hidden="1" x14ac:dyDescent="0.25">
      <c r="A901" s="1">
        <v>46110</v>
      </c>
      <c r="B901">
        <f>SUM(_xlfn.CHOOSEROWS(Table8[[The Golden Compass]:[end]],ROW()-1))</f>
        <v>89</v>
      </c>
      <c r="C901">
        <f>Table8[[#This Row],[Cumulative 2023 Q4]]+Table8[[#This Row],[Cumulative 2024]]+Table8[[#This Row],[Cumulative 2025]]+Table8[[#This Row],[Cumulative 2026]]</f>
        <v>12341</v>
      </c>
      <c r="D901">
        <f>IF(YEAR(Table8[[#This Row],[Date]])=2023,B901,0)+IF(ROW(D900)=1,0,D900)</f>
        <v>4195</v>
      </c>
      <c r="E901">
        <f>MAX(Table8[Cumulative 2023 Q4])</f>
        <v>4195</v>
      </c>
      <c r="F901">
        <f>IF(YEAR(Table8[[#This Row],[Date]])=2024,B901,0)+IF(ROW(F900)=1,0,F900)</f>
        <v>5831</v>
      </c>
      <c r="G901">
        <f>MAX(Table8[Cumulative 2024])</f>
        <v>5831</v>
      </c>
      <c r="H901">
        <f>IF(YEAR(Table8[[#This Row],[Date]])=2025,B901,0)+IF(ROW(H900)=1,0,H900)</f>
        <v>1377</v>
      </c>
      <c r="I901">
        <f>MAX(Table8[Cumulative 2025])</f>
        <v>1377</v>
      </c>
      <c r="J901">
        <f>IF(YEAR(Table8[[#This Row],[Date]])=2026,B901,0)+IF(ROW(J900)=1,0,J900)</f>
        <v>938</v>
      </c>
      <c r="K901">
        <f>MAX(Table8[Cumulative 2026])</f>
        <v>3102</v>
      </c>
      <c r="BB901">
        <v>89</v>
      </c>
    </row>
    <row r="902" spans="1:55" hidden="1" x14ac:dyDescent="0.25">
      <c r="A902" s="1">
        <v>46111</v>
      </c>
      <c r="B902">
        <f>SUM(_xlfn.CHOOSEROWS(Table8[[The Golden Compass]:[end]],ROW()-1))</f>
        <v>39</v>
      </c>
      <c r="C902">
        <f>Table8[[#This Row],[Cumulative 2023 Q4]]+Table8[[#This Row],[Cumulative 2024]]+Table8[[#This Row],[Cumulative 2025]]+Table8[[#This Row],[Cumulative 2026]]</f>
        <v>12380</v>
      </c>
      <c r="D902">
        <f>IF(YEAR(Table8[[#This Row],[Date]])=2023,B902,0)+IF(ROW(D901)=1,0,D901)</f>
        <v>4195</v>
      </c>
      <c r="E902">
        <f>MAX(Table8[Cumulative 2023 Q4])</f>
        <v>4195</v>
      </c>
      <c r="F902">
        <f>IF(YEAR(Table8[[#This Row],[Date]])=2024,B902,0)+IF(ROW(F901)=1,0,F901)</f>
        <v>5831</v>
      </c>
      <c r="G902">
        <f>MAX(Table8[Cumulative 2024])</f>
        <v>5831</v>
      </c>
      <c r="H902">
        <f>IF(YEAR(Table8[[#This Row],[Date]])=2025,B902,0)+IF(ROW(H901)=1,0,H901)</f>
        <v>1377</v>
      </c>
      <c r="I902">
        <f>MAX(Table8[Cumulative 2025])</f>
        <v>1377</v>
      </c>
      <c r="J902">
        <f>IF(YEAR(Table8[[#This Row],[Date]])=2026,B902,0)+IF(ROW(J901)=1,0,J901)</f>
        <v>977</v>
      </c>
      <c r="K902">
        <f>MAX(Table8[Cumulative 2026])</f>
        <v>3102</v>
      </c>
      <c r="BB902">
        <v>39</v>
      </c>
    </row>
    <row r="903" spans="1:55" hidden="1" x14ac:dyDescent="0.25">
      <c r="A903" s="1">
        <v>46112</v>
      </c>
      <c r="B903">
        <f>SUM(_xlfn.CHOOSEROWS(Table8[[The Golden Compass]:[end]],ROW()-1))</f>
        <v>27</v>
      </c>
      <c r="C903">
        <f>Table8[[#This Row],[Cumulative 2023 Q4]]+Table8[[#This Row],[Cumulative 2024]]+Table8[[#This Row],[Cumulative 2025]]+Table8[[#This Row],[Cumulative 2026]]</f>
        <v>12407</v>
      </c>
      <c r="D903">
        <f>IF(YEAR(Table8[[#This Row],[Date]])=2023,B903,0)+IF(ROW(D902)=1,0,D902)</f>
        <v>4195</v>
      </c>
      <c r="E903">
        <f>MAX(Table8[Cumulative 2023 Q4])</f>
        <v>4195</v>
      </c>
      <c r="F903">
        <f>IF(YEAR(Table8[[#This Row],[Date]])=2024,B903,0)+IF(ROW(F902)=1,0,F902)</f>
        <v>5831</v>
      </c>
      <c r="G903">
        <f>MAX(Table8[Cumulative 2024])</f>
        <v>5831</v>
      </c>
      <c r="H903">
        <f>IF(YEAR(Table8[[#This Row],[Date]])=2025,B903,0)+IF(ROW(H902)=1,0,H902)</f>
        <v>1377</v>
      </c>
      <c r="I903">
        <f>MAX(Table8[Cumulative 2025])</f>
        <v>1377</v>
      </c>
      <c r="J903">
        <f>IF(YEAR(Table8[[#This Row],[Date]])=2026,B903,0)+IF(ROW(J902)=1,0,J902)</f>
        <v>1004</v>
      </c>
      <c r="K903">
        <f>MAX(Table8[Cumulative 2026])</f>
        <v>3102</v>
      </c>
      <c r="BB903">
        <v>27</v>
      </c>
    </row>
    <row r="904" spans="1:55" hidden="1" x14ac:dyDescent="0.25">
      <c r="A904" s="1">
        <v>46113</v>
      </c>
      <c r="B904">
        <f>SUM(_xlfn.CHOOSEROWS(Table8[[The Golden Compass]:[end]],ROW()-1))</f>
        <v>92</v>
      </c>
      <c r="C904">
        <f>Table8[[#This Row],[Cumulative 2023 Q4]]+Table8[[#This Row],[Cumulative 2024]]+Table8[[#This Row],[Cumulative 2025]]+Table8[[#This Row],[Cumulative 2026]]</f>
        <v>12499</v>
      </c>
      <c r="D904">
        <f>IF(YEAR(Table8[[#This Row],[Date]])=2023,B904,0)+IF(ROW(D903)=1,0,D903)</f>
        <v>4195</v>
      </c>
      <c r="E904">
        <f>MAX(Table8[Cumulative 2023 Q4])</f>
        <v>4195</v>
      </c>
      <c r="F904">
        <f>IF(YEAR(Table8[[#This Row],[Date]])=2024,B904,0)+IF(ROW(F903)=1,0,F903)</f>
        <v>5831</v>
      </c>
      <c r="G904">
        <f>MAX(Table8[Cumulative 2024])</f>
        <v>5831</v>
      </c>
      <c r="H904">
        <f>IF(YEAR(Table8[[#This Row],[Date]])=2025,B904,0)+IF(ROW(H903)=1,0,H903)</f>
        <v>1377</v>
      </c>
      <c r="I904">
        <f>MAX(Table8[Cumulative 2025])</f>
        <v>1377</v>
      </c>
      <c r="J904">
        <f>IF(YEAR(Table8[[#This Row],[Date]])=2026,B904,0)+IF(ROW(J903)=1,0,J903)</f>
        <v>1096</v>
      </c>
      <c r="K904">
        <f>MAX(Table8[Cumulative 2026])</f>
        <v>3102</v>
      </c>
      <c r="BB904">
        <v>92</v>
      </c>
    </row>
    <row r="905" spans="1:55" hidden="1" x14ac:dyDescent="0.25">
      <c r="A905" s="1">
        <v>46114</v>
      </c>
      <c r="B905">
        <f>SUM(_xlfn.CHOOSEROWS(Table8[[The Golden Compass]:[end]],ROW()-1))</f>
        <v>48</v>
      </c>
      <c r="C905">
        <f>Table8[[#This Row],[Cumulative 2023 Q4]]+Table8[[#This Row],[Cumulative 2024]]+Table8[[#This Row],[Cumulative 2025]]+Table8[[#This Row],[Cumulative 2026]]</f>
        <v>12547</v>
      </c>
      <c r="D905">
        <f>IF(YEAR(Table8[[#This Row],[Date]])=2023,B905,0)+IF(ROW(D904)=1,0,D904)</f>
        <v>4195</v>
      </c>
      <c r="E905">
        <f>MAX(Table8[Cumulative 2023 Q4])</f>
        <v>4195</v>
      </c>
      <c r="F905">
        <f>IF(YEAR(Table8[[#This Row],[Date]])=2024,B905,0)+IF(ROW(F904)=1,0,F904)</f>
        <v>5831</v>
      </c>
      <c r="G905">
        <f>MAX(Table8[Cumulative 2024])</f>
        <v>5831</v>
      </c>
      <c r="H905">
        <f>IF(YEAR(Table8[[#This Row],[Date]])=2025,B905,0)+IF(ROW(H904)=1,0,H904)</f>
        <v>1377</v>
      </c>
      <c r="I905">
        <f>MAX(Table8[Cumulative 2025])</f>
        <v>1377</v>
      </c>
      <c r="J905">
        <f>IF(YEAR(Table8[[#This Row],[Date]])=2026,B905,0)+IF(ROW(J904)=1,0,J904)</f>
        <v>1144</v>
      </c>
      <c r="K905">
        <f>MAX(Table8[Cumulative 2026])</f>
        <v>3102</v>
      </c>
      <c r="BB905">
        <v>48</v>
      </c>
    </row>
    <row r="906" spans="1:55" hidden="1" x14ac:dyDescent="0.25">
      <c r="A906" s="1">
        <v>46115</v>
      </c>
      <c r="B906">
        <f>SUM(_xlfn.CHOOSEROWS(Table8[[The Golden Compass]:[end]],ROW()-1))</f>
        <v>111</v>
      </c>
      <c r="C906">
        <f>Table8[[#This Row],[Cumulative 2023 Q4]]+Table8[[#This Row],[Cumulative 2024]]+Table8[[#This Row],[Cumulative 2025]]+Table8[[#This Row],[Cumulative 2026]]</f>
        <v>12658</v>
      </c>
      <c r="D906">
        <f>IF(YEAR(Table8[[#This Row],[Date]])=2023,B906,0)+IF(ROW(D905)=1,0,D905)</f>
        <v>4195</v>
      </c>
      <c r="E906">
        <f>MAX(Table8[Cumulative 2023 Q4])</f>
        <v>4195</v>
      </c>
      <c r="F906">
        <f>IF(YEAR(Table8[[#This Row],[Date]])=2024,B906,0)+IF(ROW(F905)=1,0,F905)</f>
        <v>5831</v>
      </c>
      <c r="G906">
        <f>MAX(Table8[Cumulative 2024])</f>
        <v>5831</v>
      </c>
      <c r="H906">
        <f>IF(YEAR(Table8[[#This Row],[Date]])=2025,B906,0)+IF(ROW(H905)=1,0,H905)</f>
        <v>1377</v>
      </c>
      <c r="I906">
        <f>MAX(Table8[Cumulative 2025])</f>
        <v>1377</v>
      </c>
      <c r="J906">
        <f>IF(YEAR(Table8[[#This Row],[Date]])=2026,B906,0)+IF(ROW(J905)=1,0,J905)</f>
        <v>1255</v>
      </c>
      <c r="K906">
        <f>MAX(Table8[Cumulative 2026])</f>
        <v>3102</v>
      </c>
      <c r="BB906">
        <v>53</v>
      </c>
      <c r="BC906">
        <v>58</v>
      </c>
    </row>
    <row r="907" spans="1:55" hidden="1" x14ac:dyDescent="0.25">
      <c r="A907" s="1">
        <v>46116</v>
      </c>
      <c r="B907">
        <f>SUM(_xlfn.CHOOSEROWS(Table8[[The Golden Compass]:[end]],ROW()-1))</f>
        <v>10</v>
      </c>
      <c r="C907">
        <f>Table8[[#This Row],[Cumulative 2023 Q4]]+Table8[[#This Row],[Cumulative 2024]]+Table8[[#This Row],[Cumulative 2025]]+Table8[[#This Row],[Cumulative 2026]]</f>
        <v>12668</v>
      </c>
      <c r="D907">
        <f>IF(YEAR(Table8[[#This Row],[Date]])=2023,B907,0)+IF(ROW(D906)=1,0,D906)</f>
        <v>4195</v>
      </c>
      <c r="E907">
        <f>MAX(Table8[Cumulative 2023 Q4])</f>
        <v>4195</v>
      </c>
      <c r="F907">
        <f>IF(YEAR(Table8[[#This Row],[Date]])=2024,B907,0)+IF(ROW(F906)=1,0,F906)</f>
        <v>5831</v>
      </c>
      <c r="G907">
        <f>MAX(Table8[Cumulative 2024])</f>
        <v>5831</v>
      </c>
      <c r="H907">
        <f>IF(YEAR(Table8[[#This Row],[Date]])=2025,B907,0)+IF(ROW(H906)=1,0,H906)</f>
        <v>1377</v>
      </c>
      <c r="I907">
        <f>MAX(Table8[Cumulative 2025])</f>
        <v>1377</v>
      </c>
      <c r="J907">
        <f>IF(YEAR(Table8[[#This Row],[Date]])=2026,B907,0)+IF(ROW(J906)=1,0,J906)</f>
        <v>1265</v>
      </c>
      <c r="K907">
        <f>MAX(Table8[Cumulative 2026])</f>
        <v>3102</v>
      </c>
      <c r="BC907">
        <v>10</v>
      </c>
    </row>
    <row r="908" spans="1:55" hidden="1" x14ac:dyDescent="0.25">
      <c r="A908" s="1">
        <v>46117</v>
      </c>
      <c r="B908">
        <f>SUM(_xlfn.CHOOSEROWS(Table8[[The Golden Compass]:[end]],ROW()-1))</f>
        <v>0</v>
      </c>
      <c r="C908">
        <f>Table8[[#This Row],[Cumulative 2023 Q4]]+Table8[[#This Row],[Cumulative 2024]]+Table8[[#This Row],[Cumulative 2025]]+Table8[[#This Row],[Cumulative 2026]]</f>
        <v>12668</v>
      </c>
      <c r="D908">
        <f>IF(YEAR(Table8[[#This Row],[Date]])=2023,B908,0)+IF(ROW(D907)=1,0,D907)</f>
        <v>4195</v>
      </c>
      <c r="E908">
        <f>MAX(Table8[Cumulative 2023 Q4])</f>
        <v>4195</v>
      </c>
      <c r="F908">
        <f>IF(YEAR(Table8[[#This Row],[Date]])=2024,B908,0)+IF(ROW(F907)=1,0,F907)</f>
        <v>5831</v>
      </c>
      <c r="G908">
        <f>MAX(Table8[Cumulative 2024])</f>
        <v>5831</v>
      </c>
      <c r="H908">
        <f>IF(YEAR(Table8[[#This Row],[Date]])=2025,B908,0)+IF(ROW(H907)=1,0,H907)</f>
        <v>1377</v>
      </c>
      <c r="I908">
        <f>MAX(Table8[Cumulative 2025])</f>
        <v>1377</v>
      </c>
      <c r="J908">
        <f>IF(YEAR(Table8[[#This Row],[Date]])=2026,B908,0)+IF(ROW(J907)=1,0,J907)</f>
        <v>1265</v>
      </c>
      <c r="K908">
        <f>MAX(Table8[Cumulative 2026])</f>
        <v>3102</v>
      </c>
    </row>
    <row r="909" spans="1:55" hidden="1" x14ac:dyDescent="0.25">
      <c r="A909" s="1">
        <v>46118</v>
      </c>
      <c r="B909">
        <f>SUM(_xlfn.CHOOSEROWS(Table8[[The Golden Compass]:[end]],ROW()-1))</f>
        <v>0</v>
      </c>
      <c r="C909">
        <f>Table8[[#This Row],[Cumulative 2023 Q4]]+Table8[[#This Row],[Cumulative 2024]]+Table8[[#This Row],[Cumulative 2025]]+Table8[[#This Row],[Cumulative 2026]]</f>
        <v>12668</v>
      </c>
      <c r="D909">
        <f>IF(YEAR(Table8[[#This Row],[Date]])=2023,B909,0)+IF(ROW(D908)=1,0,D908)</f>
        <v>4195</v>
      </c>
      <c r="E909">
        <f>MAX(Table8[Cumulative 2023 Q4])</f>
        <v>4195</v>
      </c>
      <c r="F909">
        <f>IF(YEAR(Table8[[#This Row],[Date]])=2024,B909,0)+IF(ROW(F908)=1,0,F908)</f>
        <v>5831</v>
      </c>
      <c r="G909">
        <f>MAX(Table8[Cumulative 2024])</f>
        <v>5831</v>
      </c>
      <c r="H909">
        <f>IF(YEAR(Table8[[#This Row],[Date]])=2025,B909,0)+IF(ROW(H908)=1,0,H908)</f>
        <v>1377</v>
      </c>
      <c r="I909">
        <f>MAX(Table8[Cumulative 2025])</f>
        <v>1377</v>
      </c>
      <c r="J909">
        <f>IF(YEAR(Table8[[#This Row],[Date]])=2026,B909,0)+IF(ROW(J908)=1,0,J908)</f>
        <v>1265</v>
      </c>
      <c r="K909">
        <f>MAX(Table8[Cumulative 2026])</f>
        <v>3102</v>
      </c>
    </row>
    <row r="910" spans="1:55" hidden="1" x14ac:dyDescent="0.25">
      <c r="A910" s="1">
        <v>46119</v>
      </c>
      <c r="B910">
        <f>SUM(_xlfn.CHOOSEROWS(Table8[[The Golden Compass]:[end]],ROW()-1))</f>
        <v>0</v>
      </c>
      <c r="C910">
        <f>Table8[[#This Row],[Cumulative 2023 Q4]]+Table8[[#This Row],[Cumulative 2024]]+Table8[[#This Row],[Cumulative 2025]]+Table8[[#This Row],[Cumulative 2026]]</f>
        <v>12668</v>
      </c>
      <c r="D910">
        <f>IF(YEAR(Table8[[#This Row],[Date]])=2023,B910,0)+IF(ROW(D909)=1,0,D909)</f>
        <v>4195</v>
      </c>
      <c r="E910">
        <f>MAX(Table8[Cumulative 2023 Q4])</f>
        <v>4195</v>
      </c>
      <c r="F910">
        <f>IF(YEAR(Table8[[#This Row],[Date]])=2024,B910,0)+IF(ROW(F909)=1,0,F909)</f>
        <v>5831</v>
      </c>
      <c r="G910">
        <f>MAX(Table8[Cumulative 2024])</f>
        <v>5831</v>
      </c>
      <c r="H910">
        <f>IF(YEAR(Table8[[#This Row],[Date]])=2025,B910,0)+IF(ROW(H909)=1,0,H909)</f>
        <v>1377</v>
      </c>
      <c r="I910">
        <f>MAX(Table8[Cumulative 2025])</f>
        <v>1377</v>
      </c>
      <c r="J910">
        <f>IF(YEAR(Table8[[#This Row],[Date]])=2026,B910,0)+IF(ROW(J909)=1,0,J909)</f>
        <v>1265</v>
      </c>
      <c r="K910">
        <f>MAX(Table8[Cumulative 2026])</f>
        <v>3102</v>
      </c>
    </row>
    <row r="911" spans="1:55" hidden="1" x14ac:dyDescent="0.25">
      <c r="A911" s="1">
        <v>46120</v>
      </c>
      <c r="B911">
        <f>SUM(_xlfn.CHOOSEROWS(Table8[[The Golden Compass]:[end]],ROW()-1))</f>
        <v>0</v>
      </c>
      <c r="C911">
        <f>Table8[[#This Row],[Cumulative 2023 Q4]]+Table8[[#This Row],[Cumulative 2024]]+Table8[[#This Row],[Cumulative 2025]]+Table8[[#This Row],[Cumulative 2026]]</f>
        <v>12668</v>
      </c>
      <c r="D911">
        <f>IF(YEAR(Table8[[#This Row],[Date]])=2023,B911,0)+IF(ROW(D910)=1,0,D910)</f>
        <v>4195</v>
      </c>
      <c r="E911">
        <f>MAX(Table8[Cumulative 2023 Q4])</f>
        <v>4195</v>
      </c>
      <c r="F911">
        <f>IF(YEAR(Table8[[#This Row],[Date]])=2024,B911,0)+IF(ROW(F910)=1,0,F910)</f>
        <v>5831</v>
      </c>
      <c r="G911">
        <f>MAX(Table8[Cumulative 2024])</f>
        <v>5831</v>
      </c>
      <c r="H911">
        <f>IF(YEAR(Table8[[#This Row],[Date]])=2025,B911,0)+IF(ROW(H910)=1,0,H910)</f>
        <v>1377</v>
      </c>
      <c r="I911">
        <f>MAX(Table8[Cumulative 2025])</f>
        <v>1377</v>
      </c>
      <c r="J911">
        <f>IF(YEAR(Table8[[#This Row],[Date]])=2026,B911,0)+IF(ROW(J910)=1,0,J910)</f>
        <v>1265</v>
      </c>
      <c r="K911">
        <f>MAX(Table8[Cumulative 2026])</f>
        <v>3102</v>
      </c>
    </row>
    <row r="912" spans="1:55" hidden="1" x14ac:dyDescent="0.25">
      <c r="A912" s="1">
        <v>46121</v>
      </c>
      <c r="B912">
        <f>SUM(_xlfn.CHOOSEROWS(Table8[[The Golden Compass]:[end]],ROW()-1))</f>
        <v>0</v>
      </c>
      <c r="C912">
        <f>Table8[[#This Row],[Cumulative 2023 Q4]]+Table8[[#This Row],[Cumulative 2024]]+Table8[[#This Row],[Cumulative 2025]]+Table8[[#This Row],[Cumulative 2026]]</f>
        <v>12668</v>
      </c>
      <c r="D912">
        <f>IF(YEAR(Table8[[#This Row],[Date]])=2023,B912,0)+IF(ROW(D911)=1,0,D911)</f>
        <v>4195</v>
      </c>
      <c r="E912">
        <f>MAX(Table8[Cumulative 2023 Q4])</f>
        <v>4195</v>
      </c>
      <c r="F912">
        <f>IF(YEAR(Table8[[#This Row],[Date]])=2024,B912,0)+IF(ROW(F911)=1,0,F911)</f>
        <v>5831</v>
      </c>
      <c r="G912">
        <f>MAX(Table8[Cumulative 2024])</f>
        <v>5831</v>
      </c>
      <c r="H912">
        <f>IF(YEAR(Table8[[#This Row],[Date]])=2025,B912,0)+IF(ROW(H911)=1,0,H911)</f>
        <v>1377</v>
      </c>
      <c r="I912">
        <f>MAX(Table8[Cumulative 2025])</f>
        <v>1377</v>
      </c>
      <c r="J912">
        <f>IF(YEAR(Table8[[#This Row],[Date]])=2026,B912,0)+IF(ROW(J911)=1,0,J911)</f>
        <v>1265</v>
      </c>
      <c r="K912">
        <f>MAX(Table8[Cumulative 2026])</f>
        <v>3102</v>
      </c>
    </row>
    <row r="913" spans="1:61" hidden="1" x14ac:dyDescent="0.25">
      <c r="A913" s="1">
        <v>46122</v>
      </c>
      <c r="B913">
        <f>SUM(_xlfn.CHOOSEROWS(Table8[[The Golden Compass]:[end]],ROW()-1))</f>
        <v>0</v>
      </c>
      <c r="C913">
        <f>Table8[[#This Row],[Cumulative 2023 Q4]]+Table8[[#This Row],[Cumulative 2024]]+Table8[[#This Row],[Cumulative 2025]]+Table8[[#This Row],[Cumulative 2026]]</f>
        <v>12668</v>
      </c>
      <c r="D913">
        <f>IF(YEAR(Table8[[#This Row],[Date]])=2023,B913,0)+IF(ROW(D912)=1,0,D912)</f>
        <v>4195</v>
      </c>
      <c r="E913">
        <f>MAX(Table8[Cumulative 2023 Q4])</f>
        <v>4195</v>
      </c>
      <c r="F913">
        <f>IF(YEAR(Table8[[#This Row],[Date]])=2024,B913,0)+IF(ROW(F912)=1,0,F912)</f>
        <v>5831</v>
      </c>
      <c r="G913">
        <f>MAX(Table8[Cumulative 2024])</f>
        <v>5831</v>
      </c>
      <c r="H913">
        <f>IF(YEAR(Table8[[#This Row],[Date]])=2025,B913,0)+IF(ROW(H912)=1,0,H912)</f>
        <v>1377</v>
      </c>
      <c r="I913">
        <f>MAX(Table8[Cumulative 2025])</f>
        <v>1377</v>
      </c>
      <c r="J913">
        <f>IF(YEAR(Table8[[#This Row],[Date]])=2026,B913,0)+IF(ROW(J912)=1,0,J912)</f>
        <v>1265</v>
      </c>
      <c r="K913">
        <f>MAX(Table8[Cumulative 2026])</f>
        <v>3102</v>
      </c>
    </row>
    <row r="914" spans="1:61" hidden="1" x14ac:dyDescent="0.25">
      <c r="A914" s="1">
        <v>46123</v>
      </c>
      <c r="B914">
        <f>SUM(_xlfn.CHOOSEROWS(Table8[[The Golden Compass]:[end]],ROW()-1))</f>
        <v>0</v>
      </c>
      <c r="C914">
        <f>Table8[[#This Row],[Cumulative 2023 Q4]]+Table8[[#This Row],[Cumulative 2024]]+Table8[[#This Row],[Cumulative 2025]]+Table8[[#This Row],[Cumulative 2026]]</f>
        <v>12668</v>
      </c>
      <c r="D914">
        <f>IF(YEAR(Table8[[#This Row],[Date]])=2023,B914,0)+IF(ROW(D913)=1,0,D913)</f>
        <v>4195</v>
      </c>
      <c r="E914">
        <f>MAX(Table8[Cumulative 2023 Q4])</f>
        <v>4195</v>
      </c>
      <c r="F914">
        <f>IF(YEAR(Table8[[#This Row],[Date]])=2024,B914,0)+IF(ROW(F913)=1,0,F913)</f>
        <v>5831</v>
      </c>
      <c r="G914">
        <f>MAX(Table8[Cumulative 2024])</f>
        <v>5831</v>
      </c>
      <c r="H914">
        <f>IF(YEAR(Table8[[#This Row],[Date]])=2025,B914,0)+IF(ROW(H913)=1,0,H913)</f>
        <v>1377</v>
      </c>
      <c r="I914">
        <f>MAX(Table8[Cumulative 2025])</f>
        <v>1377</v>
      </c>
      <c r="J914">
        <f>IF(YEAR(Table8[[#This Row],[Date]])=2026,B914,0)+IF(ROW(J913)=1,0,J913)</f>
        <v>1265</v>
      </c>
      <c r="K914">
        <f>MAX(Table8[Cumulative 2026])</f>
        <v>3102</v>
      </c>
    </row>
    <row r="915" spans="1:61" hidden="1" x14ac:dyDescent="0.25">
      <c r="A915" s="1">
        <v>46124</v>
      </c>
      <c r="B915">
        <f>SUM(_xlfn.CHOOSEROWS(Table8[[The Golden Compass]:[end]],ROW()-1))</f>
        <v>0</v>
      </c>
      <c r="C915">
        <f>Table8[[#This Row],[Cumulative 2023 Q4]]+Table8[[#This Row],[Cumulative 2024]]+Table8[[#This Row],[Cumulative 2025]]+Table8[[#This Row],[Cumulative 2026]]</f>
        <v>12668</v>
      </c>
      <c r="D915">
        <f>IF(YEAR(Table8[[#This Row],[Date]])=2023,B915,0)+IF(ROW(D914)=1,0,D914)</f>
        <v>4195</v>
      </c>
      <c r="E915">
        <f>MAX(Table8[Cumulative 2023 Q4])</f>
        <v>4195</v>
      </c>
      <c r="F915">
        <f>IF(YEAR(Table8[[#This Row],[Date]])=2024,B915,0)+IF(ROW(F914)=1,0,F914)</f>
        <v>5831</v>
      </c>
      <c r="G915">
        <f>MAX(Table8[Cumulative 2024])</f>
        <v>5831</v>
      </c>
      <c r="H915">
        <f>IF(YEAR(Table8[[#This Row],[Date]])=2025,B915,0)+IF(ROW(H914)=1,0,H914)</f>
        <v>1377</v>
      </c>
      <c r="I915">
        <f>MAX(Table8[Cumulative 2025])</f>
        <v>1377</v>
      </c>
      <c r="J915">
        <f>IF(YEAR(Table8[[#This Row],[Date]])=2026,B915,0)+IF(ROW(J914)=1,0,J914)</f>
        <v>1265</v>
      </c>
      <c r="K915">
        <f>MAX(Table8[Cumulative 2026])</f>
        <v>3102</v>
      </c>
    </row>
    <row r="916" spans="1:61" hidden="1" x14ac:dyDescent="0.25">
      <c r="A916" s="1">
        <v>46125</v>
      </c>
      <c r="B916">
        <f>SUM(_xlfn.CHOOSEROWS(Table8[[The Golden Compass]:[end]],ROW()-1))</f>
        <v>0</v>
      </c>
      <c r="C916">
        <f>Table8[[#This Row],[Cumulative 2023 Q4]]+Table8[[#This Row],[Cumulative 2024]]+Table8[[#This Row],[Cumulative 2025]]+Table8[[#This Row],[Cumulative 2026]]</f>
        <v>12668</v>
      </c>
      <c r="D916">
        <f>IF(YEAR(Table8[[#This Row],[Date]])=2023,B916,0)+IF(ROW(D915)=1,0,D915)</f>
        <v>4195</v>
      </c>
      <c r="E916">
        <f>MAX(Table8[Cumulative 2023 Q4])</f>
        <v>4195</v>
      </c>
      <c r="F916">
        <f>IF(YEAR(Table8[[#This Row],[Date]])=2024,B916,0)+IF(ROW(F915)=1,0,F915)</f>
        <v>5831</v>
      </c>
      <c r="G916">
        <f>MAX(Table8[Cumulative 2024])</f>
        <v>5831</v>
      </c>
      <c r="H916">
        <f>IF(YEAR(Table8[[#This Row],[Date]])=2025,B916,0)+IF(ROW(H915)=1,0,H915)</f>
        <v>1377</v>
      </c>
      <c r="I916">
        <f>MAX(Table8[Cumulative 2025])</f>
        <v>1377</v>
      </c>
      <c r="J916">
        <f>IF(YEAR(Table8[[#This Row],[Date]])=2026,B916,0)+IF(ROW(J915)=1,0,J915)</f>
        <v>1265</v>
      </c>
      <c r="K916">
        <f>MAX(Table8[Cumulative 2026])</f>
        <v>3102</v>
      </c>
    </row>
    <row r="917" spans="1:61" hidden="1" x14ac:dyDescent="0.25">
      <c r="A917" s="1">
        <v>46126</v>
      </c>
      <c r="B917">
        <f>SUM(_xlfn.CHOOSEROWS(Table8[[The Golden Compass]:[end]],ROW()-1))</f>
        <v>76</v>
      </c>
      <c r="C917">
        <f>Table8[[#This Row],[Cumulative 2023 Q4]]+Table8[[#This Row],[Cumulative 2024]]+Table8[[#This Row],[Cumulative 2025]]+Table8[[#This Row],[Cumulative 2026]]</f>
        <v>12744</v>
      </c>
      <c r="D917">
        <f>IF(YEAR(Table8[[#This Row],[Date]])=2023,B917,0)+IF(ROW(D916)=1,0,D916)</f>
        <v>4195</v>
      </c>
      <c r="E917">
        <f>MAX(Table8[Cumulative 2023 Q4])</f>
        <v>4195</v>
      </c>
      <c r="F917">
        <f>IF(YEAR(Table8[[#This Row],[Date]])=2024,B917,0)+IF(ROW(F916)=1,0,F916)</f>
        <v>5831</v>
      </c>
      <c r="G917">
        <f>MAX(Table8[Cumulative 2024])</f>
        <v>5831</v>
      </c>
      <c r="H917">
        <f>IF(YEAR(Table8[[#This Row],[Date]])=2025,B917,0)+IF(ROW(H916)=1,0,H916)</f>
        <v>1377</v>
      </c>
      <c r="I917">
        <f>MAX(Table8[Cumulative 2025])</f>
        <v>1377</v>
      </c>
      <c r="J917">
        <f>IF(YEAR(Table8[[#This Row],[Date]])=2026,B917,0)+IF(ROW(J916)=1,0,J916)</f>
        <v>1341</v>
      </c>
      <c r="K917">
        <f>MAX(Table8[Cumulative 2026])</f>
        <v>3102</v>
      </c>
      <c r="BC917">
        <v>76</v>
      </c>
    </row>
    <row r="918" spans="1:61" hidden="1" x14ac:dyDescent="0.25">
      <c r="A918" s="1">
        <v>46127</v>
      </c>
      <c r="B918">
        <f>SUM(_xlfn.CHOOSEROWS(Table8[[The Golden Compass]:[end]],ROW()-1))</f>
        <v>47</v>
      </c>
      <c r="C918">
        <f>Table8[[#This Row],[Cumulative 2023 Q4]]+Table8[[#This Row],[Cumulative 2024]]+Table8[[#This Row],[Cumulative 2025]]+Table8[[#This Row],[Cumulative 2026]]</f>
        <v>12791</v>
      </c>
      <c r="D918">
        <f>IF(YEAR(Table8[[#This Row],[Date]])=2023,B918,0)+IF(ROW(D917)=1,0,D917)</f>
        <v>4195</v>
      </c>
      <c r="E918">
        <f>MAX(Table8[Cumulative 2023 Q4])</f>
        <v>4195</v>
      </c>
      <c r="F918">
        <f>IF(YEAR(Table8[[#This Row],[Date]])=2024,B918,0)+IF(ROW(F917)=1,0,F917)</f>
        <v>5831</v>
      </c>
      <c r="G918">
        <f>MAX(Table8[Cumulative 2024])</f>
        <v>5831</v>
      </c>
      <c r="H918">
        <f>IF(YEAR(Table8[[#This Row],[Date]])=2025,B918,0)+IF(ROW(H917)=1,0,H917)</f>
        <v>1377</v>
      </c>
      <c r="I918">
        <f>MAX(Table8[Cumulative 2025])</f>
        <v>1377</v>
      </c>
      <c r="J918">
        <f>IF(YEAR(Table8[[#This Row],[Date]])=2026,B918,0)+IF(ROW(J917)=1,0,J917)</f>
        <v>1388</v>
      </c>
      <c r="K918">
        <f>MAX(Table8[Cumulative 2026])</f>
        <v>3102</v>
      </c>
      <c r="BC918">
        <v>47</v>
      </c>
    </row>
    <row r="919" spans="1:61" hidden="1" x14ac:dyDescent="0.25">
      <c r="A919" s="1">
        <v>46128</v>
      </c>
      <c r="B919">
        <f>SUM(_xlfn.CHOOSEROWS(Table8[[The Golden Compass]:[end]],ROW()-1))</f>
        <v>23</v>
      </c>
      <c r="C919">
        <f>Table8[[#This Row],[Cumulative 2023 Q4]]+Table8[[#This Row],[Cumulative 2024]]+Table8[[#This Row],[Cumulative 2025]]+Table8[[#This Row],[Cumulative 2026]]</f>
        <v>12814</v>
      </c>
      <c r="D919">
        <f>IF(YEAR(Table8[[#This Row],[Date]])=2023,B919,0)+IF(ROW(D918)=1,0,D918)</f>
        <v>4195</v>
      </c>
      <c r="E919">
        <f>MAX(Table8[Cumulative 2023 Q4])</f>
        <v>4195</v>
      </c>
      <c r="F919">
        <f>IF(YEAR(Table8[[#This Row],[Date]])=2024,B919,0)+IF(ROW(F918)=1,0,F918)</f>
        <v>5831</v>
      </c>
      <c r="G919">
        <f>MAX(Table8[Cumulative 2024])</f>
        <v>5831</v>
      </c>
      <c r="H919">
        <f>IF(YEAR(Table8[[#This Row],[Date]])=2025,B919,0)+IF(ROW(H918)=1,0,H918)</f>
        <v>1377</v>
      </c>
      <c r="I919">
        <f>MAX(Table8[Cumulative 2025])</f>
        <v>1377</v>
      </c>
      <c r="J919">
        <f>IF(YEAR(Table8[[#This Row],[Date]])=2026,B919,0)+IF(ROW(J918)=1,0,J918)</f>
        <v>1411</v>
      </c>
      <c r="K919">
        <f>MAX(Table8[Cumulative 2026])</f>
        <v>3102</v>
      </c>
      <c r="BC919">
        <v>23</v>
      </c>
    </row>
    <row r="920" spans="1:61" hidden="1" x14ac:dyDescent="0.25">
      <c r="A920" s="1">
        <v>46129</v>
      </c>
      <c r="B920">
        <f>SUM(_xlfn.CHOOSEROWS(Table8[[The Golden Compass]:[end]],ROW()-1))</f>
        <v>0</v>
      </c>
      <c r="C920">
        <f>Table8[[#This Row],[Cumulative 2023 Q4]]+Table8[[#This Row],[Cumulative 2024]]+Table8[[#This Row],[Cumulative 2025]]+Table8[[#This Row],[Cumulative 2026]]</f>
        <v>12814</v>
      </c>
      <c r="D920">
        <f>IF(YEAR(Table8[[#This Row],[Date]])=2023,B920,0)+IF(ROW(D919)=1,0,D919)</f>
        <v>4195</v>
      </c>
      <c r="E920">
        <f>MAX(Table8[Cumulative 2023 Q4])</f>
        <v>4195</v>
      </c>
      <c r="F920">
        <f>IF(YEAR(Table8[[#This Row],[Date]])=2024,B920,0)+IF(ROW(F919)=1,0,F919)</f>
        <v>5831</v>
      </c>
      <c r="G920">
        <f>MAX(Table8[Cumulative 2024])</f>
        <v>5831</v>
      </c>
      <c r="H920">
        <f>IF(YEAR(Table8[[#This Row],[Date]])=2025,B920,0)+IF(ROW(H919)=1,0,H919)</f>
        <v>1377</v>
      </c>
      <c r="I920">
        <f>MAX(Table8[Cumulative 2025])</f>
        <v>1377</v>
      </c>
      <c r="J920">
        <f>IF(YEAR(Table8[[#This Row],[Date]])=2026,B920,0)+IF(ROW(J919)=1,0,J919)</f>
        <v>1411</v>
      </c>
      <c r="K920">
        <f>MAX(Table8[Cumulative 2026])</f>
        <v>3102</v>
      </c>
    </row>
    <row r="921" spans="1:61" hidden="1" x14ac:dyDescent="0.25">
      <c r="A921" s="1">
        <v>46130</v>
      </c>
      <c r="B921">
        <f>SUM(_xlfn.CHOOSEROWS(Table8[[The Golden Compass]:[end]],ROW()-1))</f>
        <v>0</v>
      </c>
      <c r="C921">
        <f>Table8[[#This Row],[Cumulative 2023 Q4]]+Table8[[#This Row],[Cumulative 2024]]+Table8[[#This Row],[Cumulative 2025]]+Table8[[#This Row],[Cumulative 2026]]</f>
        <v>12814</v>
      </c>
      <c r="D921">
        <f>IF(YEAR(Table8[[#This Row],[Date]])=2023,B921,0)+IF(ROW(D920)=1,0,D920)</f>
        <v>4195</v>
      </c>
      <c r="E921">
        <f>MAX(Table8[Cumulative 2023 Q4])</f>
        <v>4195</v>
      </c>
      <c r="F921">
        <f>IF(YEAR(Table8[[#This Row],[Date]])=2024,B921,0)+IF(ROW(F920)=1,0,F920)</f>
        <v>5831</v>
      </c>
      <c r="G921">
        <f>MAX(Table8[Cumulative 2024])</f>
        <v>5831</v>
      </c>
      <c r="H921">
        <f>IF(YEAR(Table8[[#This Row],[Date]])=2025,B921,0)+IF(ROW(H920)=1,0,H920)</f>
        <v>1377</v>
      </c>
      <c r="I921">
        <f>MAX(Table8[Cumulative 2025])</f>
        <v>1377</v>
      </c>
      <c r="J921">
        <f>IF(YEAR(Table8[[#This Row],[Date]])=2026,B921,0)+IF(ROW(J920)=1,0,J920)</f>
        <v>1411</v>
      </c>
      <c r="K921">
        <f>MAX(Table8[Cumulative 2026])</f>
        <v>3102</v>
      </c>
    </row>
    <row r="922" spans="1:61" hidden="1" x14ac:dyDescent="0.25">
      <c r="A922" s="1">
        <v>46131</v>
      </c>
      <c r="B922">
        <f>SUM(_xlfn.CHOOSEROWS(Table8[[The Golden Compass]:[end]],ROW()-1))</f>
        <v>0</v>
      </c>
      <c r="C922">
        <f>Table8[[#This Row],[Cumulative 2023 Q4]]+Table8[[#This Row],[Cumulative 2024]]+Table8[[#This Row],[Cumulative 2025]]+Table8[[#This Row],[Cumulative 2026]]</f>
        <v>12814</v>
      </c>
      <c r="D922">
        <f>IF(YEAR(Table8[[#This Row],[Date]])=2023,B922,0)+IF(ROW(D921)=1,0,D921)</f>
        <v>4195</v>
      </c>
      <c r="E922">
        <f>MAX(Table8[Cumulative 2023 Q4])</f>
        <v>4195</v>
      </c>
      <c r="F922">
        <f>IF(YEAR(Table8[[#This Row],[Date]])=2024,B922,0)+IF(ROW(F921)=1,0,F921)</f>
        <v>5831</v>
      </c>
      <c r="G922">
        <f>MAX(Table8[Cumulative 2024])</f>
        <v>5831</v>
      </c>
      <c r="H922">
        <f>IF(YEAR(Table8[[#This Row],[Date]])=2025,B922,0)+IF(ROW(H921)=1,0,H921)</f>
        <v>1377</v>
      </c>
      <c r="I922">
        <f>MAX(Table8[Cumulative 2025])</f>
        <v>1377</v>
      </c>
      <c r="J922">
        <f>IF(YEAR(Table8[[#This Row],[Date]])=2026,B922,0)+IF(ROW(J921)=1,0,J921)</f>
        <v>1411</v>
      </c>
      <c r="K922">
        <f>MAX(Table8[Cumulative 2026])</f>
        <v>3102</v>
      </c>
    </row>
    <row r="923" spans="1:61" hidden="1" x14ac:dyDescent="0.25">
      <c r="A923" s="1">
        <v>46132</v>
      </c>
      <c r="B923">
        <f>SUM(_xlfn.CHOOSEROWS(Table8[[The Golden Compass]:[end]],ROW()-1))</f>
        <v>113</v>
      </c>
      <c r="C923">
        <f>Table8[[#This Row],[Cumulative 2023 Q4]]+Table8[[#This Row],[Cumulative 2024]]+Table8[[#This Row],[Cumulative 2025]]+Table8[[#This Row],[Cumulative 2026]]</f>
        <v>12927</v>
      </c>
      <c r="D923">
        <f>IF(YEAR(Table8[[#This Row],[Date]])=2023,B923,0)+IF(ROW(D922)=1,0,D922)</f>
        <v>4195</v>
      </c>
      <c r="E923">
        <f>MAX(Table8[Cumulative 2023 Q4])</f>
        <v>4195</v>
      </c>
      <c r="F923">
        <f>IF(YEAR(Table8[[#This Row],[Date]])=2024,B923,0)+IF(ROW(F922)=1,0,F922)</f>
        <v>5831</v>
      </c>
      <c r="G923">
        <f>MAX(Table8[Cumulative 2024])</f>
        <v>5831</v>
      </c>
      <c r="H923">
        <f>IF(YEAR(Table8[[#This Row],[Date]])=2025,B923,0)+IF(ROW(H922)=1,0,H922)</f>
        <v>1377</v>
      </c>
      <c r="I923">
        <f>MAX(Table8[Cumulative 2025])</f>
        <v>1377</v>
      </c>
      <c r="J923">
        <f>IF(YEAR(Table8[[#This Row],[Date]])=2026,B923,0)+IF(ROW(J922)=1,0,J922)</f>
        <v>1524</v>
      </c>
      <c r="K923">
        <f>MAX(Table8[Cumulative 2026])</f>
        <v>3102</v>
      </c>
      <c r="BC923">
        <v>113</v>
      </c>
    </row>
    <row r="924" spans="1:61" hidden="1" x14ac:dyDescent="0.25">
      <c r="A924" s="1">
        <v>46133</v>
      </c>
      <c r="B924">
        <f>SUM(_xlfn.CHOOSEROWS(Table8[[The Golden Compass]:[end]],ROW()-1))</f>
        <v>55</v>
      </c>
      <c r="C924">
        <f>Table8[[#This Row],[Cumulative 2023 Q4]]+Table8[[#This Row],[Cumulative 2024]]+Table8[[#This Row],[Cumulative 2025]]+Table8[[#This Row],[Cumulative 2026]]</f>
        <v>12982</v>
      </c>
      <c r="D924">
        <f>IF(YEAR(Table8[[#This Row],[Date]])=2023,B924,0)+IF(ROW(D923)=1,0,D923)</f>
        <v>4195</v>
      </c>
      <c r="E924">
        <f>MAX(Table8[Cumulative 2023 Q4])</f>
        <v>4195</v>
      </c>
      <c r="F924">
        <f>IF(YEAR(Table8[[#This Row],[Date]])=2024,B924,0)+IF(ROW(F923)=1,0,F923)</f>
        <v>5831</v>
      </c>
      <c r="G924">
        <f>MAX(Table8[Cumulative 2024])</f>
        <v>5831</v>
      </c>
      <c r="H924">
        <f>IF(YEAR(Table8[[#This Row],[Date]])=2025,B924,0)+IF(ROW(H923)=1,0,H923)</f>
        <v>1377</v>
      </c>
      <c r="I924">
        <f>MAX(Table8[Cumulative 2025])</f>
        <v>1377</v>
      </c>
      <c r="J924">
        <f>IF(YEAR(Table8[[#This Row],[Date]])=2026,B924,0)+IF(ROW(J923)=1,0,J923)</f>
        <v>1579</v>
      </c>
      <c r="K924">
        <f>MAX(Table8[Cumulative 2026])</f>
        <v>3102</v>
      </c>
      <c r="BC924">
        <v>55</v>
      </c>
    </row>
    <row r="925" spans="1:61" hidden="1" x14ac:dyDescent="0.25">
      <c r="A925" s="1">
        <v>46134</v>
      </c>
      <c r="B925">
        <f>SUM(_xlfn.CHOOSEROWS(Table8[[The Golden Compass]:[end]],ROW()-1))</f>
        <v>0</v>
      </c>
      <c r="C925">
        <f>Table8[[#This Row],[Cumulative 2023 Q4]]+Table8[[#This Row],[Cumulative 2024]]+Table8[[#This Row],[Cumulative 2025]]+Table8[[#This Row],[Cumulative 2026]]</f>
        <v>12982</v>
      </c>
      <c r="D925">
        <f>IF(YEAR(Table8[[#This Row],[Date]])=2023,B925,0)+IF(ROW(D924)=1,0,D924)</f>
        <v>4195</v>
      </c>
      <c r="E925">
        <f>MAX(Table8[Cumulative 2023 Q4])</f>
        <v>4195</v>
      </c>
      <c r="F925">
        <f>IF(YEAR(Table8[[#This Row],[Date]])=2024,B925,0)+IF(ROW(F924)=1,0,F924)</f>
        <v>5831</v>
      </c>
      <c r="G925">
        <f>MAX(Table8[Cumulative 2024])</f>
        <v>5831</v>
      </c>
      <c r="H925">
        <f>IF(YEAR(Table8[[#This Row],[Date]])=2025,B925,0)+IF(ROW(H924)=1,0,H924)</f>
        <v>1377</v>
      </c>
      <c r="I925">
        <f>MAX(Table8[Cumulative 2025])</f>
        <v>1377</v>
      </c>
      <c r="J925">
        <f>IF(YEAR(Table8[[#This Row],[Date]])=2026,B925,0)+IF(ROW(J924)=1,0,J924)</f>
        <v>1579</v>
      </c>
      <c r="K925">
        <f>MAX(Table8[Cumulative 2026])</f>
        <v>3102</v>
      </c>
    </row>
    <row r="926" spans="1:61" x14ac:dyDescent="0.25">
      <c r="A926" s="1">
        <v>46135</v>
      </c>
      <c r="B926">
        <f>SUM(_xlfn.CHOOSEROWS(Table8[[The Golden Compass]:[end]],ROW()-1))</f>
        <v>10</v>
      </c>
      <c r="C926">
        <f>Table8[[#This Row],[Cumulative 2023 Q4]]+Table8[[#This Row],[Cumulative 2024]]+Table8[[#This Row],[Cumulative 2025]]+Table8[[#This Row],[Cumulative 2026]]</f>
        <v>12992</v>
      </c>
      <c r="D926">
        <f>IF(YEAR(Table8[[#This Row],[Date]])=2023,B926,0)+IF(ROW(D925)=1,0,D925)</f>
        <v>4195</v>
      </c>
      <c r="E926">
        <f>MAX(Table8[Cumulative 2023 Q4])</f>
        <v>4195</v>
      </c>
      <c r="F926">
        <f>IF(YEAR(Table8[[#This Row],[Date]])=2024,B926,0)+IF(ROW(F925)=1,0,F925)</f>
        <v>5831</v>
      </c>
      <c r="G926">
        <f>MAX(Table8[Cumulative 2024])</f>
        <v>5831</v>
      </c>
      <c r="H926">
        <f>IF(YEAR(Table8[[#This Row],[Date]])=2025,B926,0)+IF(ROW(H925)=1,0,H925)</f>
        <v>1377</v>
      </c>
      <c r="I926">
        <f>MAX(Table8[Cumulative 2025])</f>
        <v>1377</v>
      </c>
      <c r="J926">
        <f>IF(YEAR(Table8[[#This Row],[Date]])=2026,B926,0)+IF(ROW(J925)=1,0,J925)</f>
        <v>1589</v>
      </c>
      <c r="K926">
        <f>MAX(Table8[Cumulative 2026])</f>
        <v>3102</v>
      </c>
      <c r="BI926">
        <v>10</v>
      </c>
    </row>
    <row r="927" spans="1:61" hidden="1" x14ac:dyDescent="0.25">
      <c r="A927" s="1">
        <v>46136</v>
      </c>
      <c r="B927">
        <f>SUM(_xlfn.CHOOSEROWS(Table8[[The Golden Compass]:[end]],ROW()-1))</f>
        <v>0</v>
      </c>
      <c r="C927">
        <f>Table8[[#This Row],[Cumulative 2023 Q4]]+Table8[[#This Row],[Cumulative 2024]]+Table8[[#This Row],[Cumulative 2025]]+Table8[[#This Row],[Cumulative 2026]]</f>
        <v>12992</v>
      </c>
      <c r="D927">
        <f>IF(YEAR(Table8[[#This Row],[Date]])=2023,B927,0)+IF(ROW(D926)=1,0,D926)</f>
        <v>4195</v>
      </c>
      <c r="E927">
        <f>MAX(Table8[Cumulative 2023 Q4])</f>
        <v>4195</v>
      </c>
      <c r="F927">
        <f>IF(YEAR(Table8[[#This Row],[Date]])=2024,B927,0)+IF(ROW(F926)=1,0,F926)</f>
        <v>5831</v>
      </c>
      <c r="G927">
        <f>MAX(Table8[Cumulative 2024])</f>
        <v>5831</v>
      </c>
      <c r="H927">
        <f>IF(YEAR(Table8[[#This Row],[Date]])=2025,B927,0)+IF(ROW(H926)=1,0,H926)</f>
        <v>1377</v>
      </c>
      <c r="I927">
        <f>MAX(Table8[Cumulative 2025])</f>
        <v>1377</v>
      </c>
      <c r="J927">
        <f>IF(YEAR(Table8[[#This Row],[Date]])=2026,B927,0)+IF(ROW(J926)=1,0,J926)</f>
        <v>1589</v>
      </c>
      <c r="K927">
        <f>MAX(Table8[Cumulative 2026])</f>
        <v>3102</v>
      </c>
    </row>
    <row r="928" spans="1:61" hidden="1" x14ac:dyDescent="0.25">
      <c r="A928" s="1">
        <v>46137</v>
      </c>
      <c r="B928">
        <f>SUM(_xlfn.CHOOSEROWS(Table8[[The Golden Compass]:[end]],ROW()-1))</f>
        <v>0</v>
      </c>
      <c r="C928">
        <f>Table8[[#This Row],[Cumulative 2023 Q4]]+Table8[[#This Row],[Cumulative 2024]]+Table8[[#This Row],[Cumulative 2025]]+Table8[[#This Row],[Cumulative 2026]]</f>
        <v>12992</v>
      </c>
      <c r="D928">
        <f>IF(YEAR(Table8[[#This Row],[Date]])=2023,B928,0)+IF(ROW(D927)=1,0,D927)</f>
        <v>4195</v>
      </c>
      <c r="E928">
        <f>MAX(Table8[Cumulative 2023 Q4])</f>
        <v>4195</v>
      </c>
      <c r="F928">
        <f>IF(YEAR(Table8[[#This Row],[Date]])=2024,B928,0)+IF(ROW(F927)=1,0,F927)</f>
        <v>5831</v>
      </c>
      <c r="G928">
        <f>MAX(Table8[Cumulative 2024])</f>
        <v>5831</v>
      </c>
      <c r="H928">
        <f>IF(YEAR(Table8[[#This Row],[Date]])=2025,B928,0)+IF(ROW(H927)=1,0,H927)</f>
        <v>1377</v>
      </c>
      <c r="I928">
        <f>MAX(Table8[Cumulative 2025])</f>
        <v>1377</v>
      </c>
      <c r="J928">
        <f>IF(YEAR(Table8[[#This Row],[Date]])=2026,B928,0)+IF(ROW(J927)=1,0,J927)</f>
        <v>1589</v>
      </c>
      <c r="K928">
        <f>MAX(Table8[Cumulative 2026])</f>
        <v>3102</v>
      </c>
    </row>
    <row r="929" spans="1:11" hidden="1" x14ac:dyDescent="0.25">
      <c r="A929" s="1">
        <v>46138</v>
      </c>
      <c r="B929">
        <f>SUM(_xlfn.CHOOSEROWS(Table8[[The Golden Compass]:[end]],ROW()-1))</f>
        <v>0</v>
      </c>
      <c r="C929">
        <f>Table8[[#This Row],[Cumulative 2023 Q4]]+Table8[[#This Row],[Cumulative 2024]]+Table8[[#This Row],[Cumulative 2025]]+Table8[[#This Row],[Cumulative 2026]]</f>
        <v>12992</v>
      </c>
      <c r="D929">
        <f>IF(YEAR(Table8[[#This Row],[Date]])=2023,B929,0)+IF(ROW(D928)=1,0,D928)</f>
        <v>4195</v>
      </c>
      <c r="E929">
        <f>MAX(Table8[Cumulative 2023 Q4])</f>
        <v>4195</v>
      </c>
      <c r="F929">
        <f>IF(YEAR(Table8[[#This Row],[Date]])=2024,B929,0)+IF(ROW(F928)=1,0,F928)</f>
        <v>5831</v>
      </c>
      <c r="G929">
        <f>MAX(Table8[Cumulative 2024])</f>
        <v>5831</v>
      </c>
      <c r="H929">
        <f>IF(YEAR(Table8[[#This Row],[Date]])=2025,B929,0)+IF(ROW(H928)=1,0,H928)</f>
        <v>1377</v>
      </c>
      <c r="I929">
        <f>MAX(Table8[Cumulative 2025])</f>
        <v>1377</v>
      </c>
      <c r="J929">
        <f>IF(YEAR(Table8[[#This Row],[Date]])=2026,B929,0)+IF(ROW(J928)=1,0,J928)</f>
        <v>1589</v>
      </c>
      <c r="K929">
        <f>MAX(Table8[Cumulative 2026])</f>
        <v>3102</v>
      </c>
    </row>
    <row r="930" spans="1:11" hidden="1" x14ac:dyDescent="0.25">
      <c r="A930" s="1">
        <v>46139</v>
      </c>
      <c r="B930">
        <f>SUM(_xlfn.CHOOSEROWS(Table8[[The Golden Compass]:[end]],ROW()-1))</f>
        <v>0</v>
      </c>
      <c r="C930">
        <f>Table8[[#This Row],[Cumulative 2023 Q4]]+Table8[[#This Row],[Cumulative 2024]]+Table8[[#This Row],[Cumulative 2025]]+Table8[[#This Row],[Cumulative 2026]]</f>
        <v>12992</v>
      </c>
      <c r="D930">
        <f>IF(YEAR(Table8[[#This Row],[Date]])=2023,B930,0)+IF(ROW(D929)=1,0,D929)</f>
        <v>4195</v>
      </c>
      <c r="E930">
        <f>MAX(Table8[Cumulative 2023 Q4])</f>
        <v>4195</v>
      </c>
      <c r="F930">
        <f>IF(YEAR(Table8[[#This Row],[Date]])=2024,B930,0)+IF(ROW(F929)=1,0,F929)</f>
        <v>5831</v>
      </c>
      <c r="G930">
        <f>MAX(Table8[Cumulative 2024])</f>
        <v>5831</v>
      </c>
      <c r="H930">
        <f>IF(YEAR(Table8[[#This Row],[Date]])=2025,B930,0)+IF(ROW(H929)=1,0,H929)</f>
        <v>1377</v>
      </c>
      <c r="I930">
        <f>MAX(Table8[Cumulative 2025])</f>
        <v>1377</v>
      </c>
      <c r="J930">
        <f>IF(YEAR(Table8[[#This Row],[Date]])=2026,B930,0)+IF(ROW(J929)=1,0,J929)</f>
        <v>1589</v>
      </c>
      <c r="K930">
        <f>MAX(Table8[Cumulative 2026])</f>
        <v>3102</v>
      </c>
    </row>
    <row r="931" spans="1:11" hidden="1" x14ac:dyDescent="0.25">
      <c r="A931" s="1">
        <v>46140</v>
      </c>
      <c r="B931">
        <f>SUM(_xlfn.CHOOSEROWS(Table8[[The Golden Compass]:[end]],ROW()-1))</f>
        <v>0</v>
      </c>
      <c r="C931">
        <f>Table8[[#This Row],[Cumulative 2023 Q4]]+Table8[[#This Row],[Cumulative 2024]]+Table8[[#This Row],[Cumulative 2025]]+Table8[[#This Row],[Cumulative 2026]]</f>
        <v>12992</v>
      </c>
      <c r="D931">
        <f>IF(YEAR(Table8[[#This Row],[Date]])=2023,B931,0)+IF(ROW(D930)=1,0,D930)</f>
        <v>4195</v>
      </c>
      <c r="E931">
        <f>MAX(Table8[Cumulative 2023 Q4])</f>
        <v>4195</v>
      </c>
      <c r="F931">
        <f>IF(YEAR(Table8[[#This Row],[Date]])=2024,B931,0)+IF(ROW(F930)=1,0,F930)</f>
        <v>5831</v>
      </c>
      <c r="G931">
        <f>MAX(Table8[Cumulative 2024])</f>
        <v>5831</v>
      </c>
      <c r="H931">
        <f>IF(YEAR(Table8[[#This Row],[Date]])=2025,B931,0)+IF(ROW(H930)=1,0,H930)</f>
        <v>1377</v>
      </c>
      <c r="I931">
        <f>MAX(Table8[Cumulative 2025])</f>
        <v>1377</v>
      </c>
      <c r="J931">
        <f>IF(YEAR(Table8[[#This Row],[Date]])=2026,B931,0)+IF(ROW(J930)=1,0,J930)</f>
        <v>1589</v>
      </c>
      <c r="K931">
        <f>MAX(Table8[Cumulative 2026])</f>
        <v>3102</v>
      </c>
    </row>
    <row r="932" spans="1:11" hidden="1" x14ac:dyDescent="0.25">
      <c r="A932" s="1">
        <v>46141</v>
      </c>
      <c r="B932">
        <f>SUM(_xlfn.CHOOSEROWS(Table8[[The Golden Compass]:[end]],ROW()-1))</f>
        <v>0</v>
      </c>
      <c r="C932">
        <f>Table8[[#This Row],[Cumulative 2023 Q4]]+Table8[[#This Row],[Cumulative 2024]]+Table8[[#This Row],[Cumulative 2025]]+Table8[[#This Row],[Cumulative 2026]]</f>
        <v>12992</v>
      </c>
      <c r="D932">
        <f>IF(YEAR(Table8[[#This Row],[Date]])=2023,B932,0)+IF(ROW(D931)=1,0,D931)</f>
        <v>4195</v>
      </c>
      <c r="E932">
        <f>MAX(Table8[Cumulative 2023 Q4])</f>
        <v>4195</v>
      </c>
      <c r="F932">
        <f>IF(YEAR(Table8[[#This Row],[Date]])=2024,B932,0)+IF(ROW(F931)=1,0,F931)</f>
        <v>5831</v>
      </c>
      <c r="G932">
        <f>MAX(Table8[Cumulative 2024])</f>
        <v>5831</v>
      </c>
      <c r="H932">
        <f>IF(YEAR(Table8[[#This Row],[Date]])=2025,B932,0)+IF(ROW(H931)=1,0,H931)</f>
        <v>1377</v>
      </c>
      <c r="I932">
        <f>MAX(Table8[Cumulative 2025])</f>
        <v>1377</v>
      </c>
      <c r="J932">
        <f>IF(YEAR(Table8[[#This Row],[Date]])=2026,B932,0)+IF(ROW(J931)=1,0,J931)</f>
        <v>1589</v>
      </c>
      <c r="K932">
        <f>MAX(Table8[Cumulative 2026])</f>
        <v>3102</v>
      </c>
    </row>
    <row r="933" spans="1:11" hidden="1" x14ac:dyDescent="0.25">
      <c r="A933" s="1">
        <v>46142</v>
      </c>
      <c r="B933">
        <f>SUM(_xlfn.CHOOSEROWS(Table8[[The Golden Compass]:[end]],ROW()-1))</f>
        <v>0</v>
      </c>
      <c r="C933">
        <f>Table8[[#This Row],[Cumulative 2023 Q4]]+Table8[[#This Row],[Cumulative 2024]]+Table8[[#This Row],[Cumulative 2025]]+Table8[[#This Row],[Cumulative 2026]]</f>
        <v>12992</v>
      </c>
      <c r="D933">
        <f>IF(YEAR(Table8[[#This Row],[Date]])=2023,B933,0)+IF(ROW(D932)=1,0,D932)</f>
        <v>4195</v>
      </c>
      <c r="E933">
        <f>MAX(Table8[Cumulative 2023 Q4])</f>
        <v>4195</v>
      </c>
      <c r="F933">
        <f>IF(YEAR(Table8[[#This Row],[Date]])=2024,B933,0)+IF(ROW(F932)=1,0,F932)</f>
        <v>5831</v>
      </c>
      <c r="G933">
        <f>MAX(Table8[Cumulative 2024])</f>
        <v>5831</v>
      </c>
      <c r="H933">
        <f>IF(YEAR(Table8[[#This Row],[Date]])=2025,B933,0)+IF(ROW(H932)=1,0,H932)</f>
        <v>1377</v>
      </c>
      <c r="I933">
        <f>MAX(Table8[Cumulative 2025])</f>
        <v>1377</v>
      </c>
      <c r="J933">
        <f>IF(YEAR(Table8[[#This Row],[Date]])=2026,B933,0)+IF(ROW(J932)=1,0,J932)</f>
        <v>1589</v>
      </c>
      <c r="K933">
        <f>MAX(Table8[Cumulative 2026])</f>
        <v>3102</v>
      </c>
    </row>
    <row r="934" spans="1:11" hidden="1" x14ac:dyDescent="0.25">
      <c r="A934" s="1">
        <v>46143</v>
      </c>
      <c r="B934">
        <f>SUM(_xlfn.CHOOSEROWS(Table8[[The Golden Compass]:[end]],ROW()-1))</f>
        <v>0</v>
      </c>
      <c r="C934">
        <f>Table8[[#This Row],[Cumulative 2023 Q4]]+Table8[[#This Row],[Cumulative 2024]]+Table8[[#This Row],[Cumulative 2025]]+Table8[[#This Row],[Cumulative 2026]]</f>
        <v>12992</v>
      </c>
      <c r="D934">
        <f>IF(YEAR(Table8[[#This Row],[Date]])=2023,B934,0)+IF(ROW(D933)=1,0,D933)</f>
        <v>4195</v>
      </c>
      <c r="E934">
        <f>MAX(Table8[Cumulative 2023 Q4])</f>
        <v>4195</v>
      </c>
      <c r="F934">
        <f>IF(YEAR(Table8[[#This Row],[Date]])=2024,B934,0)+IF(ROW(F933)=1,0,F933)</f>
        <v>5831</v>
      </c>
      <c r="G934">
        <f>MAX(Table8[Cumulative 2024])</f>
        <v>5831</v>
      </c>
      <c r="H934">
        <f>IF(YEAR(Table8[[#This Row],[Date]])=2025,B934,0)+IF(ROW(H933)=1,0,H933)</f>
        <v>1377</v>
      </c>
      <c r="I934">
        <f>MAX(Table8[Cumulative 2025])</f>
        <v>1377</v>
      </c>
      <c r="J934">
        <f>IF(YEAR(Table8[[#This Row],[Date]])=2026,B934,0)+IF(ROW(J933)=1,0,J933)</f>
        <v>1589</v>
      </c>
      <c r="K934">
        <f>MAX(Table8[Cumulative 2026])</f>
        <v>3102</v>
      </c>
    </row>
    <row r="935" spans="1:11" hidden="1" x14ac:dyDescent="0.25">
      <c r="A935" s="1">
        <v>46144</v>
      </c>
      <c r="B935">
        <f>SUM(_xlfn.CHOOSEROWS(Table8[[The Golden Compass]:[end]],ROW()-1))</f>
        <v>0</v>
      </c>
      <c r="C935">
        <f>Table8[[#This Row],[Cumulative 2023 Q4]]+Table8[[#This Row],[Cumulative 2024]]+Table8[[#This Row],[Cumulative 2025]]+Table8[[#This Row],[Cumulative 2026]]</f>
        <v>12992</v>
      </c>
      <c r="D935">
        <f>IF(YEAR(Table8[[#This Row],[Date]])=2023,B935,0)+IF(ROW(D934)=1,0,D934)</f>
        <v>4195</v>
      </c>
      <c r="E935">
        <f>MAX(Table8[Cumulative 2023 Q4])</f>
        <v>4195</v>
      </c>
      <c r="F935">
        <f>IF(YEAR(Table8[[#This Row],[Date]])=2024,B935,0)+IF(ROW(F934)=1,0,F934)</f>
        <v>5831</v>
      </c>
      <c r="G935">
        <f>MAX(Table8[Cumulative 2024])</f>
        <v>5831</v>
      </c>
      <c r="H935">
        <f>IF(YEAR(Table8[[#This Row],[Date]])=2025,B935,0)+IF(ROW(H934)=1,0,H934)</f>
        <v>1377</v>
      </c>
      <c r="I935">
        <f>MAX(Table8[Cumulative 2025])</f>
        <v>1377</v>
      </c>
      <c r="J935">
        <f>IF(YEAR(Table8[[#This Row],[Date]])=2026,B935,0)+IF(ROW(J934)=1,0,J934)</f>
        <v>1589</v>
      </c>
      <c r="K935">
        <f>MAX(Table8[Cumulative 2026])</f>
        <v>3102</v>
      </c>
    </row>
    <row r="936" spans="1:11" hidden="1" x14ac:dyDescent="0.25">
      <c r="A936" s="1">
        <v>46145</v>
      </c>
      <c r="B936">
        <f>SUM(_xlfn.CHOOSEROWS(Table8[[The Golden Compass]:[end]],ROW()-1))</f>
        <v>0</v>
      </c>
      <c r="C936">
        <f>Table8[[#This Row],[Cumulative 2023 Q4]]+Table8[[#This Row],[Cumulative 2024]]+Table8[[#This Row],[Cumulative 2025]]+Table8[[#This Row],[Cumulative 2026]]</f>
        <v>12992</v>
      </c>
      <c r="D936">
        <f>IF(YEAR(Table8[[#This Row],[Date]])=2023,B936,0)+IF(ROW(D935)=1,0,D935)</f>
        <v>4195</v>
      </c>
      <c r="E936">
        <f>MAX(Table8[Cumulative 2023 Q4])</f>
        <v>4195</v>
      </c>
      <c r="F936">
        <f>IF(YEAR(Table8[[#This Row],[Date]])=2024,B936,0)+IF(ROW(F935)=1,0,F935)</f>
        <v>5831</v>
      </c>
      <c r="G936">
        <f>MAX(Table8[Cumulative 2024])</f>
        <v>5831</v>
      </c>
      <c r="H936">
        <f>IF(YEAR(Table8[[#This Row],[Date]])=2025,B936,0)+IF(ROW(H935)=1,0,H935)</f>
        <v>1377</v>
      </c>
      <c r="I936">
        <f>MAX(Table8[Cumulative 2025])</f>
        <v>1377</v>
      </c>
      <c r="J936">
        <f>IF(YEAR(Table8[[#This Row],[Date]])=2026,B936,0)+IF(ROW(J935)=1,0,J935)</f>
        <v>1589</v>
      </c>
      <c r="K936">
        <f>MAX(Table8[Cumulative 2026])</f>
        <v>3102</v>
      </c>
    </row>
    <row r="937" spans="1:11" hidden="1" x14ac:dyDescent="0.25">
      <c r="A937" s="1">
        <v>46146</v>
      </c>
      <c r="B937">
        <f>SUM(_xlfn.CHOOSEROWS(Table8[[The Golden Compass]:[end]],ROW()-1))</f>
        <v>0</v>
      </c>
      <c r="C937">
        <f>Table8[[#This Row],[Cumulative 2023 Q4]]+Table8[[#This Row],[Cumulative 2024]]+Table8[[#This Row],[Cumulative 2025]]+Table8[[#This Row],[Cumulative 2026]]</f>
        <v>12992</v>
      </c>
      <c r="D937">
        <f>IF(YEAR(Table8[[#This Row],[Date]])=2023,B937,0)+IF(ROW(D936)=1,0,D936)</f>
        <v>4195</v>
      </c>
      <c r="E937">
        <f>MAX(Table8[Cumulative 2023 Q4])</f>
        <v>4195</v>
      </c>
      <c r="F937">
        <f>IF(YEAR(Table8[[#This Row],[Date]])=2024,B937,0)+IF(ROW(F936)=1,0,F936)</f>
        <v>5831</v>
      </c>
      <c r="G937">
        <f>MAX(Table8[Cumulative 2024])</f>
        <v>5831</v>
      </c>
      <c r="H937">
        <f>IF(YEAR(Table8[[#This Row],[Date]])=2025,B937,0)+IF(ROW(H936)=1,0,H936)</f>
        <v>1377</v>
      </c>
      <c r="I937">
        <f>MAX(Table8[Cumulative 2025])</f>
        <v>1377</v>
      </c>
      <c r="J937">
        <f>IF(YEAR(Table8[[#This Row],[Date]])=2026,B937,0)+IF(ROW(J936)=1,0,J936)</f>
        <v>1589</v>
      </c>
      <c r="K937">
        <f>MAX(Table8[Cumulative 2026])</f>
        <v>3102</v>
      </c>
    </row>
    <row r="938" spans="1:11" hidden="1" x14ac:dyDescent="0.25">
      <c r="A938" s="1">
        <v>46147</v>
      </c>
      <c r="B938">
        <f>SUM(_xlfn.CHOOSEROWS(Table8[[The Golden Compass]:[end]],ROW()-1))</f>
        <v>0</v>
      </c>
      <c r="C938">
        <f>Table8[[#This Row],[Cumulative 2023 Q4]]+Table8[[#This Row],[Cumulative 2024]]+Table8[[#This Row],[Cumulative 2025]]+Table8[[#This Row],[Cumulative 2026]]</f>
        <v>12992</v>
      </c>
      <c r="D938">
        <f>IF(YEAR(Table8[[#This Row],[Date]])=2023,B938,0)+IF(ROW(D937)=1,0,D937)</f>
        <v>4195</v>
      </c>
      <c r="E938">
        <f>MAX(Table8[Cumulative 2023 Q4])</f>
        <v>4195</v>
      </c>
      <c r="F938">
        <f>IF(YEAR(Table8[[#This Row],[Date]])=2024,B938,0)+IF(ROW(F937)=1,0,F937)</f>
        <v>5831</v>
      </c>
      <c r="G938">
        <f>MAX(Table8[Cumulative 2024])</f>
        <v>5831</v>
      </c>
      <c r="H938">
        <f>IF(YEAR(Table8[[#This Row],[Date]])=2025,B938,0)+IF(ROW(H937)=1,0,H937)</f>
        <v>1377</v>
      </c>
      <c r="I938">
        <f>MAX(Table8[Cumulative 2025])</f>
        <v>1377</v>
      </c>
      <c r="J938">
        <f>IF(YEAR(Table8[[#This Row],[Date]])=2026,B938,0)+IF(ROW(J937)=1,0,J937)</f>
        <v>1589</v>
      </c>
      <c r="K938">
        <f>MAX(Table8[Cumulative 2026])</f>
        <v>3102</v>
      </c>
    </row>
    <row r="939" spans="1:11" hidden="1" x14ac:dyDescent="0.25">
      <c r="A939" s="1">
        <v>46148</v>
      </c>
      <c r="B939">
        <f>SUM(_xlfn.CHOOSEROWS(Table8[[The Golden Compass]:[end]],ROW()-1))</f>
        <v>0</v>
      </c>
      <c r="C939">
        <f>Table8[[#This Row],[Cumulative 2023 Q4]]+Table8[[#This Row],[Cumulative 2024]]+Table8[[#This Row],[Cumulative 2025]]+Table8[[#This Row],[Cumulative 2026]]</f>
        <v>12992</v>
      </c>
      <c r="D939">
        <f>IF(YEAR(Table8[[#This Row],[Date]])=2023,B939,0)+IF(ROW(D938)=1,0,D938)</f>
        <v>4195</v>
      </c>
      <c r="E939">
        <f>MAX(Table8[Cumulative 2023 Q4])</f>
        <v>4195</v>
      </c>
      <c r="F939">
        <f>IF(YEAR(Table8[[#This Row],[Date]])=2024,B939,0)+IF(ROW(F938)=1,0,F938)</f>
        <v>5831</v>
      </c>
      <c r="G939">
        <f>MAX(Table8[Cumulative 2024])</f>
        <v>5831</v>
      </c>
      <c r="H939">
        <f>IF(YEAR(Table8[[#This Row],[Date]])=2025,B939,0)+IF(ROW(H938)=1,0,H938)</f>
        <v>1377</v>
      </c>
      <c r="I939">
        <f>MAX(Table8[Cumulative 2025])</f>
        <v>1377</v>
      </c>
      <c r="J939">
        <f>IF(YEAR(Table8[[#This Row],[Date]])=2026,B939,0)+IF(ROW(J938)=1,0,J938)</f>
        <v>1589</v>
      </c>
      <c r="K939">
        <f>MAX(Table8[Cumulative 2026])</f>
        <v>3102</v>
      </c>
    </row>
    <row r="940" spans="1:11" hidden="1" x14ac:dyDescent="0.25">
      <c r="A940" s="1">
        <v>46149</v>
      </c>
      <c r="B940">
        <f>SUM(_xlfn.CHOOSEROWS(Table8[[The Golden Compass]:[end]],ROW()-1))</f>
        <v>0</v>
      </c>
      <c r="C940">
        <f>Table8[[#This Row],[Cumulative 2023 Q4]]+Table8[[#This Row],[Cumulative 2024]]+Table8[[#This Row],[Cumulative 2025]]+Table8[[#This Row],[Cumulative 2026]]</f>
        <v>12992</v>
      </c>
      <c r="D940">
        <f>IF(YEAR(Table8[[#This Row],[Date]])=2023,B940,0)+IF(ROW(D939)=1,0,D939)</f>
        <v>4195</v>
      </c>
      <c r="E940">
        <f>MAX(Table8[Cumulative 2023 Q4])</f>
        <v>4195</v>
      </c>
      <c r="F940">
        <f>IF(YEAR(Table8[[#This Row],[Date]])=2024,B940,0)+IF(ROW(F939)=1,0,F939)</f>
        <v>5831</v>
      </c>
      <c r="G940">
        <f>MAX(Table8[Cumulative 2024])</f>
        <v>5831</v>
      </c>
      <c r="H940">
        <f>IF(YEAR(Table8[[#This Row],[Date]])=2025,B940,0)+IF(ROW(H939)=1,0,H939)</f>
        <v>1377</v>
      </c>
      <c r="I940">
        <f>MAX(Table8[Cumulative 2025])</f>
        <v>1377</v>
      </c>
      <c r="J940">
        <f>IF(YEAR(Table8[[#This Row],[Date]])=2026,B940,0)+IF(ROW(J939)=1,0,J939)</f>
        <v>1589</v>
      </c>
      <c r="K940">
        <f>MAX(Table8[Cumulative 2026])</f>
        <v>3102</v>
      </c>
    </row>
    <row r="941" spans="1:11" hidden="1" x14ac:dyDescent="0.25">
      <c r="A941" s="1">
        <v>46150</v>
      </c>
      <c r="B941">
        <f>SUM(_xlfn.CHOOSEROWS(Table8[[The Golden Compass]:[end]],ROW()-1))</f>
        <v>0</v>
      </c>
      <c r="C941">
        <f>Table8[[#This Row],[Cumulative 2023 Q4]]+Table8[[#This Row],[Cumulative 2024]]+Table8[[#This Row],[Cumulative 2025]]+Table8[[#This Row],[Cumulative 2026]]</f>
        <v>12992</v>
      </c>
      <c r="D941">
        <f>IF(YEAR(Table8[[#This Row],[Date]])=2023,B941,0)+IF(ROW(D940)=1,0,D940)</f>
        <v>4195</v>
      </c>
      <c r="E941">
        <f>MAX(Table8[Cumulative 2023 Q4])</f>
        <v>4195</v>
      </c>
      <c r="F941">
        <f>IF(YEAR(Table8[[#This Row],[Date]])=2024,B941,0)+IF(ROW(F940)=1,0,F940)</f>
        <v>5831</v>
      </c>
      <c r="G941">
        <f>MAX(Table8[Cumulative 2024])</f>
        <v>5831</v>
      </c>
      <c r="H941">
        <f>IF(YEAR(Table8[[#This Row],[Date]])=2025,B941,0)+IF(ROW(H940)=1,0,H940)</f>
        <v>1377</v>
      </c>
      <c r="I941">
        <f>MAX(Table8[Cumulative 2025])</f>
        <v>1377</v>
      </c>
      <c r="J941">
        <f>IF(YEAR(Table8[[#This Row],[Date]])=2026,B941,0)+IF(ROW(J940)=1,0,J940)</f>
        <v>1589</v>
      </c>
      <c r="K941">
        <f>MAX(Table8[Cumulative 2026])</f>
        <v>3102</v>
      </c>
    </row>
    <row r="942" spans="1:11" hidden="1" x14ac:dyDescent="0.25">
      <c r="A942" s="1">
        <v>46151</v>
      </c>
      <c r="B942">
        <f>SUM(_xlfn.CHOOSEROWS(Table8[[The Golden Compass]:[end]],ROW()-1))</f>
        <v>0</v>
      </c>
      <c r="C942">
        <f>Table8[[#This Row],[Cumulative 2023 Q4]]+Table8[[#This Row],[Cumulative 2024]]+Table8[[#This Row],[Cumulative 2025]]+Table8[[#This Row],[Cumulative 2026]]</f>
        <v>12992</v>
      </c>
      <c r="D942">
        <f>IF(YEAR(Table8[[#This Row],[Date]])=2023,B942,0)+IF(ROW(D941)=1,0,D941)</f>
        <v>4195</v>
      </c>
      <c r="E942">
        <f>MAX(Table8[Cumulative 2023 Q4])</f>
        <v>4195</v>
      </c>
      <c r="F942">
        <f>IF(YEAR(Table8[[#This Row],[Date]])=2024,B942,0)+IF(ROW(F941)=1,0,F941)</f>
        <v>5831</v>
      </c>
      <c r="G942">
        <f>MAX(Table8[Cumulative 2024])</f>
        <v>5831</v>
      </c>
      <c r="H942">
        <f>IF(YEAR(Table8[[#This Row],[Date]])=2025,B942,0)+IF(ROW(H941)=1,0,H941)</f>
        <v>1377</v>
      </c>
      <c r="I942">
        <f>MAX(Table8[Cumulative 2025])</f>
        <v>1377</v>
      </c>
      <c r="J942">
        <f>IF(YEAR(Table8[[#This Row],[Date]])=2026,B942,0)+IF(ROW(J941)=1,0,J941)</f>
        <v>1589</v>
      </c>
      <c r="K942">
        <f>MAX(Table8[Cumulative 2026])</f>
        <v>3102</v>
      </c>
    </row>
    <row r="943" spans="1:11" hidden="1" x14ac:dyDescent="0.25">
      <c r="A943" s="1">
        <v>46152</v>
      </c>
      <c r="B943">
        <f>SUM(_xlfn.CHOOSEROWS(Table8[[The Golden Compass]:[end]],ROW()-1))</f>
        <v>0</v>
      </c>
      <c r="C943">
        <f>Table8[[#This Row],[Cumulative 2023 Q4]]+Table8[[#This Row],[Cumulative 2024]]+Table8[[#This Row],[Cumulative 2025]]+Table8[[#This Row],[Cumulative 2026]]</f>
        <v>12992</v>
      </c>
      <c r="D943">
        <f>IF(YEAR(Table8[[#This Row],[Date]])=2023,B943,0)+IF(ROW(D942)=1,0,D942)</f>
        <v>4195</v>
      </c>
      <c r="E943">
        <f>MAX(Table8[Cumulative 2023 Q4])</f>
        <v>4195</v>
      </c>
      <c r="F943">
        <f>IF(YEAR(Table8[[#This Row],[Date]])=2024,B943,0)+IF(ROW(F942)=1,0,F942)</f>
        <v>5831</v>
      </c>
      <c r="G943">
        <f>MAX(Table8[Cumulative 2024])</f>
        <v>5831</v>
      </c>
      <c r="H943">
        <f>IF(YEAR(Table8[[#This Row],[Date]])=2025,B943,0)+IF(ROW(H942)=1,0,H942)</f>
        <v>1377</v>
      </c>
      <c r="I943">
        <f>MAX(Table8[Cumulative 2025])</f>
        <v>1377</v>
      </c>
      <c r="J943">
        <f>IF(YEAR(Table8[[#This Row],[Date]])=2026,B943,0)+IF(ROW(J942)=1,0,J942)</f>
        <v>1589</v>
      </c>
      <c r="K943">
        <f>MAX(Table8[Cumulative 2026])</f>
        <v>3102</v>
      </c>
    </row>
    <row r="944" spans="1:11" hidden="1" x14ac:dyDescent="0.25">
      <c r="A944" s="1">
        <v>46153</v>
      </c>
      <c r="B944">
        <f>SUM(_xlfn.CHOOSEROWS(Table8[[The Golden Compass]:[end]],ROW()-1))</f>
        <v>0</v>
      </c>
      <c r="C944">
        <f>Table8[[#This Row],[Cumulative 2023 Q4]]+Table8[[#This Row],[Cumulative 2024]]+Table8[[#This Row],[Cumulative 2025]]+Table8[[#This Row],[Cumulative 2026]]</f>
        <v>12992</v>
      </c>
      <c r="D944">
        <f>IF(YEAR(Table8[[#This Row],[Date]])=2023,B944,0)+IF(ROW(D943)=1,0,D943)</f>
        <v>4195</v>
      </c>
      <c r="E944">
        <f>MAX(Table8[Cumulative 2023 Q4])</f>
        <v>4195</v>
      </c>
      <c r="F944">
        <f>IF(YEAR(Table8[[#This Row],[Date]])=2024,B944,0)+IF(ROW(F943)=1,0,F943)</f>
        <v>5831</v>
      </c>
      <c r="G944">
        <f>MAX(Table8[Cumulative 2024])</f>
        <v>5831</v>
      </c>
      <c r="H944">
        <f>IF(YEAR(Table8[[#This Row],[Date]])=2025,B944,0)+IF(ROW(H943)=1,0,H943)</f>
        <v>1377</v>
      </c>
      <c r="I944">
        <f>MAX(Table8[Cumulative 2025])</f>
        <v>1377</v>
      </c>
      <c r="J944">
        <f>IF(YEAR(Table8[[#This Row],[Date]])=2026,B944,0)+IF(ROW(J943)=1,0,J943)</f>
        <v>1589</v>
      </c>
      <c r="K944">
        <f>MAX(Table8[Cumulative 2026])</f>
        <v>3102</v>
      </c>
    </row>
    <row r="945" spans="1:11" hidden="1" x14ac:dyDescent="0.25">
      <c r="A945" s="1">
        <v>46154</v>
      </c>
      <c r="B945">
        <f>SUM(_xlfn.CHOOSEROWS(Table8[[The Golden Compass]:[end]],ROW()-1))</f>
        <v>0</v>
      </c>
      <c r="C945">
        <f>Table8[[#This Row],[Cumulative 2023 Q4]]+Table8[[#This Row],[Cumulative 2024]]+Table8[[#This Row],[Cumulative 2025]]+Table8[[#This Row],[Cumulative 2026]]</f>
        <v>12992</v>
      </c>
      <c r="D945">
        <f>IF(YEAR(Table8[[#This Row],[Date]])=2023,B945,0)+IF(ROW(D944)=1,0,D944)</f>
        <v>4195</v>
      </c>
      <c r="E945">
        <f>MAX(Table8[Cumulative 2023 Q4])</f>
        <v>4195</v>
      </c>
      <c r="F945">
        <f>IF(YEAR(Table8[[#This Row],[Date]])=2024,B945,0)+IF(ROW(F944)=1,0,F944)</f>
        <v>5831</v>
      </c>
      <c r="G945">
        <f>MAX(Table8[Cumulative 2024])</f>
        <v>5831</v>
      </c>
      <c r="H945">
        <f>IF(YEAR(Table8[[#This Row],[Date]])=2025,B945,0)+IF(ROW(H944)=1,0,H944)</f>
        <v>1377</v>
      </c>
      <c r="I945">
        <f>MAX(Table8[Cumulative 2025])</f>
        <v>1377</v>
      </c>
      <c r="J945">
        <f>IF(YEAR(Table8[[#This Row],[Date]])=2026,B945,0)+IF(ROW(J944)=1,0,J944)</f>
        <v>1589</v>
      </c>
      <c r="K945">
        <f>MAX(Table8[Cumulative 2026])</f>
        <v>3102</v>
      </c>
    </row>
    <row r="946" spans="1:11" hidden="1" x14ac:dyDescent="0.25">
      <c r="A946" s="1">
        <v>46155</v>
      </c>
      <c r="B946">
        <f>SUM(_xlfn.CHOOSEROWS(Table8[[The Golden Compass]:[end]],ROW()-1))</f>
        <v>0</v>
      </c>
      <c r="C946">
        <f>Table8[[#This Row],[Cumulative 2023 Q4]]+Table8[[#This Row],[Cumulative 2024]]+Table8[[#This Row],[Cumulative 2025]]+Table8[[#This Row],[Cumulative 2026]]</f>
        <v>12992</v>
      </c>
      <c r="D946">
        <f>IF(YEAR(Table8[[#This Row],[Date]])=2023,B946,0)+IF(ROW(D945)=1,0,D945)</f>
        <v>4195</v>
      </c>
      <c r="E946">
        <f>MAX(Table8[Cumulative 2023 Q4])</f>
        <v>4195</v>
      </c>
      <c r="F946">
        <f>IF(YEAR(Table8[[#This Row],[Date]])=2024,B946,0)+IF(ROW(F945)=1,0,F945)</f>
        <v>5831</v>
      </c>
      <c r="G946">
        <f>MAX(Table8[Cumulative 2024])</f>
        <v>5831</v>
      </c>
      <c r="H946">
        <f>IF(YEAR(Table8[[#This Row],[Date]])=2025,B946,0)+IF(ROW(H945)=1,0,H945)</f>
        <v>1377</v>
      </c>
      <c r="I946">
        <f>MAX(Table8[Cumulative 2025])</f>
        <v>1377</v>
      </c>
      <c r="J946">
        <f>IF(YEAR(Table8[[#This Row],[Date]])=2026,B946,0)+IF(ROW(J945)=1,0,J945)</f>
        <v>1589</v>
      </c>
      <c r="K946">
        <f>MAX(Table8[Cumulative 2026])</f>
        <v>3102</v>
      </c>
    </row>
    <row r="947" spans="1:11" hidden="1" x14ac:dyDescent="0.25">
      <c r="A947" s="1">
        <v>46156</v>
      </c>
      <c r="B947">
        <f>SUM(_xlfn.CHOOSEROWS(Table8[[The Golden Compass]:[end]],ROW()-1))</f>
        <v>0</v>
      </c>
      <c r="C947">
        <f>Table8[[#This Row],[Cumulative 2023 Q4]]+Table8[[#This Row],[Cumulative 2024]]+Table8[[#This Row],[Cumulative 2025]]+Table8[[#This Row],[Cumulative 2026]]</f>
        <v>12992</v>
      </c>
      <c r="D947">
        <f>IF(YEAR(Table8[[#This Row],[Date]])=2023,B947,0)+IF(ROW(D946)=1,0,D946)</f>
        <v>4195</v>
      </c>
      <c r="E947">
        <f>MAX(Table8[Cumulative 2023 Q4])</f>
        <v>4195</v>
      </c>
      <c r="F947">
        <f>IF(YEAR(Table8[[#This Row],[Date]])=2024,B947,0)+IF(ROW(F946)=1,0,F946)</f>
        <v>5831</v>
      </c>
      <c r="G947">
        <f>MAX(Table8[Cumulative 2024])</f>
        <v>5831</v>
      </c>
      <c r="H947">
        <f>IF(YEAR(Table8[[#This Row],[Date]])=2025,B947,0)+IF(ROW(H946)=1,0,H946)</f>
        <v>1377</v>
      </c>
      <c r="I947">
        <f>MAX(Table8[Cumulative 2025])</f>
        <v>1377</v>
      </c>
      <c r="J947">
        <f>IF(YEAR(Table8[[#This Row],[Date]])=2026,B947,0)+IF(ROW(J946)=1,0,J946)</f>
        <v>1589</v>
      </c>
      <c r="K947">
        <f>MAX(Table8[Cumulative 2026])</f>
        <v>3102</v>
      </c>
    </row>
    <row r="948" spans="1:11" hidden="1" x14ac:dyDescent="0.25">
      <c r="A948" s="1">
        <v>46157</v>
      </c>
      <c r="B948">
        <f>SUM(_xlfn.CHOOSEROWS(Table8[[The Golden Compass]:[end]],ROW()-1))</f>
        <v>0</v>
      </c>
      <c r="C948">
        <f>Table8[[#This Row],[Cumulative 2023 Q4]]+Table8[[#This Row],[Cumulative 2024]]+Table8[[#This Row],[Cumulative 2025]]+Table8[[#This Row],[Cumulative 2026]]</f>
        <v>12992</v>
      </c>
      <c r="D948">
        <f>IF(YEAR(Table8[[#This Row],[Date]])=2023,B948,0)+IF(ROW(D947)=1,0,D947)</f>
        <v>4195</v>
      </c>
      <c r="E948">
        <f>MAX(Table8[Cumulative 2023 Q4])</f>
        <v>4195</v>
      </c>
      <c r="F948">
        <f>IF(YEAR(Table8[[#This Row],[Date]])=2024,B948,0)+IF(ROW(F947)=1,0,F947)</f>
        <v>5831</v>
      </c>
      <c r="G948">
        <f>MAX(Table8[Cumulative 2024])</f>
        <v>5831</v>
      </c>
      <c r="H948">
        <f>IF(YEAR(Table8[[#This Row],[Date]])=2025,B948,0)+IF(ROW(H947)=1,0,H947)</f>
        <v>1377</v>
      </c>
      <c r="I948">
        <f>MAX(Table8[Cumulative 2025])</f>
        <v>1377</v>
      </c>
      <c r="J948">
        <f>IF(YEAR(Table8[[#This Row],[Date]])=2026,B948,0)+IF(ROW(J947)=1,0,J947)</f>
        <v>1589</v>
      </c>
      <c r="K948">
        <f>MAX(Table8[Cumulative 2026])</f>
        <v>3102</v>
      </c>
    </row>
    <row r="949" spans="1:11" hidden="1" x14ac:dyDescent="0.25">
      <c r="A949" s="1">
        <v>46158</v>
      </c>
      <c r="B949">
        <f>SUM(_xlfn.CHOOSEROWS(Table8[[The Golden Compass]:[end]],ROW()-1))</f>
        <v>0</v>
      </c>
      <c r="C949">
        <f>Table8[[#This Row],[Cumulative 2023 Q4]]+Table8[[#This Row],[Cumulative 2024]]+Table8[[#This Row],[Cumulative 2025]]+Table8[[#This Row],[Cumulative 2026]]</f>
        <v>12992</v>
      </c>
      <c r="D949">
        <f>IF(YEAR(Table8[[#This Row],[Date]])=2023,B949,0)+IF(ROW(D948)=1,0,D948)</f>
        <v>4195</v>
      </c>
      <c r="E949">
        <f>MAX(Table8[Cumulative 2023 Q4])</f>
        <v>4195</v>
      </c>
      <c r="F949">
        <f>IF(YEAR(Table8[[#This Row],[Date]])=2024,B949,0)+IF(ROW(F948)=1,0,F948)</f>
        <v>5831</v>
      </c>
      <c r="G949">
        <f>MAX(Table8[Cumulative 2024])</f>
        <v>5831</v>
      </c>
      <c r="H949">
        <f>IF(YEAR(Table8[[#This Row],[Date]])=2025,B949,0)+IF(ROW(H948)=1,0,H948)</f>
        <v>1377</v>
      </c>
      <c r="I949">
        <f>MAX(Table8[Cumulative 2025])</f>
        <v>1377</v>
      </c>
      <c r="J949">
        <f>IF(YEAR(Table8[[#This Row],[Date]])=2026,B949,0)+IF(ROW(J948)=1,0,J948)</f>
        <v>1589</v>
      </c>
      <c r="K949">
        <f>MAX(Table8[Cumulative 2026])</f>
        <v>3102</v>
      </c>
    </row>
    <row r="950" spans="1:11" hidden="1" x14ac:dyDescent="0.25">
      <c r="A950" s="1">
        <v>46159</v>
      </c>
      <c r="B950">
        <f>SUM(_xlfn.CHOOSEROWS(Table8[[The Golden Compass]:[end]],ROW()-1))</f>
        <v>0</v>
      </c>
      <c r="C950">
        <f>Table8[[#This Row],[Cumulative 2023 Q4]]+Table8[[#This Row],[Cumulative 2024]]+Table8[[#This Row],[Cumulative 2025]]+Table8[[#This Row],[Cumulative 2026]]</f>
        <v>12992</v>
      </c>
      <c r="D950">
        <f>IF(YEAR(Table8[[#This Row],[Date]])=2023,B950,0)+IF(ROW(D949)=1,0,D949)</f>
        <v>4195</v>
      </c>
      <c r="E950">
        <f>MAX(Table8[Cumulative 2023 Q4])</f>
        <v>4195</v>
      </c>
      <c r="F950">
        <f>IF(YEAR(Table8[[#This Row],[Date]])=2024,B950,0)+IF(ROW(F949)=1,0,F949)</f>
        <v>5831</v>
      </c>
      <c r="G950">
        <f>MAX(Table8[Cumulative 2024])</f>
        <v>5831</v>
      </c>
      <c r="H950">
        <f>IF(YEAR(Table8[[#This Row],[Date]])=2025,B950,0)+IF(ROW(H949)=1,0,H949)</f>
        <v>1377</v>
      </c>
      <c r="I950">
        <f>MAX(Table8[Cumulative 2025])</f>
        <v>1377</v>
      </c>
      <c r="J950">
        <f>IF(YEAR(Table8[[#This Row],[Date]])=2026,B950,0)+IF(ROW(J949)=1,0,J949)</f>
        <v>1589</v>
      </c>
      <c r="K950">
        <f>MAX(Table8[Cumulative 2026])</f>
        <v>3102</v>
      </c>
    </row>
    <row r="951" spans="1:11" hidden="1" x14ac:dyDescent="0.25">
      <c r="A951" s="1">
        <v>46160</v>
      </c>
      <c r="B951">
        <f>SUM(_xlfn.CHOOSEROWS(Table8[[The Golden Compass]:[end]],ROW()-1))</f>
        <v>0</v>
      </c>
      <c r="C951">
        <f>Table8[[#This Row],[Cumulative 2023 Q4]]+Table8[[#This Row],[Cumulative 2024]]+Table8[[#This Row],[Cumulative 2025]]+Table8[[#This Row],[Cumulative 2026]]</f>
        <v>12992</v>
      </c>
      <c r="D951">
        <f>IF(YEAR(Table8[[#This Row],[Date]])=2023,B951,0)+IF(ROW(D950)=1,0,D950)</f>
        <v>4195</v>
      </c>
      <c r="E951">
        <f>MAX(Table8[Cumulative 2023 Q4])</f>
        <v>4195</v>
      </c>
      <c r="F951">
        <f>IF(YEAR(Table8[[#This Row],[Date]])=2024,B951,0)+IF(ROW(F950)=1,0,F950)</f>
        <v>5831</v>
      </c>
      <c r="G951">
        <f>MAX(Table8[Cumulative 2024])</f>
        <v>5831</v>
      </c>
      <c r="H951">
        <f>IF(YEAR(Table8[[#This Row],[Date]])=2025,B951,0)+IF(ROW(H950)=1,0,H950)</f>
        <v>1377</v>
      </c>
      <c r="I951">
        <f>MAX(Table8[Cumulative 2025])</f>
        <v>1377</v>
      </c>
      <c r="J951">
        <f>IF(YEAR(Table8[[#This Row],[Date]])=2026,B951,0)+IF(ROW(J950)=1,0,J950)</f>
        <v>1589</v>
      </c>
      <c r="K951">
        <f>MAX(Table8[Cumulative 2026])</f>
        <v>3102</v>
      </c>
    </row>
    <row r="952" spans="1:11" hidden="1" x14ac:dyDescent="0.25">
      <c r="A952" s="1">
        <v>46161</v>
      </c>
      <c r="B952">
        <f>SUM(_xlfn.CHOOSEROWS(Table8[[The Golden Compass]:[end]],ROW()-1))</f>
        <v>0</v>
      </c>
      <c r="C952">
        <f>Table8[[#This Row],[Cumulative 2023 Q4]]+Table8[[#This Row],[Cumulative 2024]]+Table8[[#This Row],[Cumulative 2025]]+Table8[[#This Row],[Cumulative 2026]]</f>
        <v>12992</v>
      </c>
      <c r="D952">
        <f>IF(YEAR(Table8[[#This Row],[Date]])=2023,B952,0)+IF(ROW(D951)=1,0,D951)</f>
        <v>4195</v>
      </c>
      <c r="E952">
        <f>MAX(Table8[Cumulative 2023 Q4])</f>
        <v>4195</v>
      </c>
      <c r="F952">
        <f>IF(YEAR(Table8[[#This Row],[Date]])=2024,B952,0)+IF(ROW(F951)=1,0,F951)</f>
        <v>5831</v>
      </c>
      <c r="G952">
        <f>MAX(Table8[Cumulative 2024])</f>
        <v>5831</v>
      </c>
      <c r="H952">
        <f>IF(YEAR(Table8[[#This Row],[Date]])=2025,B952,0)+IF(ROW(H951)=1,0,H951)</f>
        <v>1377</v>
      </c>
      <c r="I952">
        <f>MAX(Table8[Cumulative 2025])</f>
        <v>1377</v>
      </c>
      <c r="J952">
        <f>IF(YEAR(Table8[[#This Row],[Date]])=2026,B952,0)+IF(ROW(J951)=1,0,J951)</f>
        <v>1589</v>
      </c>
      <c r="K952">
        <f>MAX(Table8[Cumulative 2026])</f>
        <v>3102</v>
      </c>
    </row>
    <row r="953" spans="1:11" hidden="1" x14ac:dyDescent="0.25">
      <c r="A953" s="1">
        <v>46162</v>
      </c>
      <c r="B953">
        <f>SUM(_xlfn.CHOOSEROWS(Table8[[The Golden Compass]:[end]],ROW()-1))</f>
        <v>0</v>
      </c>
      <c r="C953">
        <f>Table8[[#This Row],[Cumulative 2023 Q4]]+Table8[[#This Row],[Cumulative 2024]]+Table8[[#This Row],[Cumulative 2025]]+Table8[[#This Row],[Cumulative 2026]]</f>
        <v>12992</v>
      </c>
      <c r="D953">
        <f>IF(YEAR(Table8[[#This Row],[Date]])=2023,B953,0)+IF(ROW(D952)=1,0,D952)</f>
        <v>4195</v>
      </c>
      <c r="E953">
        <f>MAX(Table8[Cumulative 2023 Q4])</f>
        <v>4195</v>
      </c>
      <c r="F953">
        <f>IF(YEAR(Table8[[#This Row],[Date]])=2024,B953,0)+IF(ROW(F952)=1,0,F952)</f>
        <v>5831</v>
      </c>
      <c r="G953">
        <f>MAX(Table8[Cumulative 2024])</f>
        <v>5831</v>
      </c>
      <c r="H953">
        <f>IF(YEAR(Table8[[#This Row],[Date]])=2025,B953,0)+IF(ROW(H952)=1,0,H952)</f>
        <v>1377</v>
      </c>
      <c r="I953">
        <f>MAX(Table8[Cumulative 2025])</f>
        <v>1377</v>
      </c>
      <c r="J953">
        <f>IF(YEAR(Table8[[#This Row],[Date]])=2026,B953,0)+IF(ROW(J952)=1,0,J952)</f>
        <v>1589</v>
      </c>
      <c r="K953">
        <f>MAX(Table8[Cumulative 2026])</f>
        <v>3102</v>
      </c>
    </row>
    <row r="954" spans="1:11" hidden="1" x14ac:dyDescent="0.25">
      <c r="A954" s="1">
        <v>46163</v>
      </c>
      <c r="B954">
        <f>SUM(_xlfn.CHOOSEROWS(Table8[[The Golden Compass]:[end]],ROW()-1))</f>
        <v>0</v>
      </c>
      <c r="C954">
        <f>Table8[[#This Row],[Cumulative 2023 Q4]]+Table8[[#This Row],[Cumulative 2024]]+Table8[[#This Row],[Cumulative 2025]]+Table8[[#This Row],[Cumulative 2026]]</f>
        <v>12992</v>
      </c>
      <c r="D954">
        <f>IF(YEAR(Table8[[#This Row],[Date]])=2023,B954,0)+IF(ROW(D953)=1,0,D953)</f>
        <v>4195</v>
      </c>
      <c r="E954">
        <f>MAX(Table8[Cumulative 2023 Q4])</f>
        <v>4195</v>
      </c>
      <c r="F954">
        <f>IF(YEAR(Table8[[#This Row],[Date]])=2024,B954,0)+IF(ROW(F953)=1,0,F953)</f>
        <v>5831</v>
      </c>
      <c r="G954">
        <f>MAX(Table8[Cumulative 2024])</f>
        <v>5831</v>
      </c>
      <c r="H954">
        <f>IF(YEAR(Table8[[#This Row],[Date]])=2025,B954,0)+IF(ROW(H953)=1,0,H953)</f>
        <v>1377</v>
      </c>
      <c r="I954">
        <f>MAX(Table8[Cumulative 2025])</f>
        <v>1377</v>
      </c>
      <c r="J954">
        <f>IF(YEAR(Table8[[#This Row],[Date]])=2026,B954,0)+IF(ROW(J953)=1,0,J953)</f>
        <v>1589</v>
      </c>
      <c r="K954">
        <f>MAX(Table8[Cumulative 2026])</f>
        <v>3102</v>
      </c>
    </row>
    <row r="955" spans="1:11" hidden="1" x14ac:dyDescent="0.25">
      <c r="A955" s="1">
        <v>46164</v>
      </c>
      <c r="B955">
        <f>SUM(_xlfn.CHOOSEROWS(Table8[[The Golden Compass]:[end]],ROW()-1))</f>
        <v>0</v>
      </c>
      <c r="C955">
        <f>Table8[[#This Row],[Cumulative 2023 Q4]]+Table8[[#This Row],[Cumulative 2024]]+Table8[[#This Row],[Cumulative 2025]]+Table8[[#This Row],[Cumulative 2026]]</f>
        <v>12992</v>
      </c>
      <c r="D955">
        <f>IF(YEAR(Table8[[#This Row],[Date]])=2023,B955,0)+IF(ROW(D954)=1,0,D954)</f>
        <v>4195</v>
      </c>
      <c r="E955">
        <f>MAX(Table8[Cumulative 2023 Q4])</f>
        <v>4195</v>
      </c>
      <c r="F955">
        <f>IF(YEAR(Table8[[#This Row],[Date]])=2024,B955,0)+IF(ROW(F954)=1,0,F954)</f>
        <v>5831</v>
      </c>
      <c r="G955">
        <f>MAX(Table8[Cumulative 2024])</f>
        <v>5831</v>
      </c>
      <c r="H955">
        <f>IF(YEAR(Table8[[#This Row],[Date]])=2025,B955,0)+IF(ROW(H954)=1,0,H954)</f>
        <v>1377</v>
      </c>
      <c r="I955">
        <f>MAX(Table8[Cumulative 2025])</f>
        <v>1377</v>
      </c>
      <c r="J955">
        <f>IF(YEAR(Table8[[#This Row],[Date]])=2026,B955,0)+IF(ROW(J954)=1,0,J954)</f>
        <v>1589</v>
      </c>
      <c r="K955">
        <f>MAX(Table8[Cumulative 2026])</f>
        <v>3102</v>
      </c>
    </row>
    <row r="956" spans="1:11" hidden="1" x14ac:dyDescent="0.25">
      <c r="A956" s="1">
        <v>46165</v>
      </c>
      <c r="B956">
        <f>SUM(_xlfn.CHOOSEROWS(Table8[[The Golden Compass]:[end]],ROW()-1))</f>
        <v>0</v>
      </c>
      <c r="C956">
        <f>Table8[[#This Row],[Cumulative 2023 Q4]]+Table8[[#This Row],[Cumulative 2024]]+Table8[[#This Row],[Cumulative 2025]]+Table8[[#This Row],[Cumulative 2026]]</f>
        <v>12992</v>
      </c>
      <c r="D956">
        <f>IF(YEAR(Table8[[#This Row],[Date]])=2023,B956,0)+IF(ROW(D955)=1,0,D955)</f>
        <v>4195</v>
      </c>
      <c r="E956">
        <f>MAX(Table8[Cumulative 2023 Q4])</f>
        <v>4195</v>
      </c>
      <c r="F956">
        <f>IF(YEAR(Table8[[#This Row],[Date]])=2024,B956,0)+IF(ROW(F955)=1,0,F955)</f>
        <v>5831</v>
      </c>
      <c r="G956">
        <f>MAX(Table8[Cumulative 2024])</f>
        <v>5831</v>
      </c>
      <c r="H956">
        <f>IF(YEAR(Table8[[#This Row],[Date]])=2025,B956,0)+IF(ROW(H955)=1,0,H955)</f>
        <v>1377</v>
      </c>
      <c r="I956">
        <f>MAX(Table8[Cumulative 2025])</f>
        <v>1377</v>
      </c>
      <c r="J956">
        <f>IF(YEAR(Table8[[#This Row],[Date]])=2026,B956,0)+IF(ROW(J955)=1,0,J955)</f>
        <v>1589</v>
      </c>
      <c r="K956">
        <f>MAX(Table8[Cumulative 2026])</f>
        <v>3102</v>
      </c>
    </row>
    <row r="957" spans="1:11" hidden="1" x14ac:dyDescent="0.25">
      <c r="A957" s="1">
        <v>46166</v>
      </c>
      <c r="B957">
        <f>SUM(_xlfn.CHOOSEROWS(Table8[[The Golden Compass]:[end]],ROW()-1))</f>
        <v>0</v>
      </c>
      <c r="C957">
        <f>Table8[[#This Row],[Cumulative 2023 Q4]]+Table8[[#This Row],[Cumulative 2024]]+Table8[[#This Row],[Cumulative 2025]]+Table8[[#This Row],[Cumulative 2026]]</f>
        <v>12992</v>
      </c>
      <c r="D957">
        <f>IF(YEAR(Table8[[#This Row],[Date]])=2023,B957,0)+IF(ROW(D956)=1,0,D956)</f>
        <v>4195</v>
      </c>
      <c r="E957">
        <f>MAX(Table8[Cumulative 2023 Q4])</f>
        <v>4195</v>
      </c>
      <c r="F957">
        <f>IF(YEAR(Table8[[#This Row],[Date]])=2024,B957,0)+IF(ROW(F956)=1,0,F956)</f>
        <v>5831</v>
      </c>
      <c r="G957">
        <f>MAX(Table8[Cumulative 2024])</f>
        <v>5831</v>
      </c>
      <c r="H957">
        <f>IF(YEAR(Table8[[#This Row],[Date]])=2025,B957,0)+IF(ROW(H956)=1,0,H956)</f>
        <v>1377</v>
      </c>
      <c r="I957">
        <f>MAX(Table8[Cumulative 2025])</f>
        <v>1377</v>
      </c>
      <c r="J957">
        <f>IF(YEAR(Table8[[#This Row],[Date]])=2026,B957,0)+IF(ROW(J956)=1,0,J956)</f>
        <v>1589</v>
      </c>
      <c r="K957">
        <f>MAX(Table8[Cumulative 2026])</f>
        <v>3102</v>
      </c>
    </row>
    <row r="958" spans="1:11" hidden="1" x14ac:dyDescent="0.25">
      <c r="A958" s="1">
        <v>46167</v>
      </c>
      <c r="B958">
        <f>SUM(_xlfn.CHOOSEROWS(Table8[[The Golden Compass]:[end]],ROW()-1))</f>
        <v>0</v>
      </c>
      <c r="C958">
        <f>Table8[[#This Row],[Cumulative 2023 Q4]]+Table8[[#This Row],[Cumulative 2024]]+Table8[[#This Row],[Cumulative 2025]]+Table8[[#This Row],[Cumulative 2026]]</f>
        <v>12992</v>
      </c>
      <c r="D958">
        <f>IF(YEAR(Table8[[#This Row],[Date]])=2023,B958,0)+IF(ROW(D957)=1,0,D957)</f>
        <v>4195</v>
      </c>
      <c r="E958">
        <f>MAX(Table8[Cumulative 2023 Q4])</f>
        <v>4195</v>
      </c>
      <c r="F958">
        <f>IF(YEAR(Table8[[#This Row],[Date]])=2024,B958,0)+IF(ROW(F957)=1,0,F957)</f>
        <v>5831</v>
      </c>
      <c r="G958">
        <f>MAX(Table8[Cumulative 2024])</f>
        <v>5831</v>
      </c>
      <c r="H958">
        <f>IF(YEAR(Table8[[#This Row],[Date]])=2025,B958,0)+IF(ROW(H957)=1,0,H957)</f>
        <v>1377</v>
      </c>
      <c r="I958">
        <f>MAX(Table8[Cumulative 2025])</f>
        <v>1377</v>
      </c>
      <c r="J958">
        <f>IF(YEAR(Table8[[#This Row],[Date]])=2026,B958,0)+IF(ROW(J957)=1,0,J957)</f>
        <v>1589</v>
      </c>
      <c r="K958">
        <f>MAX(Table8[Cumulative 2026])</f>
        <v>3102</v>
      </c>
    </row>
    <row r="959" spans="1:11" hidden="1" x14ac:dyDescent="0.25">
      <c r="A959" s="1">
        <v>46168</v>
      </c>
      <c r="B959">
        <f>SUM(_xlfn.CHOOSEROWS(Table8[[The Golden Compass]:[end]],ROW()-1))</f>
        <v>0</v>
      </c>
      <c r="C959">
        <f>Table8[[#This Row],[Cumulative 2023 Q4]]+Table8[[#This Row],[Cumulative 2024]]+Table8[[#This Row],[Cumulative 2025]]+Table8[[#This Row],[Cumulative 2026]]</f>
        <v>12992</v>
      </c>
      <c r="D959">
        <f>IF(YEAR(Table8[[#This Row],[Date]])=2023,B959,0)+IF(ROW(D958)=1,0,D958)</f>
        <v>4195</v>
      </c>
      <c r="E959">
        <f>MAX(Table8[Cumulative 2023 Q4])</f>
        <v>4195</v>
      </c>
      <c r="F959">
        <f>IF(YEAR(Table8[[#This Row],[Date]])=2024,B959,0)+IF(ROW(F958)=1,0,F958)</f>
        <v>5831</v>
      </c>
      <c r="G959">
        <f>MAX(Table8[Cumulative 2024])</f>
        <v>5831</v>
      </c>
      <c r="H959">
        <f>IF(YEAR(Table8[[#This Row],[Date]])=2025,B959,0)+IF(ROW(H958)=1,0,H958)</f>
        <v>1377</v>
      </c>
      <c r="I959">
        <f>MAX(Table8[Cumulative 2025])</f>
        <v>1377</v>
      </c>
      <c r="J959">
        <f>IF(YEAR(Table8[[#This Row],[Date]])=2026,B959,0)+IF(ROW(J958)=1,0,J958)</f>
        <v>1589</v>
      </c>
      <c r="K959">
        <f>MAX(Table8[Cumulative 2026])</f>
        <v>3102</v>
      </c>
    </row>
    <row r="960" spans="1:11" hidden="1" x14ac:dyDescent="0.25">
      <c r="A960" s="1">
        <v>46169</v>
      </c>
      <c r="B960">
        <f>SUM(_xlfn.CHOOSEROWS(Table8[[The Golden Compass]:[end]],ROW()-1))</f>
        <v>0</v>
      </c>
      <c r="C960">
        <f>Table8[[#This Row],[Cumulative 2023 Q4]]+Table8[[#This Row],[Cumulative 2024]]+Table8[[#This Row],[Cumulative 2025]]+Table8[[#This Row],[Cumulative 2026]]</f>
        <v>12992</v>
      </c>
      <c r="D960">
        <f>IF(YEAR(Table8[[#This Row],[Date]])=2023,B960,0)+IF(ROW(D959)=1,0,D959)</f>
        <v>4195</v>
      </c>
      <c r="E960">
        <f>MAX(Table8[Cumulative 2023 Q4])</f>
        <v>4195</v>
      </c>
      <c r="F960">
        <f>IF(YEAR(Table8[[#This Row],[Date]])=2024,B960,0)+IF(ROW(F959)=1,0,F959)</f>
        <v>5831</v>
      </c>
      <c r="G960">
        <f>MAX(Table8[Cumulative 2024])</f>
        <v>5831</v>
      </c>
      <c r="H960">
        <f>IF(YEAR(Table8[[#This Row],[Date]])=2025,B960,0)+IF(ROW(H959)=1,0,H959)</f>
        <v>1377</v>
      </c>
      <c r="I960">
        <f>MAX(Table8[Cumulative 2025])</f>
        <v>1377</v>
      </c>
      <c r="J960">
        <f>IF(YEAR(Table8[[#This Row],[Date]])=2026,B960,0)+IF(ROW(J959)=1,0,J959)</f>
        <v>1589</v>
      </c>
      <c r="K960">
        <f>MAX(Table8[Cumulative 2026])</f>
        <v>3102</v>
      </c>
    </row>
    <row r="961" spans="1:11" hidden="1" x14ac:dyDescent="0.25">
      <c r="A961" s="1">
        <v>46170</v>
      </c>
      <c r="B961">
        <f>SUM(_xlfn.CHOOSEROWS(Table8[[The Golden Compass]:[end]],ROW()-1))</f>
        <v>0</v>
      </c>
      <c r="C961">
        <f>Table8[[#This Row],[Cumulative 2023 Q4]]+Table8[[#This Row],[Cumulative 2024]]+Table8[[#This Row],[Cumulative 2025]]+Table8[[#This Row],[Cumulative 2026]]</f>
        <v>12992</v>
      </c>
      <c r="D961">
        <f>IF(YEAR(Table8[[#This Row],[Date]])=2023,B961,0)+IF(ROW(D960)=1,0,D960)</f>
        <v>4195</v>
      </c>
      <c r="E961">
        <f>MAX(Table8[Cumulative 2023 Q4])</f>
        <v>4195</v>
      </c>
      <c r="F961">
        <f>IF(YEAR(Table8[[#This Row],[Date]])=2024,B961,0)+IF(ROW(F960)=1,0,F960)</f>
        <v>5831</v>
      </c>
      <c r="G961">
        <f>MAX(Table8[Cumulative 2024])</f>
        <v>5831</v>
      </c>
      <c r="H961">
        <f>IF(YEAR(Table8[[#This Row],[Date]])=2025,B961,0)+IF(ROW(H960)=1,0,H960)</f>
        <v>1377</v>
      </c>
      <c r="I961">
        <f>MAX(Table8[Cumulative 2025])</f>
        <v>1377</v>
      </c>
      <c r="J961">
        <f>IF(YEAR(Table8[[#This Row],[Date]])=2026,B961,0)+IF(ROW(J960)=1,0,J960)</f>
        <v>1589</v>
      </c>
      <c r="K961">
        <f>MAX(Table8[Cumulative 2026])</f>
        <v>3102</v>
      </c>
    </row>
    <row r="962" spans="1:11" hidden="1" x14ac:dyDescent="0.25">
      <c r="A962" s="1">
        <v>46171</v>
      </c>
      <c r="B962">
        <f>SUM(_xlfn.CHOOSEROWS(Table8[[The Golden Compass]:[end]],ROW()-1))</f>
        <v>0</v>
      </c>
      <c r="C962">
        <f>Table8[[#This Row],[Cumulative 2023 Q4]]+Table8[[#This Row],[Cumulative 2024]]+Table8[[#This Row],[Cumulative 2025]]+Table8[[#This Row],[Cumulative 2026]]</f>
        <v>12992</v>
      </c>
      <c r="D962">
        <f>IF(YEAR(Table8[[#This Row],[Date]])=2023,B962,0)+IF(ROW(D961)=1,0,D961)</f>
        <v>4195</v>
      </c>
      <c r="E962">
        <f>MAX(Table8[Cumulative 2023 Q4])</f>
        <v>4195</v>
      </c>
      <c r="F962">
        <f>IF(YEAR(Table8[[#This Row],[Date]])=2024,B962,0)+IF(ROW(F961)=1,0,F961)</f>
        <v>5831</v>
      </c>
      <c r="G962">
        <f>MAX(Table8[Cumulative 2024])</f>
        <v>5831</v>
      </c>
      <c r="H962">
        <f>IF(YEAR(Table8[[#This Row],[Date]])=2025,B962,0)+IF(ROW(H961)=1,0,H961)</f>
        <v>1377</v>
      </c>
      <c r="I962">
        <f>MAX(Table8[Cumulative 2025])</f>
        <v>1377</v>
      </c>
      <c r="J962">
        <f>IF(YEAR(Table8[[#This Row],[Date]])=2026,B962,0)+IF(ROW(J961)=1,0,J961)</f>
        <v>1589</v>
      </c>
      <c r="K962">
        <f>MAX(Table8[Cumulative 2026])</f>
        <v>3102</v>
      </c>
    </row>
    <row r="963" spans="1:11" hidden="1" x14ac:dyDescent="0.25">
      <c r="A963" s="1">
        <v>46172</v>
      </c>
      <c r="B963">
        <f>SUM(_xlfn.CHOOSEROWS(Table8[[The Golden Compass]:[end]],ROW()-1))</f>
        <v>0</v>
      </c>
      <c r="C963">
        <f>Table8[[#This Row],[Cumulative 2023 Q4]]+Table8[[#This Row],[Cumulative 2024]]+Table8[[#This Row],[Cumulative 2025]]+Table8[[#This Row],[Cumulative 2026]]</f>
        <v>12992</v>
      </c>
      <c r="D963">
        <f>IF(YEAR(Table8[[#This Row],[Date]])=2023,B963,0)+IF(ROW(D962)=1,0,D962)</f>
        <v>4195</v>
      </c>
      <c r="E963">
        <f>MAX(Table8[Cumulative 2023 Q4])</f>
        <v>4195</v>
      </c>
      <c r="F963">
        <f>IF(YEAR(Table8[[#This Row],[Date]])=2024,B963,0)+IF(ROW(F962)=1,0,F962)</f>
        <v>5831</v>
      </c>
      <c r="G963">
        <f>MAX(Table8[Cumulative 2024])</f>
        <v>5831</v>
      </c>
      <c r="H963">
        <f>IF(YEAR(Table8[[#This Row],[Date]])=2025,B963,0)+IF(ROW(H962)=1,0,H962)</f>
        <v>1377</v>
      </c>
      <c r="I963">
        <f>MAX(Table8[Cumulative 2025])</f>
        <v>1377</v>
      </c>
      <c r="J963">
        <f>IF(YEAR(Table8[[#This Row],[Date]])=2026,B963,0)+IF(ROW(J962)=1,0,J962)</f>
        <v>1589</v>
      </c>
      <c r="K963">
        <f>MAX(Table8[Cumulative 2026])</f>
        <v>3102</v>
      </c>
    </row>
    <row r="964" spans="1:11" hidden="1" x14ac:dyDescent="0.25">
      <c r="A964" s="1">
        <v>46173</v>
      </c>
      <c r="B964">
        <f>SUM(_xlfn.CHOOSEROWS(Table8[[The Golden Compass]:[end]],ROW()-1))</f>
        <v>0</v>
      </c>
      <c r="C964">
        <f>Table8[[#This Row],[Cumulative 2023 Q4]]+Table8[[#This Row],[Cumulative 2024]]+Table8[[#This Row],[Cumulative 2025]]+Table8[[#This Row],[Cumulative 2026]]</f>
        <v>12992</v>
      </c>
      <c r="D964">
        <f>IF(YEAR(Table8[[#This Row],[Date]])=2023,B964,0)+IF(ROW(D963)=1,0,D963)</f>
        <v>4195</v>
      </c>
      <c r="E964">
        <f>MAX(Table8[Cumulative 2023 Q4])</f>
        <v>4195</v>
      </c>
      <c r="F964">
        <f>IF(YEAR(Table8[[#This Row],[Date]])=2024,B964,0)+IF(ROW(F963)=1,0,F963)</f>
        <v>5831</v>
      </c>
      <c r="G964">
        <f>MAX(Table8[Cumulative 2024])</f>
        <v>5831</v>
      </c>
      <c r="H964">
        <f>IF(YEAR(Table8[[#This Row],[Date]])=2025,B964,0)+IF(ROW(H963)=1,0,H963)</f>
        <v>1377</v>
      </c>
      <c r="I964">
        <f>MAX(Table8[Cumulative 2025])</f>
        <v>1377</v>
      </c>
      <c r="J964">
        <f>IF(YEAR(Table8[[#This Row],[Date]])=2026,B964,0)+IF(ROW(J963)=1,0,J963)</f>
        <v>1589</v>
      </c>
      <c r="K964">
        <f>MAX(Table8[Cumulative 2026])</f>
        <v>3102</v>
      </c>
    </row>
    <row r="965" spans="1:11" hidden="1" x14ac:dyDescent="0.25">
      <c r="A965" s="1">
        <v>46174</v>
      </c>
      <c r="B965">
        <f>SUM(_xlfn.CHOOSEROWS(Table8[[The Golden Compass]:[end]],ROW()-1))</f>
        <v>0</v>
      </c>
      <c r="C965">
        <f>Table8[[#This Row],[Cumulative 2023 Q4]]+Table8[[#This Row],[Cumulative 2024]]+Table8[[#This Row],[Cumulative 2025]]+Table8[[#This Row],[Cumulative 2026]]</f>
        <v>12992</v>
      </c>
      <c r="D965">
        <f>IF(YEAR(Table8[[#This Row],[Date]])=2023,B965,0)+IF(ROW(D964)=1,0,D964)</f>
        <v>4195</v>
      </c>
      <c r="E965">
        <f>MAX(Table8[Cumulative 2023 Q4])</f>
        <v>4195</v>
      </c>
      <c r="F965">
        <f>IF(YEAR(Table8[[#This Row],[Date]])=2024,B965,0)+IF(ROW(F964)=1,0,F964)</f>
        <v>5831</v>
      </c>
      <c r="G965">
        <f>MAX(Table8[Cumulative 2024])</f>
        <v>5831</v>
      </c>
      <c r="H965">
        <f>IF(YEAR(Table8[[#This Row],[Date]])=2025,B965,0)+IF(ROW(H964)=1,0,H964)</f>
        <v>1377</v>
      </c>
      <c r="I965">
        <f>MAX(Table8[Cumulative 2025])</f>
        <v>1377</v>
      </c>
      <c r="J965">
        <f>IF(YEAR(Table8[[#This Row],[Date]])=2026,B965,0)+IF(ROW(J964)=1,0,J964)</f>
        <v>1589</v>
      </c>
      <c r="K965">
        <f>MAX(Table8[Cumulative 2026])</f>
        <v>3102</v>
      </c>
    </row>
    <row r="966" spans="1:11" hidden="1" x14ac:dyDescent="0.25">
      <c r="A966" s="1">
        <v>46175</v>
      </c>
      <c r="B966">
        <f>SUM(_xlfn.CHOOSEROWS(Table8[[The Golden Compass]:[end]],ROW()-1))</f>
        <v>0</v>
      </c>
      <c r="C966">
        <f>Table8[[#This Row],[Cumulative 2023 Q4]]+Table8[[#This Row],[Cumulative 2024]]+Table8[[#This Row],[Cumulative 2025]]+Table8[[#This Row],[Cumulative 2026]]</f>
        <v>12992</v>
      </c>
      <c r="D966">
        <f>IF(YEAR(Table8[[#This Row],[Date]])=2023,B966,0)+IF(ROW(D965)=1,0,D965)</f>
        <v>4195</v>
      </c>
      <c r="E966">
        <f>MAX(Table8[Cumulative 2023 Q4])</f>
        <v>4195</v>
      </c>
      <c r="F966">
        <f>IF(YEAR(Table8[[#This Row],[Date]])=2024,B966,0)+IF(ROW(F965)=1,0,F965)</f>
        <v>5831</v>
      </c>
      <c r="G966">
        <f>MAX(Table8[Cumulative 2024])</f>
        <v>5831</v>
      </c>
      <c r="H966">
        <f>IF(YEAR(Table8[[#This Row],[Date]])=2025,B966,0)+IF(ROW(H965)=1,0,H965)</f>
        <v>1377</v>
      </c>
      <c r="I966">
        <f>MAX(Table8[Cumulative 2025])</f>
        <v>1377</v>
      </c>
      <c r="J966">
        <f>IF(YEAR(Table8[[#This Row],[Date]])=2026,B966,0)+IF(ROW(J965)=1,0,J965)</f>
        <v>1589</v>
      </c>
      <c r="K966">
        <f>MAX(Table8[Cumulative 2026])</f>
        <v>3102</v>
      </c>
    </row>
    <row r="967" spans="1:11" hidden="1" x14ac:dyDescent="0.25">
      <c r="A967" s="1">
        <v>46176</v>
      </c>
      <c r="B967">
        <f>SUM(_xlfn.CHOOSEROWS(Table8[[The Golden Compass]:[end]],ROW()-1))</f>
        <v>0</v>
      </c>
      <c r="C967">
        <f>Table8[[#This Row],[Cumulative 2023 Q4]]+Table8[[#This Row],[Cumulative 2024]]+Table8[[#This Row],[Cumulative 2025]]+Table8[[#This Row],[Cumulative 2026]]</f>
        <v>12992</v>
      </c>
      <c r="D967">
        <f>IF(YEAR(Table8[[#This Row],[Date]])=2023,B967,0)+IF(ROW(D966)=1,0,D966)</f>
        <v>4195</v>
      </c>
      <c r="E967">
        <f>MAX(Table8[Cumulative 2023 Q4])</f>
        <v>4195</v>
      </c>
      <c r="F967">
        <f>IF(YEAR(Table8[[#This Row],[Date]])=2024,B967,0)+IF(ROW(F966)=1,0,F966)</f>
        <v>5831</v>
      </c>
      <c r="G967">
        <f>MAX(Table8[Cumulative 2024])</f>
        <v>5831</v>
      </c>
      <c r="H967">
        <f>IF(YEAR(Table8[[#This Row],[Date]])=2025,B967,0)+IF(ROW(H966)=1,0,H966)</f>
        <v>1377</v>
      </c>
      <c r="I967">
        <f>MAX(Table8[Cumulative 2025])</f>
        <v>1377</v>
      </c>
      <c r="J967">
        <f>IF(YEAR(Table8[[#This Row],[Date]])=2026,B967,0)+IF(ROW(J966)=1,0,J966)</f>
        <v>1589</v>
      </c>
      <c r="K967">
        <f>MAX(Table8[Cumulative 2026])</f>
        <v>3102</v>
      </c>
    </row>
    <row r="968" spans="1:11" hidden="1" x14ac:dyDescent="0.25">
      <c r="A968" s="1">
        <v>46177</v>
      </c>
      <c r="B968">
        <f>SUM(_xlfn.CHOOSEROWS(Table8[[The Golden Compass]:[end]],ROW()-1))</f>
        <v>0</v>
      </c>
      <c r="C968">
        <f>Table8[[#This Row],[Cumulative 2023 Q4]]+Table8[[#This Row],[Cumulative 2024]]+Table8[[#This Row],[Cumulative 2025]]+Table8[[#This Row],[Cumulative 2026]]</f>
        <v>12992</v>
      </c>
      <c r="D968">
        <f>IF(YEAR(Table8[[#This Row],[Date]])=2023,B968,0)+IF(ROW(D967)=1,0,D967)</f>
        <v>4195</v>
      </c>
      <c r="E968">
        <f>MAX(Table8[Cumulative 2023 Q4])</f>
        <v>4195</v>
      </c>
      <c r="F968">
        <f>IF(YEAR(Table8[[#This Row],[Date]])=2024,B968,0)+IF(ROW(F967)=1,0,F967)</f>
        <v>5831</v>
      </c>
      <c r="G968">
        <f>MAX(Table8[Cumulative 2024])</f>
        <v>5831</v>
      </c>
      <c r="H968">
        <f>IF(YEAR(Table8[[#This Row],[Date]])=2025,B968,0)+IF(ROW(H967)=1,0,H967)</f>
        <v>1377</v>
      </c>
      <c r="I968">
        <f>MAX(Table8[Cumulative 2025])</f>
        <v>1377</v>
      </c>
      <c r="J968">
        <f>IF(YEAR(Table8[[#This Row],[Date]])=2026,B968,0)+IF(ROW(J967)=1,0,J967)</f>
        <v>1589</v>
      </c>
      <c r="K968">
        <f>MAX(Table8[Cumulative 2026])</f>
        <v>3102</v>
      </c>
    </row>
    <row r="969" spans="1:11" hidden="1" x14ac:dyDescent="0.25">
      <c r="A969" s="1">
        <v>46178</v>
      </c>
      <c r="B969">
        <f>SUM(_xlfn.CHOOSEROWS(Table8[[The Golden Compass]:[end]],ROW()-1))</f>
        <v>0</v>
      </c>
      <c r="C969">
        <f>Table8[[#This Row],[Cumulative 2023 Q4]]+Table8[[#This Row],[Cumulative 2024]]+Table8[[#This Row],[Cumulative 2025]]+Table8[[#This Row],[Cumulative 2026]]</f>
        <v>12992</v>
      </c>
      <c r="D969">
        <f>IF(YEAR(Table8[[#This Row],[Date]])=2023,B969,0)+IF(ROW(D968)=1,0,D968)</f>
        <v>4195</v>
      </c>
      <c r="E969">
        <f>MAX(Table8[Cumulative 2023 Q4])</f>
        <v>4195</v>
      </c>
      <c r="F969">
        <f>IF(YEAR(Table8[[#This Row],[Date]])=2024,B969,0)+IF(ROW(F968)=1,0,F968)</f>
        <v>5831</v>
      </c>
      <c r="G969">
        <f>MAX(Table8[Cumulative 2024])</f>
        <v>5831</v>
      </c>
      <c r="H969">
        <f>IF(YEAR(Table8[[#This Row],[Date]])=2025,B969,0)+IF(ROW(H968)=1,0,H968)</f>
        <v>1377</v>
      </c>
      <c r="I969">
        <f>MAX(Table8[Cumulative 2025])</f>
        <v>1377</v>
      </c>
      <c r="J969">
        <f>IF(YEAR(Table8[[#This Row],[Date]])=2026,B969,0)+IF(ROW(J968)=1,0,J968)</f>
        <v>1589</v>
      </c>
      <c r="K969">
        <f>MAX(Table8[Cumulative 2026])</f>
        <v>3102</v>
      </c>
    </row>
    <row r="970" spans="1:11" hidden="1" x14ac:dyDescent="0.25">
      <c r="A970" s="1">
        <v>46179</v>
      </c>
      <c r="B970">
        <f>SUM(_xlfn.CHOOSEROWS(Table8[[The Golden Compass]:[end]],ROW()-1))</f>
        <v>0</v>
      </c>
      <c r="C970">
        <f>Table8[[#This Row],[Cumulative 2023 Q4]]+Table8[[#This Row],[Cumulative 2024]]+Table8[[#This Row],[Cumulative 2025]]+Table8[[#This Row],[Cumulative 2026]]</f>
        <v>12992</v>
      </c>
      <c r="D970">
        <f>IF(YEAR(Table8[[#This Row],[Date]])=2023,B970,0)+IF(ROW(D969)=1,0,D969)</f>
        <v>4195</v>
      </c>
      <c r="E970">
        <f>MAX(Table8[Cumulative 2023 Q4])</f>
        <v>4195</v>
      </c>
      <c r="F970">
        <f>IF(YEAR(Table8[[#This Row],[Date]])=2024,B970,0)+IF(ROW(F969)=1,0,F969)</f>
        <v>5831</v>
      </c>
      <c r="G970">
        <f>MAX(Table8[Cumulative 2024])</f>
        <v>5831</v>
      </c>
      <c r="H970">
        <f>IF(YEAR(Table8[[#This Row],[Date]])=2025,B970,0)+IF(ROW(H969)=1,0,H969)</f>
        <v>1377</v>
      </c>
      <c r="I970">
        <f>MAX(Table8[Cumulative 2025])</f>
        <v>1377</v>
      </c>
      <c r="J970">
        <f>IF(YEAR(Table8[[#This Row],[Date]])=2026,B970,0)+IF(ROW(J969)=1,0,J969)</f>
        <v>1589</v>
      </c>
      <c r="K970">
        <f>MAX(Table8[Cumulative 2026])</f>
        <v>3102</v>
      </c>
    </row>
    <row r="971" spans="1:11" hidden="1" x14ac:dyDescent="0.25">
      <c r="A971" s="1">
        <v>46180</v>
      </c>
      <c r="B971">
        <f>SUM(_xlfn.CHOOSEROWS(Table8[[The Golden Compass]:[end]],ROW()-1))</f>
        <v>0</v>
      </c>
      <c r="C971">
        <f>Table8[[#This Row],[Cumulative 2023 Q4]]+Table8[[#This Row],[Cumulative 2024]]+Table8[[#This Row],[Cumulative 2025]]+Table8[[#This Row],[Cumulative 2026]]</f>
        <v>12992</v>
      </c>
      <c r="D971">
        <f>IF(YEAR(Table8[[#This Row],[Date]])=2023,B971,0)+IF(ROW(D970)=1,0,D970)</f>
        <v>4195</v>
      </c>
      <c r="E971">
        <f>MAX(Table8[Cumulative 2023 Q4])</f>
        <v>4195</v>
      </c>
      <c r="F971">
        <f>IF(YEAR(Table8[[#This Row],[Date]])=2024,B971,0)+IF(ROW(F970)=1,0,F970)</f>
        <v>5831</v>
      </c>
      <c r="G971">
        <f>MAX(Table8[Cumulative 2024])</f>
        <v>5831</v>
      </c>
      <c r="H971">
        <f>IF(YEAR(Table8[[#This Row],[Date]])=2025,B971,0)+IF(ROW(H970)=1,0,H970)</f>
        <v>1377</v>
      </c>
      <c r="I971">
        <f>MAX(Table8[Cumulative 2025])</f>
        <v>1377</v>
      </c>
      <c r="J971">
        <f>IF(YEAR(Table8[[#This Row],[Date]])=2026,B971,0)+IF(ROW(J970)=1,0,J970)</f>
        <v>1589</v>
      </c>
      <c r="K971">
        <f>MAX(Table8[Cumulative 2026])</f>
        <v>3102</v>
      </c>
    </row>
    <row r="972" spans="1:11" hidden="1" x14ac:dyDescent="0.25">
      <c r="A972" s="1">
        <v>46181</v>
      </c>
      <c r="B972">
        <f>SUM(_xlfn.CHOOSEROWS(Table8[[The Golden Compass]:[end]],ROW()-1))</f>
        <v>0</v>
      </c>
      <c r="C972">
        <f>Table8[[#This Row],[Cumulative 2023 Q4]]+Table8[[#This Row],[Cumulative 2024]]+Table8[[#This Row],[Cumulative 2025]]+Table8[[#This Row],[Cumulative 2026]]</f>
        <v>12992</v>
      </c>
      <c r="D972">
        <f>IF(YEAR(Table8[[#This Row],[Date]])=2023,B972,0)+IF(ROW(D971)=1,0,D971)</f>
        <v>4195</v>
      </c>
      <c r="E972">
        <f>MAX(Table8[Cumulative 2023 Q4])</f>
        <v>4195</v>
      </c>
      <c r="F972">
        <f>IF(YEAR(Table8[[#This Row],[Date]])=2024,B972,0)+IF(ROW(F971)=1,0,F971)</f>
        <v>5831</v>
      </c>
      <c r="G972">
        <f>MAX(Table8[Cumulative 2024])</f>
        <v>5831</v>
      </c>
      <c r="H972">
        <f>IF(YEAR(Table8[[#This Row],[Date]])=2025,B972,0)+IF(ROW(H971)=1,0,H971)</f>
        <v>1377</v>
      </c>
      <c r="I972">
        <f>MAX(Table8[Cumulative 2025])</f>
        <v>1377</v>
      </c>
      <c r="J972">
        <f>IF(YEAR(Table8[[#This Row],[Date]])=2026,B972,0)+IF(ROW(J971)=1,0,J971)</f>
        <v>1589</v>
      </c>
      <c r="K972">
        <f>MAX(Table8[Cumulative 2026])</f>
        <v>3102</v>
      </c>
    </row>
    <row r="973" spans="1:11" hidden="1" x14ac:dyDescent="0.25">
      <c r="A973" s="1">
        <v>46182</v>
      </c>
      <c r="B973">
        <f>SUM(_xlfn.CHOOSEROWS(Table8[[The Golden Compass]:[end]],ROW()-1))</f>
        <v>0</v>
      </c>
      <c r="C973">
        <f>Table8[[#This Row],[Cumulative 2023 Q4]]+Table8[[#This Row],[Cumulative 2024]]+Table8[[#This Row],[Cumulative 2025]]+Table8[[#This Row],[Cumulative 2026]]</f>
        <v>12992</v>
      </c>
      <c r="D973">
        <f>IF(YEAR(Table8[[#This Row],[Date]])=2023,B973,0)+IF(ROW(D972)=1,0,D972)</f>
        <v>4195</v>
      </c>
      <c r="E973">
        <f>MAX(Table8[Cumulative 2023 Q4])</f>
        <v>4195</v>
      </c>
      <c r="F973">
        <f>IF(YEAR(Table8[[#This Row],[Date]])=2024,B973,0)+IF(ROW(F972)=1,0,F972)</f>
        <v>5831</v>
      </c>
      <c r="G973">
        <f>MAX(Table8[Cumulative 2024])</f>
        <v>5831</v>
      </c>
      <c r="H973">
        <f>IF(YEAR(Table8[[#This Row],[Date]])=2025,B973,0)+IF(ROW(H972)=1,0,H972)</f>
        <v>1377</v>
      </c>
      <c r="I973">
        <f>MAX(Table8[Cumulative 2025])</f>
        <v>1377</v>
      </c>
      <c r="J973">
        <f>IF(YEAR(Table8[[#This Row],[Date]])=2026,B973,0)+IF(ROW(J972)=1,0,J972)</f>
        <v>1589</v>
      </c>
      <c r="K973">
        <f>MAX(Table8[Cumulative 2026])</f>
        <v>3102</v>
      </c>
    </row>
    <row r="974" spans="1:11" hidden="1" x14ac:dyDescent="0.25">
      <c r="A974" s="1">
        <v>46183</v>
      </c>
      <c r="B974">
        <f>SUM(_xlfn.CHOOSEROWS(Table8[[The Golden Compass]:[end]],ROW()-1))</f>
        <v>0</v>
      </c>
      <c r="C974">
        <f>Table8[[#This Row],[Cumulative 2023 Q4]]+Table8[[#This Row],[Cumulative 2024]]+Table8[[#This Row],[Cumulative 2025]]+Table8[[#This Row],[Cumulative 2026]]</f>
        <v>12992</v>
      </c>
      <c r="D974">
        <f>IF(YEAR(Table8[[#This Row],[Date]])=2023,B974,0)+IF(ROW(D973)=1,0,D973)</f>
        <v>4195</v>
      </c>
      <c r="E974">
        <f>MAX(Table8[Cumulative 2023 Q4])</f>
        <v>4195</v>
      </c>
      <c r="F974">
        <f>IF(YEAR(Table8[[#This Row],[Date]])=2024,B974,0)+IF(ROW(F973)=1,0,F973)</f>
        <v>5831</v>
      </c>
      <c r="G974">
        <f>MAX(Table8[Cumulative 2024])</f>
        <v>5831</v>
      </c>
      <c r="H974">
        <f>IF(YEAR(Table8[[#This Row],[Date]])=2025,B974,0)+IF(ROW(H973)=1,0,H973)</f>
        <v>1377</v>
      </c>
      <c r="I974">
        <f>MAX(Table8[Cumulative 2025])</f>
        <v>1377</v>
      </c>
      <c r="J974">
        <f>IF(YEAR(Table8[[#This Row],[Date]])=2026,B974,0)+IF(ROW(J973)=1,0,J973)</f>
        <v>1589</v>
      </c>
      <c r="K974">
        <f>MAX(Table8[Cumulative 2026])</f>
        <v>3102</v>
      </c>
    </row>
    <row r="975" spans="1:11" hidden="1" x14ac:dyDescent="0.25">
      <c r="A975" s="1">
        <v>46184</v>
      </c>
      <c r="B975">
        <f>SUM(_xlfn.CHOOSEROWS(Table8[[The Golden Compass]:[end]],ROW()-1))</f>
        <v>0</v>
      </c>
      <c r="C975">
        <f>Table8[[#This Row],[Cumulative 2023 Q4]]+Table8[[#This Row],[Cumulative 2024]]+Table8[[#This Row],[Cumulative 2025]]+Table8[[#This Row],[Cumulative 2026]]</f>
        <v>12992</v>
      </c>
      <c r="D975">
        <f>IF(YEAR(Table8[[#This Row],[Date]])=2023,B975,0)+IF(ROW(D974)=1,0,D974)</f>
        <v>4195</v>
      </c>
      <c r="E975">
        <f>MAX(Table8[Cumulative 2023 Q4])</f>
        <v>4195</v>
      </c>
      <c r="F975">
        <f>IF(YEAR(Table8[[#This Row],[Date]])=2024,B975,0)+IF(ROW(F974)=1,0,F974)</f>
        <v>5831</v>
      </c>
      <c r="G975">
        <f>MAX(Table8[Cumulative 2024])</f>
        <v>5831</v>
      </c>
      <c r="H975">
        <f>IF(YEAR(Table8[[#This Row],[Date]])=2025,B975,0)+IF(ROW(H974)=1,0,H974)</f>
        <v>1377</v>
      </c>
      <c r="I975">
        <f>MAX(Table8[Cumulative 2025])</f>
        <v>1377</v>
      </c>
      <c r="J975">
        <f>IF(YEAR(Table8[[#This Row],[Date]])=2026,B975,0)+IF(ROW(J974)=1,0,J974)</f>
        <v>1589</v>
      </c>
      <c r="K975">
        <f>MAX(Table8[Cumulative 2026])</f>
        <v>3102</v>
      </c>
    </row>
    <row r="976" spans="1:11" hidden="1" x14ac:dyDescent="0.25">
      <c r="A976" s="1">
        <v>46185</v>
      </c>
      <c r="B976">
        <f>SUM(_xlfn.CHOOSEROWS(Table8[[The Golden Compass]:[end]],ROW()-1))</f>
        <v>0</v>
      </c>
      <c r="C976">
        <f>Table8[[#This Row],[Cumulative 2023 Q4]]+Table8[[#This Row],[Cumulative 2024]]+Table8[[#This Row],[Cumulative 2025]]+Table8[[#This Row],[Cumulative 2026]]</f>
        <v>12992</v>
      </c>
      <c r="D976">
        <f>IF(YEAR(Table8[[#This Row],[Date]])=2023,B976,0)+IF(ROW(D975)=1,0,D975)</f>
        <v>4195</v>
      </c>
      <c r="E976">
        <f>MAX(Table8[Cumulative 2023 Q4])</f>
        <v>4195</v>
      </c>
      <c r="F976">
        <f>IF(YEAR(Table8[[#This Row],[Date]])=2024,B976,0)+IF(ROW(F975)=1,0,F975)</f>
        <v>5831</v>
      </c>
      <c r="G976">
        <f>MAX(Table8[Cumulative 2024])</f>
        <v>5831</v>
      </c>
      <c r="H976">
        <f>IF(YEAR(Table8[[#This Row],[Date]])=2025,B976,0)+IF(ROW(H975)=1,0,H975)</f>
        <v>1377</v>
      </c>
      <c r="I976">
        <f>MAX(Table8[Cumulative 2025])</f>
        <v>1377</v>
      </c>
      <c r="J976">
        <f>IF(YEAR(Table8[[#This Row],[Date]])=2026,B976,0)+IF(ROW(J975)=1,0,J975)</f>
        <v>1589</v>
      </c>
      <c r="K976">
        <f>MAX(Table8[Cumulative 2026])</f>
        <v>3102</v>
      </c>
    </row>
    <row r="977" spans="1:11" hidden="1" x14ac:dyDescent="0.25">
      <c r="A977" s="1">
        <v>46186</v>
      </c>
      <c r="B977">
        <f>SUM(_xlfn.CHOOSEROWS(Table8[[The Golden Compass]:[end]],ROW()-1))</f>
        <v>0</v>
      </c>
      <c r="C977">
        <f>Table8[[#This Row],[Cumulative 2023 Q4]]+Table8[[#This Row],[Cumulative 2024]]+Table8[[#This Row],[Cumulative 2025]]+Table8[[#This Row],[Cumulative 2026]]</f>
        <v>12992</v>
      </c>
      <c r="D977">
        <f>IF(YEAR(Table8[[#This Row],[Date]])=2023,B977,0)+IF(ROW(D976)=1,0,D976)</f>
        <v>4195</v>
      </c>
      <c r="E977">
        <f>MAX(Table8[Cumulative 2023 Q4])</f>
        <v>4195</v>
      </c>
      <c r="F977">
        <f>IF(YEAR(Table8[[#This Row],[Date]])=2024,B977,0)+IF(ROW(F976)=1,0,F976)</f>
        <v>5831</v>
      </c>
      <c r="G977">
        <f>MAX(Table8[Cumulative 2024])</f>
        <v>5831</v>
      </c>
      <c r="H977">
        <f>IF(YEAR(Table8[[#This Row],[Date]])=2025,B977,0)+IF(ROW(H976)=1,0,H976)</f>
        <v>1377</v>
      </c>
      <c r="I977">
        <f>MAX(Table8[Cumulative 2025])</f>
        <v>1377</v>
      </c>
      <c r="J977">
        <f>IF(YEAR(Table8[[#This Row],[Date]])=2026,B977,0)+IF(ROW(J976)=1,0,J976)</f>
        <v>1589</v>
      </c>
      <c r="K977">
        <f>MAX(Table8[Cumulative 2026])</f>
        <v>3102</v>
      </c>
    </row>
    <row r="978" spans="1:11" hidden="1" x14ac:dyDescent="0.25">
      <c r="A978" s="1">
        <v>46187</v>
      </c>
      <c r="B978">
        <f>SUM(_xlfn.CHOOSEROWS(Table8[[The Golden Compass]:[end]],ROW()-1))</f>
        <v>0</v>
      </c>
      <c r="C978">
        <f>Table8[[#This Row],[Cumulative 2023 Q4]]+Table8[[#This Row],[Cumulative 2024]]+Table8[[#This Row],[Cumulative 2025]]+Table8[[#This Row],[Cumulative 2026]]</f>
        <v>12992</v>
      </c>
      <c r="D978">
        <f>IF(YEAR(Table8[[#This Row],[Date]])=2023,B978,0)+IF(ROW(D977)=1,0,D977)</f>
        <v>4195</v>
      </c>
      <c r="E978">
        <f>MAX(Table8[Cumulative 2023 Q4])</f>
        <v>4195</v>
      </c>
      <c r="F978">
        <f>IF(YEAR(Table8[[#This Row],[Date]])=2024,B978,0)+IF(ROW(F977)=1,0,F977)</f>
        <v>5831</v>
      </c>
      <c r="G978">
        <f>MAX(Table8[Cumulative 2024])</f>
        <v>5831</v>
      </c>
      <c r="H978">
        <f>IF(YEAR(Table8[[#This Row],[Date]])=2025,B978,0)+IF(ROW(H977)=1,0,H977)</f>
        <v>1377</v>
      </c>
      <c r="I978">
        <f>MAX(Table8[Cumulative 2025])</f>
        <v>1377</v>
      </c>
      <c r="J978">
        <f>IF(YEAR(Table8[[#This Row],[Date]])=2026,B978,0)+IF(ROW(J977)=1,0,J977)</f>
        <v>1589</v>
      </c>
      <c r="K978">
        <f>MAX(Table8[Cumulative 2026])</f>
        <v>3102</v>
      </c>
    </row>
    <row r="979" spans="1:11" hidden="1" x14ac:dyDescent="0.25">
      <c r="A979" s="1">
        <v>46188</v>
      </c>
      <c r="B979">
        <f>SUM(_xlfn.CHOOSEROWS(Table8[[The Golden Compass]:[end]],ROW()-1))</f>
        <v>0</v>
      </c>
      <c r="C979">
        <f>Table8[[#This Row],[Cumulative 2023 Q4]]+Table8[[#This Row],[Cumulative 2024]]+Table8[[#This Row],[Cumulative 2025]]+Table8[[#This Row],[Cumulative 2026]]</f>
        <v>12992</v>
      </c>
      <c r="D979">
        <f>IF(YEAR(Table8[[#This Row],[Date]])=2023,B979,0)+IF(ROW(D978)=1,0,D978)</f>
        <v>4195</v>
      </c>
      <c r="E979">
        <f>MAX(Table8[Cumulative 2023 Q4])</f>
        <v>4195</v>
      </c>
      <c r="F979">
        <f>IF(YEAR(Table8[[#This Row],[Date]])=2024,B979,0)+IF(ROW(F978)=1,0,F978)</f>
        <v>5831</v>
      </c>
      <c r="G979">
        <f>MAX(Table8[Cumulative 2024])</f>
        <v>5831</v>
      </c>
      <c r="H979">
        <f>IF(YEAR(Table8[[#This Row],[Date]])=2025,B979,0)+IF(ROW(H978)=1,0,H978)</f>
        <v>1377</v>
      </c>
      <c r="I979">
        <f>MAX(Table8[Cumulative 2025])</f>
        <v>1377</v>
      </c>
      <c r="J979">
        <f>IF(YEAR(Table8[[#This Row],[Date]])=2026,B979,0)+IF(ROW(J978)=1,0,J978)</f>
        <v>1589</v>
      </c>
      <c r="K979">
        <f>MAX(Table8[Cumulative 2026])</f>
        <v>3102</v>
      </c>
    </row>
    <row r="980" spans="1:11" hidden="1" x14ac:dyDescent="0.25">
      <c r="A980" s="1">
        <v>46189</v>
      </c>
      <c r="B980">
        <f>SUM(_xlfn.CHOOSEROWS(Table8[[The Golden Compass]:[end]],ROW()-1))</f>
        <v>0</v>
      </c>
      <c r="C980">
        <f>Table8[[#This Row],[Cumulative 2023 Q4]]+Table8[[#This Row],[Cumulative 2024]]+Table8[[#This Row],[Cumulative 2025]]+Table8[[#This Row],[Cumulative 2026]]</f>
        <v>12992</v>
      </c>
      <c r="D980">
        <f>IF(YEAR(Table8[[#This Row],[Date]])=2023,B980,0)+IF(ROW(D979)=1,0,D979)</f>
        <v>4195</v>
      </c>
      <c r="E980">
        <f>MAX(Table8[Cumulative 2023 Q4])</f>
        <v>4195</v>
      </c>
      <c r="F980">
        <f>IF(YEAR(Table8[[#This Row],[Date]])=2024,B980,0)+IF(ROW(F979)=1,0,F979)</f>
        <v>5831</v>
      </c>
      <c r="G980">
        <f>MAX(Table8[Cumulative 2024])</f>
        <v>5831</v>
      </c>
      <c r="H980">
        <f>IF(YEAR(Table8[[#This Row],[Date]])=2025,B980,0)+IF(ROW(H979)=1,0,H979)</f>
        <v>1377</v>
      </c>
      <c r="I980">
        <f>MAX(Table8[Cumulative 2025])</f>
        <v>1377</v>
      </c>
      <c r="J980">
        <f>IF(YEAR(Table8[[#This Row],[Date]])=2026,B980,0)+IF(ROW(J979)=1,0,J979)</f>
        <v>1589</v>
      </c>
      <c r="K980">
        <f>MAX(Table8[Cumulative 2026])</f>
        <v>3102</v>
      </c>
    </row>
    <row r="981" spans="1:11" hidden="1" x14ac:dyDescent="0.25">
      <c r="A981" s="1">
        <v>46190</v>
      </c>
      <c r="B981">
        <f>SUM(_xlfn.CHOOSEROWS(Table8[[The Golden Compass]:[end]],ROW()-1))</f>
        <v>0</v>
      </c>
      <c r="C981">
        <f>Table8[[#This Row],[Cumulative 2023 Q4]]+Table8[[#This Row],[Cumulative 2024]]+Table8[[#This Row],[Cumulative 2025]]+Table8[[#This Row],[Cumulative 2026]]</f>
        <v>12992</v>
      </c>
      <c r="D981">
        <f>IF(YEAR(Table8[[#This Row],[Date]])=2023,B981,0)+IF(ROW(D980)=1,0,D980)</f>
        <v>4195</v>
      </c>
      <c r="E981">
        <f>MAX(Table8[Cumulative 2023 Q4])</f>
        <v>4195</v>
      </c>
      <c r="F981">
        <f>IF(YEAR(Table8[[#This Row],[Date]])=2024,B981,0)+IF(ROW(F980)=1,0,F980)</f>
        <v>5831</v>
      </c>
      <c r="G981">
        <f>MAX(Table8[Cumulative 2024])</f>
        <v>5831</v>
      </c>
      <c r="H981">
        <f>IF(YEAR(Table8[[#This Row],[Date]])=2025,B981,0)+IF(ROW(H980)=1,0,H980)</f>
        <v>1377</v>
      </c>
      <c r="I981">
        <f>MAX(Table8[Cumulative 2025])</f>
        <v>1377</v>
      </c>
      <c r="J981">
        <f>IF(YEAR(Table8[[#This Row],[Date]])=2026,B981,0)+IF(ROW(J980)=1,0,J980)</f>
        <v>1589</v>
      </c>
      <c r="K981">
        <f>MAX(Table8[Cumulative 2026])</f>
        <v>3102</v>
      </c>
    </row>
    <row r="982" spans="1:11" hidden="1" x14ac:dyDescent="0.25">
      <c r="A982" s="1">
        <v>46191</v>
      </c>
      <c r="B982">
        <f>SUM(_xlfn.CHOOSEROWS(Table8[[The Golden Compass]:[end]],ROW()-1))</f>
        <v>0</v>
      </c>
      <c r="C982">
        <f>Table8[[#This Row],[Cumulative 2023 Q4]]+Table8[[#This Row],[Cumulative 2024]]+Table8[[#This Row],[Cumulative 2025]]+Table8[[#This Row],[Cumulative 2026]]</f>
        <v>12992</v>
      </c>
      <c r="D982">
        <f>IF(YEAR(Table8[[#This Row],[Date]])=2023,B982,0)+IF(ROW(D981)=1,0,D981)</f>
        <v>4195</v>
      </c>
      <c r="E982">
        <f>MAX(Table8[Cumulative 2023 Q4])</f>
        <v>4195</v>
      </c>
      <c r="F982">
        <f>IF(YEAR(Table8[[#This Row],[Date]])=2024,B982,0)+IF(ROW(F981)=1,0,F981)</f>
        <v>5831</v>
      </c>
      <c r="G982">
        <f>MAX(Table8[Cumulative 2024])</f>
        <v>5831</v>
      </c>
      <c r="H982">
        <f>IF(YEAR(Table8[[#This Row],[Date]])=2025,B982,0)+IF(ROW(H981)=1,0,H981)</f>
        <v>1377</v>
      </c>
      <c r="I982">
        <f>MAX(Table8[Cumulative 2025])</f>
        <v>1377</v>
      </c>
      <c r="J982">
        <f>IF(YEAR(Table8[[#This Row],[Date]])=2026,B982,0)+IF(ROW(J981)=1,0,J981)</f>
        <v>1589</v>
      </c>
      <c r="K982">
        <f>MAX(Table8[Cumulative 2026])</f>
        <v>3102</v>
      </c>
    </row>
    <row r="983" spans="1:11" hidden="1" x14ac:dyDescent="0.25">
      <c r="A983" s="1">
        <v>46192</v>
      </c>
      <c r="B983">
        <f>SUM(_xlfn.CHOOSEROWS(Table8[[The Golden Compass]:[end]],ROW()-1))</f>
        <v>0</v>
      </c>
      <c r="C983">
        <f>Table8[[#This Row],[Cumulative 2023 Q4]]+Table8[[#This Row],[Cumulative 2024]]+Table8[[#This Row],[Cumulative 2025]]+Table8[[#This Row],[Cumulative 2026]]</f>
        <v>12992</v>
      </c>
      <c r="D983">
        <f>IF(YEAR(Table8[[#This Row],[Date]])=2023,B983,0)+IF(ROW(D982)=1,0,D982)</f>
        <v>4195</v>
      </c>
      <c r="E983">
        <f>MAX(Table8[Cumulative 2023 Q4])</f>
        <v>4195</v>
      </c>
      <c r="F983">
        <f>IF(YEAR(Table8[[#This Row],[Date]])=2024,B983,0)+IF(ROW(F982)=1,0,F982)</f>
        <v>5831</v>
      </c>
      <c r="G983">
        <f>MAX(Table8[Cumulative 2024])</f>
        <v>5831</v>
      </c>
      <c r="H983">
        <f>IF(YEAR(Table8[[#This Row],[Date]])=2025,B983,0)+IF(ROW(H982)=1,0,H982)</f>
        <v>1377</v>
      </c>
      <c r="I983">
        <f>MAX(Table8[Cumulative 2025])</f>
        <v>1377</v>
      </c>
      <c r="J983">
        <f>IF(YEAR(Table8[[#This Row],[Date]])=2026,B983,0)+IF(ROW(J982)=1,0,J982)</f>
        <v>1589</v>
      </c>
      <c r="K983">
        <f>MAX(Table8[Cumulative 2026])</f>
        <v>3102</v>
      </c>
    </row>
    <row r="984" spans="1:11" hidden="1" x14ac:dyDescent="0.25">
      <c r="A984" s="1">
        <v>46193</v>
      </c>
      <c r="B984">
        <f>SUM(_xlfn.CHOOSEROWS(Table8[[The Golden Compass]:[end]],ROW()-1))</f>
        <v>0</v>
      </c>
      <c r="C984">
        <f>Table8[[#This Row],[Cumulative 2023 Q4]]+Table8[[#This Row],[Cumulative 2024]]+Table8[[#This Row],[Cumulative 2025]]+Table8[[#This Row],[Cumulative 2026]]</f>
        <v>12992</v>
      </c>
      <c r="D984">
        <f>IF(YEAR(Table8[[#This Row],[Date]])=2023,B984,0)+IF(ROW(D983)=1,0,D983)</f>
        <v>4195</v>
      </c>
      <c r="E984">
        <f>MAX(Table8[Cumulative 2023 Q4])</f>
        <v>4195</v>
      </c>
      <c r="F984">
        <f>IF(YEAR(Table8[[#This Row],[Date]])=2024,B984,0)+IF(ROW(F983)=1,0,F983)</f>
        <v>5831</v>
      </c>
      <c r="G984">
        <f>MAX(Table8[Cumulative 2024])</f>
        <v>5831</v>
      </c>
      <c r="H984">
        <f>IF(YEAR(Table8[[#This Row],[Date]])=2025,B984,0)+IF(ROW(H983)=1,0,H983)</f>
        <v>1377</v>
      </c>
      <c r="I984">
        <f>MAX(Table8[Cumulative 2025])</f>
        <v>1377</v>
      </c>
      <c r="J984">
        <f>IF(YEAR(Table8[[#This Row],[Date]])=2026,B984,0)+IF(ROW(J983)=1,0,J983)</f>
        <v>1589</v>
      </c>
      <c r="K984">
        <f>MAX(Table8[Cumulative 2026])</f>
        <v>3102</v>
      </c>
    </row>
    <row r="985" spans="1:11" hidden="1" x14ac:dyDescent="0.25">
      <c r="A985" s="1">
        <v>46194</v>
      </c>
      <c r="B985">
        <f>SUM(_xlfn.CHOOSEROWS(Table8[[The Golden Compass]:[end]],ROW()-1))</f>
        <v>0</v>
      </c>
      <c r="C985">
        <f>Table8[[#This Row],[Cumulative 2023 Q4]]+Table8[[#This Row],[Cumulative 2024]]+Table8[[#This Row],[Cumulative 2025]]+Table8[[#This Row],[Cumulative 2026]]</f>
        <v>12992</v>
      </c>
      <c r="D985">
        <f>IF(YEAR(Table8[[#This Row],[Date]])=2023,B985,0)+IF(ROW(D984)=1,0,D984)</f>
        <v>4195</v>
      </c>
      <c r="E985">
        <f>MAX(Table8[Cumulative 2023 Q4])</f>
        <v>4195</v>
      </c>
      <c r="F985">
        <f>IF(YEAR(Table8[[#This Row],[Date]])=2024,B985,0)+IF(ROW(F984)=1,0,F984)</f>
        <v>5831</v>
      </c>
      <c r="G985">
        <f>MAX(Table8[Cumulative 2024])</f>
        <v>5831</v>
      </c>
      <c r="H985">
        <f>IF(YEAR(Table8[[#This Row],[Date]])=2025,B985,0)+IF(ROW(H984)=1,0,H984)</f>
        <v>1377</v>
      </c>
      <c r="I985">
        <f>MAX(Table8[Cumulative 2025])</f>
        <v>1377</v>
      </c>
      <c r="J985">
        <f>IF(YEAR(Table8[[#This Row],[Date]])=2026,B985,0)+IF(ROW(J984)=1,0,J984)</f>
        <v>1589</v>
      </c>
      <c r="K985">
        <f>MAX(Table8[Cumulative 2026])</f>
        <v>3102</v>
      </c>
    </row>
    <row r="986" spans="1:11" hidden="1" x14ac:dyDescent="0.25">
      <c r="A986" s="1">
        <v>46195</v>
      </c>
      <c r="B986">
        <f>SUM(_xlfn.CHOOSEROWS(Table8[[The Golden Compass]:[end]],ROW()-1))</f>
        <v>0</v>
      </c>
      <c r="C986">
        <f>Table8[[#This Row],[Cumulative 2023 Q4]]+Table8[[#This Row],[Cumulative 2024]]+Table8[[#This Row],[Cumulative 2025]]+Table8[[#This Row],[Cumulative 2026]]</f>
        <v>12992</v>
      </c>
      <c r="D986">
        <f>IF(YEAR(Table8[[#This Row],[Date]])=2023,B986,0)+IF(ROW(D985)=1,0,D985)</f>
        <v>4195</v>
      </c>
      <c r="E986">
        <f>MAX(Table8[Cumulative 2023 Q4])</f>
        <v>4195</v>
      </c>
      <c r="F986">
        <f>IF(YEAR(Table8[[#This Row],[Date]])=2024,B986,0)+IF(ROW(F985)=1,0,F985)</f>
        <v>5831</v>
      </c>
      <c r="G986">
        <f>MAX(Table8[Cumulative 2024])</f>
        <v>5831</v>
      </c>
      <c r="H986">
        <f>IF(YEAR(Table8[[#This Row],[Date]])=2025,B986,0)+IF(ROW(H985)=1,0,H985)</f>
        <v>1377</v>
      </c>
      <c r="I986">
        <f>MAX(Table8[Cumulative 2025])</f>
        <v>1377</v>
      </c>
      <c r="J986">
        <f>IF(YEAR(Table8[[#This Row],[Date]])=2026,B986,0)+IF(ROW(J985)=1,0,J985)</f>
        <v>1589</v>
      </c>
      <c r="K986">
        <f>MAX(Table8[Cumulative 2026])</f>
        <v>3102</v>
      </c>
    </row>
    <row r="987" spans="1:11" hidden="1" x14ac:dyDescent="0.25">
      <c r="A987" s="1">
        <v>46196</v>
      </c>
      <c r="B987">
        <f>SUM(_xlfn.CHOOSEROWS(Table8[[The Golden Compass]:[end]],ROW()-1))</f>
        <v>0</v>
      </c>
      <c r="C987">
        <f>Table8[[#This Row],[Cumulative 2023 Q4]]+Table8[[#This Row],[Cumulative 2024]]+Table8[[#This Row],[Cumulative 2025]]+Table8[[#This Row],[Cumulative 2026]]</f>
        <v>12992</v>
      </c>
      <c r="D987">
        <f>IF(YEAR(Table8[[#This Row],[Date]])=2023,B987,0)+IF(ROW(D986)=1,0,D986)</f>
        <v>4195</v>
      </c>
      <c r="E987">
        <f>MAX(Table8[Cumulative 2023 Q4])</f>
        <v>4195</v>
      </c>
      <c r="F987">
        <f>IF(YEAR(Table8[[#This Row],[Date]])=2024,B987,0)+IF(ROW(F986)=1,0,F986)</f>
        <v>5831</v>
      </c>
      <c r="G987">
        <f>MAX(Table8[Cumulative 2024])</f>
        <v>5831</v>
      </c>
      <c r="H987">
        <f>IF(YEAR(Table8[[#This Row],[Date]])=2025,B987,0)+IF(ROW(H986)=1,0,H986)</f>
        <v>1377</v>
      </c>
      <c r="I987">
        <f>MAX(Table8[Cumulative 2025])</f>
        <v>1377</v>
      </c>
      <c r="J987">
        <f>IF(YEAR(Table8[[#This Row],[Date]])=2026,B987,0)+IF(ROW(J986)=1,0,J986)</f>
        <v>1589</v>
      </c>
      <c r="K987">
        <f>MAX(Table8[Cumulative 2026])</f>
        <v>3102</v>
      </c>
    </row>
    <row r="988" spans="1:11" hidden="1" x14ac:dyDescent="0.25">
      <c r="A988" s="1">
        <v>46197</v>
      </c>
      <c r="B988">
        <f>SUM(_xlfn.CHOOSEROWS(Table8[[The Golden Compass]:[end]],ROW()-1))</f>
        <v>0</v>
      </c>
      <c r="C988">
        <f>Table8[[#This Row],[Cumulative 2023 Q4]]+Table8[[#This Row],[Cumulative 2024]]+Table8[[#This Row],[Cumulative 2025]]+Table8[[#This Row],[Cumulative 2026]]</f>
        <v>12992</v>
      </c>
      <c r="D988">
        <f>IF(YEAR(Table8[[#This Row],[Date]])=2023,B988,0)+IF(ROW(D987)=1,0,D987)</f>
        <v>4195</v>
      </c>
      <c r="E988">
        <f>MAX(Table8[Cumulative 2023 Q4])</f>
        <v>4195</v>
      </c>
      <c r="F988">
        <f>IF(YEAR(Table8[[#This Row],[Date]])=2024,B988,0)+IF(ROW(F987)=1,0,F987)</f>
        <v>5831</v>
      </c>
      <c r="G988">
        <f>MAX(Table8[Cumulative 2024])</f>
        <v>5831</v>
      </c>
      <c r="H988">
        <f>IF(YEAR(Table8[[#This Row],[Date]])=2025,B988,0)+IF(ROW(H987)=1,0,H987)</f>
        <v>1377</v>
      </c>
      <c r="I988">
        <f>MAX(Table8[Cumulative 2025])</f>
        <v>1377</v>
      </c>
      <c r="J988">
        <f>IF(YEAR(Table8[[#This Row],[Date]])=2026,B988,0)+IF(ROW(J987)=1,0,J987)</f>
        <v>1589</v>
      </c>
      <c r="K988">
        <f>MAX(Table8[Cumulative 2026])</f>
        <v>3102</v>
      </c>
    </row>
    <row r="989" spans="1:11" hidden="1" x14ac:dyDescent="0.25">
      <c r="A989" s="1">
        <v>46198</v>
      </c>
      <c r="B989">
        <f>SUM(_xlfn.CHOOSEROWS(Table8[[The Golden Compass]:[end]],ROW()-1))</f>
        <v>0</v>
      </c>
      <c r="C989">
        <f>Table8[[#This Row],[Cumulative 2023 Q4]]+Table8[[#This Row],[Cumulative 2024]]+Table8[[#This Row],[Cumulative 2025]]+Table8[[#This Row],[Cumulative 2026]]</f>
        <v>12992</v>
      </c>
      <c r="D989">
        <f>IF(YEAR(Table8[[#This Row],[Date]])=2023,B989,0)+IF(ROW(D988)=1,0,D988)</f>
        <v>4195</v>
      </c>
      <c r="E989">
        <f>MAX(Table8[Cumulative 2023 Q4])</f>
        <v>4195</v>
      </c>
      <c r="F989">
        <f>IF(YEAR(Table8[[#This Row],[Date]])=2024,B989,0)+IF(ROW(F988)=1,0,F988)</f>
        <v>5831</v>
      </c>
      <c r="G989">
        <f>MAX(Table8[Cumulative 2024])</f>
        <v>5831</v>
      </c>
      <c r="H989">
        <f>IF(YEAR(Table8[[#This Row],[Date]])=2025,B989,0)+IF(ROW(H988)=1,0,H988)</f>
        <v>1377</v>
      </c>
      <c r="I989">
        <f>MAX(Table8[Cumulative 2025])</f>
        <v>1377</v>
      </c>
      <c r="J989">
        <f>IF(YEAR(Table8[[#This Row],[Date]])=2026,B989,0)+IF(ROW(J988)=1,0,J988)</f>
        <v>1589</v>
      </c>
      <c r="K989">
        <f>MAX(Table8[Cumulative 2026])</f>
        <v>3102</v>
      </c>
    </row>
    <row r="990" spans="1:11" hidden="1" x14ac:dyDescent="0.25">
      <c r="A990" s="1">
        <v>46199</v>
      </c>
      <c r="B990">
        <f>SUM(_xlfn.CHOOSEROWS(Table8[[The Golden Compass]:[end]],ROW()-1))</f>
        <v>0</v>
      </c>
      <c r="C990">
        <f>Table8[[#This Row],[Cumulative 2023 Q4]]+Table8[[#This Row],[Cumulative 2024]]+Table8[[#This Row],[Cumulative 2025]]+Table8[[#This Row],[Cumulative 2026]]</f>
        <v>12992</v>
      </c>
      <c r="D990">
        <f>IF(YEAR(Table8[[#This Row],[Date]])=2023,B990,0)+IF(ROW(D989)=1,0,D989)</f>
        <v>4195</v>
      </c>
      <c r="E990">
        <f>MAX(Table8[Cumulative 2023 Q4])</f>
        <v>4195</v>
      </c>
      <c r="F990">
        <f>IF(YEAR(Table8[[#This Row],[Date]])=2024,B990,0)+IF(ROW(F989)=1,0,F989)</f>
        <v>5831</v>
      </c>
      <c r="G990">
        <f>MAX(Table8[Cumulative 2024])</f>
        <v>5831</v>
      </c>
      <c r="H990">
        <f>IF(YEAR(Table8[[#This Row],[Date]])=2025,B990,0)+IF(ROW(H989)=1,0,H989)</f>
        <v>1377</v>
      </c>
      <c r="I990">
        <f>MAX(Table8[Cumulative 2025])</f>
        <v>1377</v>
      </c>
      <c r="J990">
        <f>IF(YEAR(Table8[[#This Row],[Date]])=2026,B990,0)+IF(ROW(J989)=1,0,J989)</f>
        <v>1589</v>
      </c>
      <c r="K990">
        <f>MAX(Table8[Cumulative 2026])</f>
        <v>3102</v>
      </c>
    </row>
    <row r="991" spans="1:11" hidden="1" x14ac:dyDescent="0.25">
      <c r="A991" s="1">
        <v>46200</v>
      </c>
      <c r="B991">
        <f>SUM(_xlfn.CHOOSEROWS(Table8[[The Golden Compass]:[end]],ROW()-1))</f>
        <v>0</v>
      </c>
      <c r="C991">
        <f>Table8[[#This Row],[Cumulative 2023 Q4]]+Table8[[#This Row],[Cumulative 2024]]+Table8[[#This Row],[Cumulative 2025]]+Table8[[#This Row],[Cumulative 2026]]</f>
        <v>12992</v>
      </c>
      <c r="D991">
        <f>IF(YEAR(Table8[[#This Row],[Date]])=2023,B991,0)+IF(ROW(D990)=1,0,D990)</f>
        <v>4195</v>
      </c>
      <c r="E991">
        <f>MAX(Table8[Cumulative 2023 Q4])</f>
        <v>4195</v>
      </c>
      <c r="F991">
        <f>IF(YEAR(Table8[[#This Row],[Date]])=2024,B991,0)+IF(ROW(F990)=1,0,F990)</f>
        <v>5831</v>
      </c>
      <c r="G991">
        <f>MAX(Table8[Cumulative 2024])</f>
        <v>5831</v>
      </c>
      <c r="H991">
        <f>IF(YEAR(Table8[[#This Row],[Date]])=2025,B991,0)+IF(ROW(H990)=1,0,H990)</f>
        <v>1377</v>
      </c>
      <c r="I991">
        <f>MAX(Table8[Cumulative 2025])</f>
        <v>1377</v>
      </c>
      <c r="J991">
        <f>IF(YEAR(Table8[[#This Row],[Date]])=2026,B991,0)+IF(ROW(J990)=1,0,J990)</f>
        <v>1589</v>
      </c>
      <c r="K991">
        <f>MAX(Table8[Cumulative 2026])</f>
        <v>3102</v>
      </c>
    </row>
    <row r="992" spans="1:11" hidden="1" x14ac:dyDescent="0.25">
      <c r="A992" s="1">
        <v>46201</v>
      </c>
      <c r="B992">
        <f>SUM(_xlfn.CHOOSEROWS(Table8[[The Golden Compass]:[end]],ROW()-1))</f>
        <v>0</v>
      </c>
      <c r="C992">
        <f>Table8[[#This Row],[Cumulative 2023 Q4]]+Table8[[#This Row],[Cumulative 2024]]+Table8[[#This Row],[Cumulative 2025]]+Table8[[#This Row],[Cumulative 2026]]</f>
        <v>12992</v>
      </c>
      <c r="D992">
        <f>IF(YEAR(Table8[[#This Row],[Date]])=2023,B992,0)+IF(ROW(D991)=1,0,D991)</f>
        <v>4195</v>
      </c>
      <c r="E992">
        <f>MAX(Table8[Cumulative 2023 Q4])</f>
        <v>4195</v>
      </c>
      <c r="F992">
        <f>IF(YEAR(Table8[[#This Row],[Date]])=2024,B992,0)+IF(ROW(F991)=1,0,F991)</f>
        <v>5831</v>
      </c>
      <c r="G992">
        <f>MAX(Table8[Cumulative 2024])</f>
        <v>5831</v>
      </c>
      <c r="H992">
        <f>IF(YEAR(Table8[[#This Row],[Date]])=2025,B992,0)+IF(ROW(H991)=1,0,H991)</f>
        <v>1377</v>
      </c>
      <c r="I992">
        <f>MAX(Table8[Cumulative 2025])</f>
        <v>1377</v>
      </c>
      <c r="J992">
        <f>IF(YEAR(Table8[[#This Row],[Date]])=2026,B992,0)+IF(ROW(J991)=1,0,J991)</f>
        <v>1589</v>
      </c>
      <c r="K992">
        <f>MAX(Table8[Cumulative 2026])</f>
        <v>3102</v>
      </c>
    </row>
    <row r="993" spans="1:11" hidden="1" x14ac:dyDescent="0.25">
      <c r="A993" s="1">
        <v>46202</v>
      </c>
      <c r="B993">
        <f>SUM(_xlfn.CHOOSEROWS(Table8[[The Golden Compass]:[end]],ROW()-1))</f>
        <v>0</v>
      </c>
      <c r="C993">
        <f>Table8[[#This Row],[Cumulative 2023 Q4]]+Table8[[#This Row],[Cumulative 2024]]+Table8[[#This Row],[Cumulative 2025]]+Table8[[#This Row],[Cumulative 2026]]</f>
        <v>12992</v>
      </c>
      <c r="D993">
        <f>IF(YEAR(Table8[[#This Row],[Date]])=2023,B993,0)+IF(ROW(D992)=1,0,D992)</f>
        <v>4195</v>
      </c>
      <c r="E993">
        <f>MAX(Table8[Cumulative 2023 Q4])</f>
        <v>4195</v>
      </c>
      <c r="F993">
        <f>IF(YEAR(Table8[[#This Row],[Date]])=2024,B993,0)+IF(ROW(F992)=1,0,F992)</f>
        <v>5831</v>
      </c>
      <c r="G993">
        <f>MAX(Table8[Cumulative 2024])</f>
        <v>5831</v>
      </c>
      <c r="H993">
        <f>IF(YEAR(Table8[[#This Row],[Date]])=2025,B993,0)+IF(ROW(H992)=1,0,H992)</f>
        <v>1377</v>
      </c>
      <c r="I993">
        <f>MAX(Table8[Cumulative 2025])</f>
        <v>1377</v>
      </c>
      <c r="J993">
        <f>IF(YEAR(Table8[[#This Row],[Date]])=2026,B993,0)+IF(ROW(J992)=1,0,J992)</f>
        <v>1589</v>
      </c>
      <c r="K993">
        <f>MAX(Table8[Cumulative 2026])</f>
        <v>3102</v>
      </c>
    </row>
    <row r="994" spans="1:11" hidden="1" x14ac:dyDescent="0.25">
      <c r="A994" s="1">
        <v>46203</v>
      </c>
      <c r="B994">
        <f>SUM(_xlfn.CHOOSEROWS(Table8[[The Golden Compass]:[end]],ROW()-1))</f>
        <v>0</v>
      </c>
      <c r="C994">
        <f>Table8[[#This Row],[Cumulative 2023 Q4]]+Table8[[#This Row],[Cumulative 2024]]+Table8[[#This Row],[Cumulative 2025]]+Table8[[#This Row],[Cumulative 2026]]</f>
        <v>12992</v>
      </c>
      <c r="D994">
        <f>IF(YEAR(Table8[[#This Row],[Date]])=2023,B994,0)+IF(ROW(D993)=1,0,D993)</f>
        <v>4195</v>
      </c>
      <c r="E994">
        <f>MAX(Table8[Cumulative 2023 Q4])</f>
        <v>4195</v>
      </c>
      <c r="F994">
        <f>IF(YEAR(Table8[[#This Row],[Date]])=2024,B994,0)+IF(ROW(F993)=1,0,F993)</f>
        <v>5831</v>
      </c>
      <c r="G994">
        <f>MAX(Table8[Cumulative 2024])</f>
        <v>5831</v>
      </c>
      <c r="H994">
        <f>IF(YEAR(Table8[[#This Row],[Date]])=2025,B994,0)+IF(ROW(H993)=1,0,H993)</f>
        <v>1377</v>
      </c>
      <c r="I994">
        <f>MAX(Table8[Cumulative 2025])</f>
        <v>1377</v>
      </c>
      <c r="J994">
        <f>IF(YEAR(Table8[[#This Row],[Date]])=2026,B994,0)+IF(ROW(J993)=1,0,J993)</f>
        <v>1589</v>
      </c>
      <c r="K994">
        <f>MAX(Table8[Cumulative 2026])</f>
        <v>3102</v>
      </c>
    </row>
    <row r="995" spans="1:11" hidden="1" x14ac:dyDescent="0.25">
      <c r="A995" s="1">
        <v>46204</v>
      </c>
      <c r="B995">
        <f>SUM(_xlfn.CHOOSEROWS(Table8[[The Golden Compass]:[end]],ROW()-1))</f>
        <v>0</v>
      </c>
      <c r="C995">
        <f>Table8[[#This Row],[Cumulative 2023 Q4]]+Table8[[#This Row],[Cumulative 2024]]+Table8[[#This Row],[Cumulative 2025]]+Table8[[#This Row],[Cumulative 2026]]</f>
        <v>12992</v>
      </c>
      <c r="D995">
        <f>IF(YEAR(Table8[[#This Row],[Date]])=2023,B995,0)+IF(ROW(D994)=1,0,D994)</f>
        <v>4195</v>
      </c>
      <c r="E995">
        <f>MAX(Table8[Cumulative 2023 Q4])</f>
        <v>4195</v>
      </c>
      <c r="F995">
        <f>IF(YEAR(Table8[[#This Row],[Date]])=2024,B995,0)+IF(ROW(F994)=1,0,F994)</f>
        <v>5831</v>
      </c>
      <c r="G995">
        <f>MAX(Table8[Cumulative 2024])</f>
        <v>5831</v>
      </c>
      <c r="H995">
        <f>IF(YEAR(Table8[[#This Row],[Date]])=2025,B995,0)+IF(ROW(H994)=1,0,H994)</f>
        <v>1377</v>
      </c>
      <c r="I995">
        <f>MAX(Table8[Cumulative 2025])</f>
        <v>1377</v>
      </c>
      <c r="J995">
        <f>IF(YEAR(Table8[[#This Row],[Date]])=2026,B995,0)+IF(ROW(J994)=1,0,J994)</f>
        <v>1589</v>
      </c>
      <c r="K995">
        <f>MAX(Table8[Cumulative 2026])</f>
        <v>3102</v>
      </c>
    </row>
    <row r="996" spans="1:11" hidden="1" x14ac:dyDescent="0.25">
      <c r="A996" s="1">
        <v>46205</v>
      </c>
      <c r="B996">
        <f>SUM(_xlfn.CHOOSEROWS(Table8[[The Golden Compass]:[end]],ROW()-1))</f>
        <v>0</v>
      </c>
      <c r="C996">
        <f>Table8[[#This Row],[Cumulative 2023 Q4]]+Table8[[#This Row],[Cumulative 2024]]+Table8[[#This Row],[Cumulative 2025]]+Table8[[#This Row],[Cumulative 2026]]</f>
        <v>12992</v>
      </c>
      <c r="D996">
        <f>IF(YEAR(Table8[[#This Row],[Date]])=2023,B996,0)+IF(ROW(D995)=1,0,D995)</f>
        <v>4195</v>
      </c>
      <c r="E996">
        <f>MAX(Table8[Cumulative 2023 Q4])</f>
        <v>4195</v>
      </c>
      <c r="F996">
        <f>IF(YEAR(Table8[[#This Row],[Date]])=2024,B996,0)+IF(ROW(F995)=1,0,F995)</f>
        <v>5831</v>
      </c>
      <c r="G996">
        <f>MAX(Table8[Cumulative 2024])</f>
        <v>5831</v>
      </c>
      <c r="H996">
        <f>IF(YEAR(Table8[[#This Row],[Date]])=2025,B996,0)+IF(ROW(H995)=1,0,H995)</f>
        <v>1377</v>
      </c>
      <c r="I996">
        <f>MAX(Table8[Cumulative 2025])</f>
        <v>1377</v>
      </c>
      <c r="J996">
        <f>IF(YEAR(Table8[[#This Row],[Date]])=2026,B996,0)+IF(ROW(J995)=1,0,J995)</f>
        <v>1589</v>
      </c>
      <c r="K996">
        <f>MAX(Table8[Cumulative 2026])</f>
        <v>3102</v>
      </c>
    </row>
    <row r="997" spans="1:11" hidden="1" x14ac:dyDescent="0.25">
      <c r="A997" s="1">
        <v>46206</v>
      </c>
      <c r="B997">
        <f>SUM(_xlfn.CHOOSEROWS(Table8[[The Golden Compass]:[end]],ROW()-1))</f>
        <v>0</v>
      </c>
      <c r="C997">
        <f>Table8[[#This Row],[Cumulative 2023 Q4]]+Table8[[#This Row],[Cumulative 2024]]+Table8[[#This Row],[Cumulative 2025]]+Table8[[#This Row],[Cumulative 2026]]</f>
        <v>12992</v>
      </c>
      <c r="D997">
        <f>IF(YEAR(Table8[[#This Row],[Date]])=2023,B997,0)+IF(ROW(D996)=1,0,D996)</f>
        <v>4195</v>
      </c>
      <c r="E997">
        <f>MAX(Table8[Cumulative 2023 Q4])</f>
        <v>4195</v>
      </c>
      <c r="F997">
        <f>IF(YEAR(Table8[[#This Row],[Date]])=2024,B997,0)+IF(ROW(F996)=1,0,F996)</f>
        <v>5831</v>
      </c>
      <c r="G997">
        <f>MAX(Table8[Cumulative 2024])</f>
        <v>5831</v>
      </c>
      <c r="H997">
        <f>IF(YEAR(Table8[[#This Row],[Date]])=2025,B997,0)+IF(ROW(H996)=1,0,H996)</f>
        <v>1377</v>
      </c>
      <c r="I997">
        <f>MAX(Table8[Cumulative 2025])</f>
        <v>1377</v>
      </c>
      <c r="J997">
        <f>IF(YEAR(Table8[[#This Row],[Date]])=2026,B997,0)+IF(ROW(J996)=1,0,J996)</f>
        <v>1589</v>
      </c>
      <c r="K997">
        <f>MAX(Table8[Cumulative 2026])</f>
        <v>3102</v>
      </c>
    </row>
    <row r="998" spans="1:11" hidden="1" x14ac:dyDescent="0.25">
      <c r="A998" s="1">
        <v>46207</v>
      </c>
      <c r="B998">
        <f>SUM(_xlfn.CHOOSEROWS(Table8[[The Golden Compass]:[end]],ROW()-1))</f>
        <v>0</v>
      </c>
      <c r="C998">
        <f>Table8[[#This Row],[Cumulative 2023 Q4]]+Table8[[#This Row],[Cumulative 2024]]+Table8[[#This Row],[Cumulative 2025]]+Table8[[#This Row],[Cumulative 2026]]</f>
        <v>12992</v>
      </c>
      <c r="D998">
        <f>IF(YEAR(Table8[[#This Row],[Date]])=2023,B998,0)+IF(ROW(D997)=1,0,D997)</f>
        <v>4195</v>
      </c>
      <c r="E998">
        <f>MAX(Table8[Cumulative 2023 Q4])</f>
        <v>4195</v>
      </c>
      <c r="F998">
        <f>IF(YEAR(Table8[[#This Row],[Date]])=2024,B998,0)+IF(ROW(F997)=1,0,F997)</f>
        <v>5831</v>
      </c>
      <c r="G998">
        <f>MAX(Table8[Cumulative 2024])</f>
        <v>5831</v>
      </c>
      <c r="H998">
        <f>IF(YEAR(Table8[[#This Row],[Date]])=2025,B998,0)+IF(ROW(H997)=1,0,H997)</f>
        <v>1377</v>
      </c>
      <c r="I998">
        <f>MAX(Table8[Cumulative 2025])</f>
        <v>1377</v>
      </c>
      <c r="J998">
        <f>IF(YEAR(Table8[[#This Row],[Date]])=2026,B998,0)+IF(ROW(J997)=1,0,J997)</f>
        <v>1589</v>
      </c>
      <c r="K998">
        <f>MAX(Table8[Cumulative 2026])</f>
        <v>3102</v>
      </c>
    </row>
    <row r="999" spans="1:11" hidden="1" x14ac:dyDescent="0.25">
      <c r="A999" s="1">
        <v>46208</v>
      </c>
      <c r="B999">
        <f>SUM(_xlfn.CHOOSEROWS(Table8[[The Golden Compass]:[end]],ROW()-1))</f>
        <v>0</v>
      </c>
      <c r="C999">
        <f>Table8[[#This Row],[Cumulative 2023 Q4]]+Table8[[#This Row],[Cumulative 2024]]+Table8[[#This Row],[Cumulative 2025]]+Table8[[#This Row],[Cumulative 2026]]</f>
        <v>12992</v>
      </c>
      <c r="D999">
        <f>IF(YEAR(Table8[[#This Row],[Date]])=2023,B999,0)+IF(ROW(D998)=1,0,D998)</f>
        <v>4195</v>
      </c>
      <c r="E999">
        <f>MAX(Table8[Cumulative 2023 Q4])</f>
        <v>4195</v>
      </c>
      <c r="F999">
        <f>IF(YEAR(Table8[[#This Row],[Date]])=2024,B999,0)+IF(ROW(F998)=1,0,F998)</f>
        <v>5831</v>
      </c>
      <c r="G999">
        <f>MAX(Table8[Cumulative 2024])</f>
        <v>5831</v>
      </c>
      <c r="H999">
        <f>IF(YEAR(Table8[[#This Row],[Date]])=2025,B999,0)+IF(ROW(H998)=1,0,H998)</f>
        <v>1377</v>
      </c>
      <c r="I999">
        <f>MAX(Table8[Cumulative 2025])</f>
        <v>1377</v>
      </c>
      <c r="J999">
        <f>IF(YEAR(Table8[[#This Row],[Date]])=2026,B999,0)+IF(ROW(J998)=1,0,J998)</f>
        <v>1589</v>
      </c>
      <c r="K999">
        <f>MAX(Table8[Cumulative 2026])</f>
        <v>3102</v>
      </c>
    </row>
    <row r="1000" spans="1:11" hidden="1" x14ac:dyDescent="0.25">
      <c r="A1000" s="1">
        <v>46209</v>
      </c>
      <c r="B1000">
        <f>SUM(_xlfn.CHOOSEROWS(Table8[[The Golden Compass]:[end]],ROW()-1))</f>
        <v>0</v>
      </c>
      <c r="C1000">
        <f>Table8[[#This Row],[Cumulative 2023 Q4]]+Table8[[#This Row],[Cumulative 2024]]+Table8[[#This Row],[Cumulative 2025]]+Table8[[#This Row],[Cumulative 2026]]</f>
        <v>12992</v>
      </c>
      <c r="D1000">
        <f>IF(YEAR(Table8[[#This Row],[Date]])=2023,B1000,0)+IF(ROW(D999)=1,0,D999)</f>
        <v>4195</v>
      </c>
      <c r="E1000">
        <f>MAX(Table8[Cumulative 2023 Q4])</f>
        <v>4195</v>
      </c>
      <c r="F1000">
        <f>IF(YEAR(Table8[[#This Row],[Date]])=2024,B1000,0)+IF(ROW(F999)=1,0,F999)</f>
        <v>5831</v>
      </c>
      <c r="G1000">
        <f>MAX(Table8[Cumulative 2024])</f>
        <v>5831</v>
      </c>
      <c r="H1000">
        <f>IF(YEAR(Table8[[#This Row],[Date]])=2025,B1000,0)+IF(ROW(H999)=1,0,H999)</f>
        <v>1377</v>
      </c>
      <c r="I1000">
        <f>MAX(Table8[Cumulative 2025])</f>
        <v>1377</v>
      </c>
      <c r="J1000">
        <f>IF(YEAR(Table8[[#This Row],[Date]])=2026,B1000,0)+IF(ROW(J999)=1,0,J999)</f>
        <v>1589</v>
      </c>
      <c r="K1000">
        <f>MAX(Table8[Cumulative 2026])</f>
        <v>3102</v>
      </c>
    </row>
    <row r="1001" spans="1:11" hidden="1" x14ac:dyDescent="0.25">
      <c r="A1001" s="1">
        <v>46210</v>
      </c>
      <c r="B1001">
        <f>SUM(_xlfn.CHOOSEROWS(Table8[[The Golden Compass]:[end]],ROW()-1))</f>
        <v>0</v>
      </c>
      <c r="C1001">
        <f>Table8[[#This Row],[Cumulative 2023 Q4]]+Table8[[#This Row],[Cumulative 2024]]+Table8[[#This Row],[Cumulative 2025]]+Table8[[#This Row],[Cumulative 2026]]</f>
        <v>12992</v>
      </c>
      <c r="D1001">
        <f>IF(YEAR(Table8[[#This Row],[Date]])=2023,B1001,0)+IF(ROW(D1000)=1,0,D1000)</f>
        <v>4195</v>
      </c>
      <c r="E1001">
        <f>MAX(Table8[Cumulative 2023 Q4])</f>
        <v>4195</v>
      </c>
      <c r="F1001">
        <f>IF(YEAR(Table8[[#This Row],[Date]])=2024,B1001,0)+IF(ROW(F1000)=1,0,F1000)</f>
        <v>5831</v>
      </c>
      <c r="G1001">
        <f>MAX(Table8[Cumulative 2024])</f>
        <v>5831</v>
      </c>
      <c r="H1001">
        <f>IF(YEAR(Table8[[#This Row],[Date]])=2025,B1001,0)+IF(ROW(H1000)=1,0,H1000)</f>
        <v>1377</v>
      </c>
      <c r="I1001">
        <f>MAX(Table8[Cumulative 2025])</f>
        <v>1377</v>
      </c>
      <c r="J1001">
        <f>IF(YEAR(Table8[[#This Row],[Date]])=2026,B1001,0)+IF(ROW(J1000)=1,0,J1000)</f>
        <v>1589</v>
      </c>
      <c r="K1001">
        <f>MAX(Table8[Cumulative 2026])</f>
        <v>3102</v>
      </c>
    </row>
    <row r="1002" spans="1:11" hidden="1" x14ac:dyDescent="0.25">
      <c r="A1002" s="1">
        <v>46211</v>
      </c>
      <c r="B1002">
        <f>SUM(_xlfn.CHOOSEROWS(Table8[[The Golden Compass]:[end]],ROW()-1))</f>
        <v>0</v>
      </c>
      <c r="C1002">
        <f>Table8[[#This Row],[Cumulative 2023 Q4]]+Table8[[#This Row],[Cumulative 2024]]+Table8[[#This Row],[Cumulative 2025]]+Table8[[#This Row],[Cumulative 2026]]</f>
        <v>12992</v>
      </c>
      <c r="D1002">
        <f>IF(YEAR(Table8[[#This Row],[Date]])=2023,B1002,0)+IF(ROW(D1001)=1,0,D1001)</f>
        <v>4195</v>
      </c>
      <c r="E1002">
        <f>MAX(Table8[Cumulative 2023 Q4])</f>
        <v>4195</v>
      </c>
      <c r="F1002">
        <f>IF(YEAR(Table8[[#This Row],[Date]])=2024,B1002,0)+IF(ROW(F1001)=1,0,F1001)</f>
        <v>5831</v>
      </c>
      <c r="G1002">
        <f>MAX(Table8[Cumulative 2024])</f>
        <v>5831</v>
      </c>
      <c r="H1002">
        <f>IF(YEAR(Table8[[#This Row],[Date]])=2025,B1002,0)+IF(ROW(H1001)=1,0,H1001)</f>
        <v>1377</v>
      </c>
      <c r="I1002">
        <f>MAX(Table8[Cumulative 2025])</f>
        <v>1377</v>
      </c>
      <c r="J1002">
        <f>IF(YEAR(Table8[[#This Row],[Date]])=2026,B1002,0)+IF(ROW(J1001)=1,0,J1001)</f>
        <v>1589</v>
      </c>
      <c r="K1002">
        <f>MAX(Table8[Cumulative 2026])</f>
        <v>3102</v>
      </c>
    </row>
    <row r="1003" spans="1:11" hidden="1" x14ac:dyDescent="0.25">
      <c r="A1003" s="1">
        <v>46212</v>
      </c>
      <c r="B1003">
        <f>SUM(_xlfn.CHOOSEROWS(Table8[[The Golden Compass]:[end]],ROW()-1))</f>
        <v>0</v>
      </c>
      <c r="C1003">
        <f>Table8[[#This Row],[Cumulative 2023 Q4]]+Table8[[#This Row],[Cumulative 2024]]+Table8[[#This Row],[Cumulative 2025]]+Table8[[#This Row],[Cumulative 2026]]</f>
        <v>12992</v>
      </c>
      <c r="D1003">
        <f>IF(YEAR(Table8[[#This Row],[Date]])=2023,B1003,0)+IF(ROW(D1002)=1,0,D1002)</f>
        <v>4195</v>
      </c>
      <c r="E1003">
        <f>MAX(Table8[Cumulative 2023 Q4])</f>
        <v>4195</v>
      </c>
      <c r="F1003">
        <f>IF(YEAR(Table8[[#This Row],[Date]])=2024,B1003,0)+IF(ROW(F1002)=1,0,F1002)</f>
        <v>5831</v>
      </c>
      <c r="G1003">
        <f>MAX(Table8[Cumulative 2024])</f>
        <v>5831</v>
      </c>
      <c r="H1003">
        <f>IF(YEAR(Table8[[#This Row],[Date]])=2025,B1003,0)+IF(ROW(H1002)=1,0,H1002)</f>
        <v>1377</v>
      </c>
      <c r="I1003">
        <f>MAX(Table8[Cumulative 2025])</f>
        <v>1377</v>
      </c>
      <c r="J1003">
        <f>IF(YEAR(Table8[[#This Row],[Date]])=2026,B1003,0)+IF(ROW(J1002)=1,0,J1002)</f>
        <v>1589</v>
      </c>
      <c r="K1003">
        <f>MAX(Table8[Cumulative 2026])</f>
        <v>3102</v>
      </c>
    </row>
    <row r="1004" spans="1:11" hidden="1" x14ac:dyDescent="0.25">
      <c r="A1004" s="1">
        <v>46213</v>
      </c>
      <c r="B1004">
        <f>SUM(_xlfn.CHOOSEROWS(Table8[[The Golden Compass]:[end]],ROW()-1))</f>
        <v>0</v>
      </c>
      <c r="C1004">
        <f>Table8[[#This Row],[Cumulative 2023 Q4]]+Table8[[#This Row],[Cumulative 2024]]+Table8[[#This Row],[Cumulative 2025]]+Table8[[#This Row],[Cumulative 2026]]</f>
        <v>12992</v>
      </c>
      <c r="D1004">
        <f>IF(YEAR(Table8[[#This Row],[Date]])=2023,B1004,0)+IF(ROW(D1003)=1,0,D1003)</f>
        <v>4195</v>
      </c>
      <c r="E1004">
        <f>MAX(Table8[Cumulative 2023 Q4])</f>
        <v>4195</v>
      </c>
      <c r="F1004">
        <f>IF(YEAR(Table8[[#This Row],[Date]])=2024,B1004,0)+IF(ROW(F1003)=1,0,F1003)</f>
        <v>5831</v>
      </c>
      <c r="G1004">
        <f>MAX(Table8[Cumulative 2024])</f>
        <v>5831</v>
      </c>
      <c r="H1004">
        <f>IF(YEAR(Table8[[#This Row],[Date]])=2025,B1004,0)+IF(ROW(H1003)=1,0,H1003)</f>
        <v>1377</v>
      </c>
      <c r="I1004">
        <f>MAX(Table8[Cumulative 2025])</f>
        <v>1377</v>
      </c>
      <c r="J1004">
        <f>IF(YEAR(Table8[[#This Row],[Date]])=2026,B1004,0)+IF(ROW(J1003)=1,0,J1003)</f>
        <v>1589</v>
      </c>
      <c r="K1004">
        <f>MAX(Table8[Cumulative 2026])</f>
        <v>3102</v>
      </c>
    </row>
    <row r="1005" spans="1:11" hidden="1" x14ac:dyDescent="0.25">
      <c r="A1005" s="1">
        <v>46214</v>
      </c>
      <c r="B1005">
        <f>SUM(_xlfn.CHOOSEROWS(Table8[[The Golden Compass]:[end]],ROW()-1))</f>
        <v>0</v>
      </c>
      <c r="C1005">
        <f>Table8[[#This Row],[Cumulative 2023 Q4]]+Table8[[#This Row],[Cumulative 2024]]+Table8[[#This Row],[Cumulative 2025]]+Table8[[#This Row],[Cumulative 2026]]</f>
        <v>12992</v>
      </c>
      <c r="D1005">
        <f>IF(YEAR(Table8[[#This Row],[Date]])=2023,B1005,0)+IF(ROW(D1004)=1,0,D1004)</f>
        <v>4195</v>
      </c>
      <c r="E1005">
        <f>MAX(Table8[Cumulative 2023 Q4])</f>
        <v>4195</v>
      </c>
      <c r="F1005">
        <f>IF(YEAR(Table8[[#This Row],[Date]])=2024,B1005,0)+IF(ROW(F1004)=1,0,F1004)</f>
        <v>5831</v>
      </c>
      <c r="G1005">
        <f>MAX(Table8[Cumulative 2024])</f>
        <v>5831</v>
      </c>
      <c r="H1005">
        <f>IF(YEAR(Table8[[#This Row],[Date]])=2025,B1005,0)+IF(ROW(H1004)=1,0,H1004)</f>
        <v>1377</v>
      </c>
      <c r="I1005">
        <f>MAX(Table8[Cumulative 2025])</f>
        <v>1377</v>
      </c>
      <c r="J1005">
        <f>IF(YEAR(Table8[[#This Row],[Date]])=2026,B1005,0)+IF(ROW(J1004)=1,0,J1004)</f>
        <v>1589</v>
      </c>
      <c r="K1005">
        <f>MAX(Table8[Cumulative 2026])</f>
        <v>3102</v>
      </c>
    </row>
    <row r="1006" spans="1:11" hidden="1" x14ac:dyDescent="0.25">
      <c r="A1006" s="1">
        <v>46215</v>
      </c>
      <c r="B1006">
        <f>SUM(_xlfn.CHOOSEROWS(Table8[[The Golden Compass]:[end]],ROW()-1))</f>
        <v>0</v>
      </c>
      <c r="C1006">
        <f>Table8[[#This Row],[Cumulative 2023 Q4]]+Table8[[#This Row],[Cumulative 2024]]+Table8[[#This Row],[Cumulative 2025]]+Table8[[#This Row],[Cumulative 2026]]</f>
        <v>12992</v>
      </c>
      <c r="D1006">
        <f>IF(YEAR(Table8[[#This Row],[Date]])=2023,B1006,0)+IF(ROW(D1005)=1,0,D1005)</f>
        <v>4195</v>
      </c>
      <c r="E1006">
        <f>MAX(Table8[Cumulative 2023 Q4])</f>
        <v>4195</v>
      </c>
      <c r="F1006">
        <f>IF(YEAR(Table8[[#This Row],[Date]])=2024,B1006,0)+IF(ROW(F1005)=1,0,F1005)</f>
        <v>5831</v>
      </c>
      <c r="G1006">
        <f>MAX(Table8[Cumulative 2024])</f>
        <v>5831</v>
      </c>
      <c r="H1006">
        <f>IF(YEAR(Table8[[#This Row],[Date]])=2025,B1006,0)+IF(ROW(H1005)=1,0,H1005)</f>
        <v>1377</v>
      </c>
      <c r="I1006">
        <f>MAX(Table8[Cumulative 2025])</f>
        <v>1377</v>
      </c>
      <c r="J1006">
        <f>IF(YEAR(Table8[[#This Row],[Date]])=2026,B1006,0)+IF(ROW(J1005)=1,0,J1005)</f>
        <v>1589</v>
      </c>
      <c r="K1006">
        <f>MAX(Table8[Cumulative 2026])</f>
        <v>3102</v>
      </c>
    </row>
    <row r="1007" spans="1:11" hidden="1" x14ac:dyDescent="0.25">
      <c r="A1007" s="1">
        <v>46216</v>
      </c>
      <c r="B1007">
        <f>SUM(_xlfn.CHOOSEROWS(Table8[[The Golden Compass]:[end]],ROW()-1))</f>
        <v>0</v>
      </c>
      <c r="C1007">
        <f>Table8[[#This Row],[Cumulative 2023 Q4]]+Table8[[#This Row],[Cumulative 2024]]+Table8[[#This Row],[Cumulative 2025]]+Table8[[#This Row],[Cumulative 2026]]</f>
        <v>12992</v>
      </c>
      <c r="D1007">
        <f>IF(YEAR(Table8[[#This Row],[Date]])=2023,B1007,0)+IF(ROW(D1006)=1,0,D1006)</f>
        <v>4195</v>
      </c>
      <c r="E1007">
        <f>MAX(Table8[Cumulative 2023 Q4])</f>
        <v>4195</v>
      </c>
      <c r="F1007">
        <f>IF(YEAR(Table8[[#This Row],[Date]])=2024,B1007,0)+IF(ROW(F1006)=1,0,F1006)</f>
        <v>5831</v>
      </c>
      <c r="G1007">
        <f>MAX(Table8[Cumulative 2024])</f>
        <v>5831</v>
      </c>
      <c r="H1007">
        <f>IF(YEAR(Table8[[#This Row],[Date]])=2025,B1007,0)+IF(ROW(H1006)=1,0,H1006)</f>
        <v>1377</v>
      </c>
      <c r="I1007">
        <f>MAX(Table8[Cumulative 2025])</f>
        <v>1377</v>
      </c>
      <c r="J1007">
        <f>IF(YEAR(Table8[[#This Row],[Date]])=2026,B1007,0)+IF(ROW(J1006)=1,0,J1006)</f>
        <v>1589</v>
      </c>
      <c r="K1007">
        <f>MAX(Table8[Cumulative 2026])</f>
        <v>3102</v>
      </c>
    </row>
    <row r="1008" spans="1:11" hidden="1" x14ac:dyDescent="0.25">
      <c r="A1008" s="1">
        <v>46217</v>
      </c>
      <c r="B1008">
        <f>SUM(_xlfn.CHOOSEROWS(Table8[[The Golden Compass]:[end]],ROW()-1))</f>
        <v>0</v>
      </c>
      <c r="C1008">
        <f>Table8[[#This Row],[Cumulative 2023 Q4]]+Table8[[#This Row],[Cumulative 2024]]+Table8[[#This Row],[Cumulative 2025]]+Table8[[#This Row],[Cumulative 2026]]</f>
        <v>12992</v>
      </c>
      <c r="D1008">
        <f>IF(YEAR(Table8[[#This Row],[Date]])=2023,B1008,0)+IF(ROW(D1007)=1,0,D1007)</f>
        <v>4195</v>
      </c>
      <c r="E1008">
        <f>MAX(Table8[Cumulative 2023 Q4])</f>
        <v>4195</v>
      </c>
      <c r="F1008">
        <f>IF(YEAR(Table8[[#This Row],[Date]])=2024,B1008,0)+IF(ROW(F1007)=1,0,F1007)</f>
        <v>5831</v>
      </c>
      <c r="G1008">
        <f>MAX(Table8[Cumulative 2024])</f>
        <v>5831</v>
      </c>
      <c r="H1008">
        <f>IF(YEAR(Table8[[#This Row],[Date]])=2025,B1008,0)+IF(ROW(H1007)=1,0,H1007)</f>
        <v>1377</v>
      </c>
      <c r="I1008">
        <f>MAX(Table8[Cumulative 2025])</f>
        <v>1377</v>
      </c>
      <c r="J1008">
        <f>IF(YEAR(Table8[[#This Row],[Date]])=2026,B1008,0)+IF(ROW(J1007)=1,0,J1007)</f>
        <v>1589</v>
      </c>
      <c r="K1008">
        <f>MAX(Table8[Cumulative 2026])</f>
        <v>3102</v>
      </c>
    </row>
    <row r="1009" spans="1:11" hidden="1" x14ac:dyDescent="0.25">
      <c r="A1009" s="1">
        <v>46218</v>
      </c>
      <c r="B1009">
        <f>SUM(_xlfn.CHOOSEROWS(Table8[[The Golden Compass]:[end]],ROW()-1))</f>
        <v>0</v>
      </c>
      <c r="C1009">
        <f>Table8[[#This Row],[Cumulative 2023 Q4]]+Table8[[#This Row],[Cumulative 2024]]+Table8[[#This Row],[Cumulative 2025]]+Table8[[#This Row],[Cumulative 2026]]</f>
        <v>12992</v>
      </c>
      <c r="D1009">
        <f>IF(YEAR(Table8[[#This Row],[Date]])=2023,B1009,0)+IF(ROW(D1008)=1,0,D1008)</f>
        <v>4195</v>
      </c>
      <c r="E1009">
        <f>MAX(Table8[Cumulative 2023 Q4])</f>
        <v>4195</v>
      </c>
      <c r="F1009">
        <f>IF(YEAR(Table8[[#This Row],[Date]])=2024,B1009,0)+IF(ROW(F1008)=1,0,F1008)</f>
        <v>5831</v>
      </c>
      <c r="G1009">
        <f>MAX(Table8[Cumulative 2024])</f>
        <v>5831</v>
      </c>
      <c r="H1009">
        <f>IF(YEAR(Table8[[#This Row],[Date]])=2025,B1009,0)+IF(ROW(H1008)=1,0,H1008)</f>
        <v>1377</v>
      </c>
      <c r="I1009">
        <f>MAX(Table8[Cumulative 2025])</f>
        <v>1377</v>
      </c>
      <c r="J1009">
        <f>IF(YEAR(Table8[[#This Row],[Date]])=2026,B1009,0)+IF(ROW(J1008)=1,0,J1008)</f>
        <v>1589</v>
      </c>
      <c r="K1009">
        <f>MAX(Table8[Cumulative 2026])</f>
        <v>3102</v>
      </c>
    </row>
    <row r="1010" spans="1:11" hidden="1" x14ac:dyDescent="0.25">
      <c r="A1010" s="1">
        <v>46219</v>
      </c>
      <c r="B1010">
        <f>SUM(_xlfn.CHOOSEROWS(Table8[[The Golden Compass]:[end]],ROW()-1))</f>
        <v>0</v>
      </c>
      <c r="C1010">
        <f>Table8[[#This Row],[Cumulative 2023 Q4]]+Table8[[#This Row],[Cumulative 2024]]+Table8[[#This Row],[Cumulative 2025]]+Table8[[#This Row],[Cumulative 2026]]</f>
        <v>12992</v>
      </c>
      <c r="D1010">
        <f>IF(YEAR(Table8[[#This Row],[Date]])=2023,B1010,0)+IF(ROW(D1009)=1,0,D1009)</f>
        <v>4195</v>
      </c>
      <c r="E1010">
        <f>MAX(Table8[Cumulative 2023 Q4])</f>
        <v>4195</v>
      </c>
      <c r="F1010">
        <f>IF(YEAR(Table8[[#This Row],[Date]])=2024,B1010,0)+IF(ROW(F1009)=1,0,F1009)</f>
        <v>5831</v>
      </c>
      <c r="G1010">
        <f>MAX(Table8[Cumulative 2024])</f>
        <v>5831</v>
      </c>
      <c r="H1010">
        <f>IF(YEAR(Table8[[#This Row],[Date]])=2025,B1010,0)+IF(ROW(H1009)=1,0,H1009)</f>
        <v>1377</v>
      </c>
      <c r="I1010">
        <f>MAX(Table8[Cumulative 2025])</f>
        <v>1377</v>
      </c>
      <c r="J1010">
        <f>IF(YEAR(Table8[[#This Row],[Date]])=2026,B1010,0)+IF(ROW(J1009)=1,0,J1009)</f>
        <v>1589</v>
      </c>
      <c r="K1010">
        <f>MAX(Table8[Cumulative 2026])</f>
        <v>3102</v>
      </c>
    </row>
    <row r="1011" spans="1:11" hidden="1" x14ac:dyDescent="0.25">
      <c r="A1011" s="1">
        <v>46220</v>
      </c>
      <c r="B1011">
        <f>SUM(_xlfn.CHOOSEROWS(Table8[[The Golden Compass]:[end]],ROW()-1))</f>
        <v>0</v>
      </c>
      <c r="C1011">
        <f>Table8[[#This Row],[Cumulative 2023 Q4]]+Table8[[#This Row],[Cumulative 2024]]+Table8[[#This Row],[Cumulative 2025]]+Table8[[#This Row],[Cumulative 2026]]</f>
        <v>12992</v>
      </c>
      <c r="D1011">
        <f>IF(YEAR(Table8[[#This Row],[Date]])=2023,B1011,0)+IF(ROW(D1010)=1,0,D1010)</f>
        <v>4195</v>
      </c>
      <c r="E1011">
        <f>MAX(Table8[Cumulative 2023 Q4])</f>
        <v>4195</v>
      </c>
      <c r="F1011">
        <f>IF(YEAR(Table8[[#This Row],[Date]])=2024,B1011,0)+IF(ROW(F1010)=1,0,F1010)</f>
        <v>5831</v>
      </c>
      <c r="G1011">
        <f>MAX(Table8[Cumulative 2024])</f>
        <v>5831</v>
      </c>
      <c r="H1011">
        <f>IF(YEAR(Table8[[#This Row],[Date]])=2025,B1011,0)+IF(ROW(H1010)=1,0,H1010)</f>
        <v>1377</v>
      </c>
      <c r="I1011">
        <f>MAX(Table8[Cumulative 2025])</f>
        <v>1377</v>
      </c>
      <c r="J1011">
        <f>IF(YEAR(Table8[[#This Row],[Date]])=2026,B1011,0)+IF(ROW(J1010)=1,0,J1010)</f>
        <v>1589</v>
      </c>
      <c r="K1011">
        <f>MAX(Table8[Cumulative 2026])</f>
        <v>3102</v>
      </c>
    </row>
    <row r="1012" spans="1:11" hidden="1" x14ac:dyDescent="0.25">
      <c r="A1012" s="1">
        <v>46221</v>
      </c>
      <c r="B1012">
        <f>SUM(_xlfn.CHOOSEROWS(Table8[[The Golden Compass]:[end]],ROW()-1))</f>
        <v>0</v>
      </c>
      <c r="C1012">
        <f>Table8[[#This Row],[Cumulative 2023 Q4]]+Table8[[#This Row],[Cumulative 2024]]+Table8[[#This Row],[Cumulative 2025]]+Table8[[#This Row],[Cumulative 2026]]</f>
        <v>12992</v>
      </c>
      <c r="D1012">
        <f>IF(YEAR(Table8[[#This Row],[Date]])=2023,B1012,0)+IF(ROW(D1011)=1,0,D1011)</f>
        <v>4195</v>
      </c>
      <c r="E1012">
        <f>MAX(Table8[Cumulative 2023 Q4])</f>
        <v>4195</v>
      </c>
      <c r="F1012">
        <f>IF(YEAR(Table8[[#This Row],[Date]])=2024,B1012,0)+IF(ROW(F1011)=1,0,F1011)</f>
        <v>5831</v>
      </c>
      <c r="G1012">
        <f>MAX(Table8[Cumulative 2024])</f>
        <v>5831</v>
      </c>
      <c r="H1012">
        <f>IF(YEAR(Table8[[#This Row],[Date]])=2025,B1012,0)+IF(ROW(H1011)=1,0,H1011)</f>
        <v>1377</v>
      </c>
      <c r="I1012">
        <f>MAX(Table8[Cumulative 2025])</f>
        <v>1377</v>
      </c>
      <c r="J1012">
        <f>IF(YEAR(Table8[[#This Row],[Date]])=2026,B1012,0)+IF(ROW(J1011)=1,0,J1011)</f>
        <v>1589</v>
      </c>
      <c r="K1012">
        <f>MAX(Table8[Cumulative 2026])</f>
        <v>3102</v>
      </c>
    </row>
    <row r="1013" spans="1:11" hidden="1" x14ac:dyDescent="0.25">
      <c r="A1013" s="1">
        <v>46222</v>
      </c>
      <c r="B1013">
        <f>SUM(_xlfn.CHOOSEROWS(Table8[[The Golden Compass]:[end]],ROW()-1))</f>
        <v>0</v>
      </c>
      <c r="C1013">
        <f>Table8[[#This Row],[Cumulative 2023 Q4]]+Table8[[#This Row],[Cumulative 2024]]+Table8[[#This Row],[Cumulative 2025]]+Table8[[#This Row],[Cumulative 2026]]</f>
        <v>12992</v>
      </c>
      <c r="D1013">
        <f>IF(YEAR(Table8[[#This Row],[Date]])=2023,B1013,0)+IF(ROW(D1012)=1,0,D1012)</f>
        <v>4195</v>
      </c>
      <c r="E1013">
        <f>MAX(Table8[Cumulative 2023 Q4])</f>
        <v>4195</v>
      </c>
      <c r="F1013">
        <f>IF(YEAR(Table8[[#This Row],[Date]])=2024,B1013,0)+IF(ROW(F1012)=1,0,F1012)</f>
        <v>5831</v>
      </c>
      <c r="G1013">
        <f>MAX(Table8[Cumulative 2024])</f>
        <v>5831</v>
      </c>
      <c r="H1013">
        <f>IF(YEAR(Table8[[#This Row],[Date]])=2025,B1013,0)+IF(ROW(H1012)=1,0,H1012)</f>
        <v>1377</v>
      </c>
      <c r="I1013">
        <f>MAX(Table8[Cumulative 2025])</f>
        <v>1377</v>
      </c>
      <c r="J1013">
        <f>IF(YEAR(Table8[[#This Row],[Date]])=2026,B1013,0)+IF(ROW(J1012)=1,0,J1012)</f>
        <v>1589</v>
      </c>
      <c r="K1013">
        <f>MAX(Table8[Cumulative 2026])</f>
        <v>3102</v>
      </c>
    </row>
    <row r="1014" spans="1:11" hidden="1" x14ac:dyDescent="0.25">
      <c r="A1014" s="1">
        <v>46223</v>
      </c>
      <c r="B1014">
        <f>SUM(_xlfn.CHOOSEROWS(Table8[[The Golden Compass]:[end]],ROW()-1))</f>
        <v>0</v>
      </c>
      <c r="C1014">
        <f>Table8[[#This Row],[Cumulative 2023 Q4]]+Table8[[#This Row],[Cumulative 2024]]+Table8[[#This Row],[Cumulative 2025]]+Table8[[#This Row],[Cumulative 2026]]</f>
        <v>12992</v>
      </c>
      <c r="D1014">
        <f>IF(YEAR(Table8[[#This Row],[Date]])=2023,B1014,0)+IF(ROW(D1013)=1,0,D1013)</f>
        <v>4195</v>
      </c>
      <c r="E1014">
        <f>MAX(Table8[Cumulative 2023 Q4])</f>
        <v>4195</v>
      </c>
      <c r="F1014">
        <f>IF(YEAR(Table8[[#This Row],[Date]])=2024,B1014,0)+IF(ROW(F1013)=1,0,F1013)</f>
        <v>5831</v>
      </c>
      <c r="G1014">
        <f>MAX(Table8[Cumulative 2024])</f>
        <v>5831</v>
      </c>
      <c r="H1014">
        <f>IF(YEAR(Table8[[#This Row],[Date]])=2025,B1014,0)+IF(ROW(H1013)=1,0,H1013)</f>
        <v>1377</v>
      </c>
      <c r="I1014">
        <f>MAX(Table8[Cumulative 2025])</f>
        <v>1377</v>
      </c>
      <c r="J1014">
        <f>IF(YEAR(Table8[[#This Row],[Date]])=2026,B1014,0)+IF(ROW(J1013)=1,0,J1013)</f>
        <v>1589</v>
      </c>
      <c r="K1014">
        <f>MAX(Table8[Cumulative 2026])</f>
        <v>3102</v>
      </c>
    </row>
    <row r="1015" spans="1:11" hidden="1" x14ac:dyDescent="0.25">
      <c r="A1015" s="1">
        <v>46224</v>
      </c>
      <c r="B1015">
        <f>SUM(_xlfn.CHOOSEROWS(Table8[[The Golden Compass]:[end]],ROW()-1))</f>
        <v>0</v>
      </c>
      <c r="C1015">
        <f>Table8[[#This Row],[Cumulative 2023 Q4]]+Table8[[#This Row],[Cumulative 2024]]+Table8[[#This Row],[Cumulative 2025]]+Table8[[#This Row],[Cumulative 2026]]</f>
        <v>12992</v>
      </c>
      <c r="D1015">
        <f>IF(YEAR(Table8[[#This Row],[Date]])=2023,B1015,0)+IF(ROW(D1014)=1,0,D1014)</f>
        <v>4195</v>
      </c>
      <c r="E1015">
        <f>MAX(Table8[Cumulative 2023 Q4])</f>
        <v>4195</v>
      </c>
      <c r="F1015">
        <f>IF(YEAR(Table8[[#This Row],[Date]])=2024,B1015,0)+IF(ROW(F1014)=1,0,F1014)</f>
        <v>5831</v>
      </c>
      <c r="G1015">
        <f>MAX(Table8[Cumulative 2024])</f>
        <v>5831</v>
      </c>
      <c r="H1015">
        <f>IF(YEAR(Table8[[#This Row],[Date]])=2025,B1015,0)+IF(ROW(H1014)=1,0,H1014)</f>
        <v>1377</v>
      </c>
      <c r="I1015">
        <f>MAX(Table8[Cumulative 2025])</f>
        <v>1377</v>
      </c>
      <c r="J1015">
        <f>IF(YEAR(Table8[[#This Row],[Date]])=2026,B1015,0)+IF(ROW(J1014)=1,0,J1014)</f>
        <v>1589</v>
      </c>
      <c r="K1015">
        <f>MAX(Table8[Cumulative 2026])</f>
        <v>3102</v>
      </c>
    </row>
    <row r="1016" spans="1:11" hidden="1" x14ac:dyDescent="0.25">
      <c r="A1016" s="1">
        <v>46225</v>
      </c>
      <c r="B1016">
        <f>SUM(_xlfn.CHOOSEROWS(Table8[[The Golden Compass]:[end]],ROW()-1))</f>
        <v>0</v>
      </c>
      <c r="C1016">
        <f>Table8[[#This Row],[Cumulative 2023 Q4]]+Table8[[#This Row],[Cumulative 2024]]+Table8[[#This Row],[Cumulative 2025]]+Table8[[#This Row],[Cumulative 2026]]</f>
        <v>12992</v>
      </c>
      <c r="D1016">
        <f>IF(YEAR(Table8[[#This Row],[Date]])=2023,B1016,0)+IF(ROW(D1015)=1,0,D1015)</f>
        <v>4195</v>
      </c>
      <c r="E1016">
        <f>MAX(Table8[Cumulative 2023 Q4])</f>
        <v>4195</v>
      </c>
      <c r="F1016">
        <f>IF(YEAR(Table8[[#This Row],[Date]])=2024,B1016,0)+IF(ROW(F1015)=1,0,F1015)</f>
        <v>5831</v>
      </c>
      <c r="G1016">
        <f>MAX(Table8[Cumulative 2024])</f>
        <v>5831</v>
      </c>
      <c r="H1016">
        <f>IF(YEAR(Table8[[#This Row],[Date]])=2025,B1016,0)+IF(ROW(H1015)=1,0,H1015)</f>
        <v>1377</v>
      </c>
      <c r="I1016">
        <f>MAX(Table8[Cumulative 2025])</f>
        <v>1377</v>
      </c>
      <c r="J1016">
        <f>IF(YEAR(Table8[[#This Row],[Date]])=2026,B1016,0)+IF(ROW(J1015)=1,0,J1015)</f>
        <v>1589</v>
      </c>
      <c r="K1016">
        <f>MAX(Table8[Cumulative 2026])</f>
        <v>3102</v>
      </c>
    </row>
    <row r="1017" spans="1:11" hidden="1" x14ac:dyDescent="0.25">
      <c r="A1017" s="1">
        <v>46226</v>
      </c>
      <c r="B1017">
        <f>SUM(_xlfn.CHOOSEROWS(Table8[[The Golden Compass]:[end]],ROW()-1))</f>
        <v>0</v>
      </c>
      <c r="C1017">
        <f>Table8[[#This Row],[Cumulative 2023 Q4]]+Table8[[#This Row],[Cumulative 2024]]+Table8[[#This Row],[Cumulative 2025]]+Table8[[#This Row],[Cumulative 2026]]</f>
        <v>12992</v>
      </c>
      <c r="D1017">
        <f>IF(YEAR(Table8[[#This Row],[Date]])=2023,B1017,0)+IF(ROW(D1016)=1,0,D1016)</f>
        <v>4195</v>
      </c>
      <c r="E1017">
        <f>MAX(Table8[Cumulative 2023 Q4])</f>
        <v>4195</v>
      </c>
      <c r="F1017">
        <f>IF(YEAR(Table8[[#This Row],[Date]])=2024,B1017,0)+IF(ROW(F1016)=1,0,F1016)</f>
        <v>5831</v>
      </c>
      <c r="G1017">
        <f>MAX(Table8[Cumulative 2024])</f>
        <v>5831</v>
      </c>
      <c r="H1017">
        <f>IF(YEAR(Table8[[#This Row],[Date]])=2025,B1017,0)+IF(ROW(H1016)=1,0,H1016)</f>
        <v>1377</v>
      </c>
      <c r="I1017">
        <f>MAX(Table8[Cumulative 2025])</f>
        <v>1377</v>
      </c>
      <c r="J1017">
        <f>IF(YEAR(Table8[[#This Row],[Date]])=2026,B1017,0)+IF(ROW(J1016)=1,0,J1016)</f>
        <v>1589</v>
      </c>
      <c r="K1017">
        <f>MAX(Table8[Cumulative 2026])</f>
        <v>3102</v>
      </c>
    </row>
    <row r="1018" spans="1:11" hidden="1" x14ac:dyDescent="0.25">
      <c r="A1018" s="1">
        <v>46227</v>
      </c>
      <c r="B1018">
        <f>SUM(_xlfn.CHOOSEROWS(Table8[[The Golden Compass]:[end]],ROW()-1))</f>
        <v>0</v>
      </c>
      <c r="C1018">
        <f>Table8[[#This Row],[Cumulative 2023 Q4]]+Table8[[#This Row],[Cumulative 2024]]+Table8[[#This Row],[Cumulative 2025]]+Table8[[#This Row],[Cumulative 2026]]</f>
        <v>12992</v>
      </c>
      <c r="D1018">
        <f>IF(YEAR(Table8[[#This Row],[Date]])=2023,B1018,0)+IF(ROW(D1017)=1,0,D1017)</f>
        <v>4195</v>
      </c>
      <c r="E1018">
        <f>MAX(Table8[Cumulative 2023 Q4])</f>
        <v>4195</v>
      </c>
      <c r="F1018">
        <f>IF(YEAR(Table8[[#This Row],[Date]])=2024,B1018,0)+IF(ROW(F1017)=1,0,F1017)</f>
        <v>5831</v>
      </c>
      <c r="G1018">
        <f>MAX(Table8[Cumulative 2024])</f>
        <v>5831</v>
      </c>
      <c r="H1018">
        <f>IF(YEAR(Table8[[#This Row],[Date]])=2025,B1018,0)+IF(ROW(H1017)=1,0,H1017)</f>
        <v>1377</v>
      </c>
      <c r="I1018">
        <f>MAX(Table8[Cumulative 2025])</f>
        <v>1377</v>
      </c>
      <c r="J1018">
        <f>IF(YEAR(Table8[[#This Row],[Date]])=2026,B1018,0)+IF(ROW(J1017)=1,0,J1017)</f>
        <v>1589</v>
      </c>
      <c r="K1018">
        <f>MAX(Table8[Cumulative 2026])</f>
        <v>3102</v>
      </c>
    </row>
    <row r="1019" spans="1:11" hidden="1" x14ac:dyDescent="0.25">
      <c r="A1019" s="1">
        <v>46228</v>
      </c>
      <c r="B1019">
        <f>SUM(_xlfn.CHOOSEROWS(Table8[[The Golden Compass]:[end]],ROW()-1))</f>
        <v>0</v>
      </c>
      <c r="C1019">
        <f>Table8[[#This Row],[Cumulative 2023 Q4]]+Table8[[#This Row],[Cumulative 2024]]+Table8[[#This Row],[Cumulative 2025]]+Table8[[#This Row],[Cumulative 2026]]</f>
        <v>12992</v>
      </c>
      <c r="D1019">
        <f>IF(YEAR(Table8[[#This Row],[Date]])=2023,B1019,0)+IF(ROW(D1018)=1,0,D1018)</f>
        <v>4195</v>
      </c>
      <c r="E1019">
        <f>MAX(Table8[Cumulative 2023 Q4])</f>
        <v>4195</v>
      </c>
      <c r="F1019">
        <f>IF(YEAR(Table8[[#This Row],[Date]])=2024,B1019,0)+IF(ROW(F1018)=1,0,F1018)</f>
        <v>5831</v>
      </c>
      <c r="G1019">
        <f>MAX(Table8[Cumulative 2024])</f>
        <v>5831</v>
      </c>
      <c r="H1019">
        <f>IF(YEAR(Table8[[#This Row],[Date]])=2025,B1019,0)+IF(ROW(H1018)=1,0,H1018)</f>
        <v>1377</v>
      </c>
      <c r="I1019">
        <f>MAX(Table8[Cumulative 2025])</f>
        <v>1377</v>
      </c>
      <c r="J1019">
        <f>IF(YEAR(Table8[[#This Row],[Date]])=2026,B1019,0)+IF(ROW(J1018)=1,0,J1018)</f>
        <v>1589</v>
      </c>
      <c r="K1019">
        <f>MAX(Table8[Cumulative 2026])</f>
        <v>3102</v>
      </c>
    </row>
    <row r="1020" spans="1:11" hidden="1" x14ac:dyDescent="0.25">
      <c r="A1020" s="1">
        <v>46229</v>
      </c>
      <c r="B1020">
        <f>SUM(_xlfn.CHOOSEROWS(Table8[[The Golden Compass]:[end]],ROW()-1))</f>
        <v>0</v>
      </c>
      <c r="C1020">
        <f>Table8[[#This Row],[Cumulative 2023 Q4]]+Table8[[#This Row],[Cumulative 2024]]+Table8[[#This Row],[Cumulative 2025]]+Table8[[#This Row],[Cumulative 2026]]</f>
        <v>12992</v>
      </c>
      <c r="D1020">
        <f>IF(YEAR(Table8[[#This Row],[Date]])=2023,B1020,0)+IF(ROW(D1019)=1,0,D1019)</f>
        <v>4195</v>
      </c>
      <c r="E1020">
        <f>MAX(Table8[Cumulative 2023 Q4])</f>
        <v>4195</v>
      </c>
      <c r="F1020">
        <f>IF(YEAR(Table8[[#This Row],[Date]])=2024,B1020,0)+IF(ROW(F1019)=1,0,F1019)</f>
        <v>5831</v>
      </c>
      <c r="G1020">
        <f>MAX(Table8[Cumulative 2024])</f>
        <v>5831</v>
      </c>
      <c r="H1020">
        <f>IF(YEAR(Table8[[#This Row],[Date]])=2025,B1020,0)+IF(ROW(H1019)=1,0,H1019)</f>
        <v>1377</v>
      </c>
      <c r="I1020">
        <f>MAX(Table8[Cumulative 2025])</f>
        <v>1377</v>
      </c>
      <c r="J1020">
        <f>IF(YEAR(Table8[[#This Row],[Date]])=2026,B1020,0)+IF(ROW(J1019)=1,0,J1019)</f>
        <v>1589</v>
      </c>
      <c r="K1020">
        <f>MAX(Table8[Cumulative 2026])</f>
        <v>3102</v>
      </c>
    </row>
    <row r="1021" spans="1:11" hidden="1" x14ac:dyDescent="0.25">
      <c r="A1021" s="1">
        <v>46230</v>
      </c>
      <c r="B1021">
        <f>SUM(_xlfn.CHOOSEROWS(Table8[[The Golden Compass]:[end]],ROW()-1))</f>
        <v>0</v>
      </c>
      <c r="C1021">
        <f>Table8[[#This Row],[Cumulative 2023 Q4]]+Table8[[#This Row],[Cumulative 2024]]+Table8[[#This Row],[Cumulative 2025]]+Table8[[#This Row],[Cumulative 2026]]</f>
        <v>12992</v>
      </c>
      <c r="D1021">
        <f>IF(YEAR(Table8[[#This Row],[Date]])=2023,B1021,0)+IF(ROW(D1020)=1,0,D1020)</f>
        <v>4195</v>
      </c>
      <c r="E1021">
        <f>MAX(Table8[Cumulative 2023 Q4])</f>
        <v>4195</v>
      </c>
      <c r="F1021">
        <f>IF(YEAR(Table8[[#This Row],[Date]])=2024,B1021,0)+IF(ROW(F1020)=1,0,F1020)</f>
        <v>5831</v>
      </c>
      <c r="G1021">
        <f>MAX(Table8[Cumulative 2024])</f>
        <v>5831</v>
      </c>
      <c r="H1021">
        <f>IF(YEAR(Table8[[#This Row],[Date]])=2025,B1021,0)+IF(ROW(H1020)=1,0,H1020)</f>
        <v>1377</v>
      </c>
      <c r="I1021">
        <f>MAX(Table8[Cumulative 2025])</f>
        <v>1377</v>
      </c>
      <c r="J1021">
        <f>IF(YEAR(Table8[[#This Row],[Date]])=2026,B1021,0)+IF(ROW(J1020)=1,0,J1020)</f>
        <v>1589</v>
      </c>
      <c r="K1021">
        <f>MAX(Table8[Cumulative 2026])</f>
        <v>3102</v>
      </c>
    </row>
    <row r="1022" spans="1:11" hidden="1" x14ac:dyDescent="0.25">
      <c r="A1022" s="1">
        <v>46231</v>
      </c>
      <c r="B1022">
        <f>SUM(_xlfn.CHOOSEROWS(Table8[[The Golden Compass]:[end]],ROW()-1))</f>
        <v>0</v>
      </c>
      <c r="C1022">
        <f>Table8[[#This Row],[Cumulative 2023 Q4]]+Table8[[#This Row],[Cumulative 2024]]+Table8[[#This Row],[Cumulative 2025]]+Table8[[#This Row],[Cumulative 2026]]</f>
        <v>12992</v>
      </c>
      <c r="D1022">
        <f>IF(YEAR(Table8[[#This Row],[Date]])=2023,B1022,0)+IF(ROW(D1021)=1,0,D1021)</f>
        <v>4195</v>
      </c>
      <c r="E1022">
        <f>MAX(Table8[Cumulative 2023 Q4])</f>
        <v>4195</v>
      </c>
      <c r="F1022">
        <f>IF(YEAR(Table8[[#This Row],[Date]])=2024,B1022,0)+IF(ROW(F1021)=1,0,F1021)</f>
        <v>5831</v>
      </c>
      <c r="G1022">
        <f>MAX(Table8[Cumulative 2024])</f>
        <v>5831</v>
      </c>
      <c r="H1022">
        <f>IF(YEAR(Table8[[#This Row],[Date]])=2025,B1022,0)+IF(ROW(H1021)=1,0,H1021)</f>
        <v>1377</v>
      </c>
      <c r="I1022">
        <f>MAX(Table8[Cumulative 2025])</f>
        <v>1377</v>
      </c>
      <c r="J1022">
        <f>IF(YEAR(Table8[[#This Row],[Date]])=2026,B1022,0)+IF(ROW(J1021)=1,0,J1021)</f>
        <v>1589</v>
      </c>
      <c r="K1022">
        <f>MAX(Table8[Cumulative 2026])</f>
        <v>3102</v>
      </c>
    </row>
    <row r="1023" spans="1:11" hidden="1" x14ac:dyDescent="0.25">
      <c r="A1023" s="1">
        <v>46232</v>
      </c>
      <c r="B1023">
        <f>SUM(_xlfn.CHOOSEROWS(Table8[[The Golden Compass]:[end]],ROW()-1))</f>
        <v>0</v>
      </c>
      <c r="C1023">
        <f>Table8[[#This Row],[Cumulative 2023 Q4]]+Table8[[#This Row],[Cumulative 2024]]+Table8[[#This Row],[Cumulative 2025]]+Table8[[#This Row],[Cumulative 2026]]</f>
        <v>12992</v>
      </c>
      <c r="D1023">
        <f>IF(YEAR(Table8[[#This Row],[Date]])=2023,B1023,0)+IF(ROW(D1022)=1,0,D1022)</f>
        <v>4195</v>
      </c>
      <c r="E1023">
        <f>MAX(Table8[Cumulative 2023 Q4])</f>
        <v>4195</v>
      </c>
      <c r="F1023">
        <f>IF(YEAR(Table8[[#This Row],[Date]])=2024,B1023,0)+IF(ROW(F1022)=1,0,F1022)</f>
        <v>5831</v>
      </c>
      <c r="G1023">
        <f>MAX(Table8[Cumulative 2024])</f>
        <v>5831</v>
      </c>
      <c r="H1023">
        <f>IF(YEAR(Table8[[#This Row],[Date]])=2025,B1023,0)+IF(ROW(H1022)=1,0,H1022)</f>
        <v>1377</v>
      </c>
      <c r="I1023">
        <f>MAX(Table8[Cumulative 2025])</f>
        <v>1377</v>
      </c>
      <c r="J1023">
        <f>IF(YEAR(Table8[[#This Row],[Date]])=2026,B1023,0)+IF(ROW(J1022)=1,0,J1022)</f>
        <v>1589</v>
      </c>
      <c r="K1023">
        <f>MAX(Table8[Cumulative 2026])</f>
        <v>3102</v>
      </c>
    </row>
    <row r="1024" spans="1:11" hidden="1" x14ac:dyDescent="0.25">
      <c r="A1024" s="1">
        <v>46233</v>
      </c>
      <c r="B1024">
        <f>SUM(_xlfn.CHOOSEROWS(Table8[[The Golden Compass]:[end]],ROW()-1))</f>
        <v>0</v>
      </c>
      <c r="C1024">
        <f>Table8[[#This Row],[Cumulative 2023 Q4]]+Table8[[#This Row],[Cumulative 2024]]+Table8[[#This Row],[Cumulative 2025]]+Table8[[#This Row],[Cumulative 2026]]</f>
        <v>12992</v>
      </c>
      <c r="D1024">
        <f>IF(YEAR(Table8[[#This Row],[Date]])=2023,B1024,0)+IF(ROW(D1023)=1,0,D1023)</f>
        <v>4195</v>
      </c>
      <c r="E1024">
        <f>MAX(Table8[Cumulative 2023 Q4])</f>
        <v>4195</v>
      </c>
      <c r="F1024">
        <f>IF(YEAR(Table8[[#This Row],[Date]])=2024,B1024,0)+IF(ROW(F1023)=1,0,F1023)</f>
        <v>5831</v>
      </c>
      <c r="G1024">
        <f>MAX(Table8[Cumulative 2024])</f>
        <v>5831</v>
      </c>
      <c r="H1024">
        <f>IF(YEAR(Table8[[#This Row],[Date]])=2025,B1024,0)+IF(ROW(H1023)=1,0,H1023)</f>
        <v>1377</v>
      </c>
      <c r="I1024">
        <f>MAX(Table8[Cumulative 2025])</f>
        <v>1377</v>
      </c>
      <c r="J1024">
        <f>IF(YEAR(Table8[[#This Row],[Date]])=2026,B1024,0)+IF(ROW(J1023)=1,0,J1023)</f>
        <v>1589</v>
      </c>
      <c r="K1024">
        <f>MAX(Table8[Cumulative 2026])</f>
        <v>3102</v>
      </c>
    </row>
    <row r="1025" spans="1:73" hidden="1" x14ac:dyDescent="0.25">
      <c r="A1025" s="1">
        <v>46234</v>
      </c>
      <c r="B1025">
        <f>SUM(_xlfn.CHOOSEROWS(Table8[[The Golden Compass]:[end]],ROW()-1))</f>
        <v>0</v>
      </c>
      <c r="C1025">
        <f>Table8[[#This Row],[Cumulative 2023 Q4]]+Table8[[#This Row],[Cumulative 2024]]+Table8[[#This Row],[Cumulative 2025]]+Table8[[#This Row],[Cumulative 2026]]</f>
        <v>12992</v>
      </c>
      <c r="D1025">
        <f>IF(YEAR(Table8[[#This Row],[Date]])=2023,B1025,0)+IF(ROW(D1024)=1,0,D1024)</f>
        <v>4195</v>
      </c>
      <c r="E1025">
        <f>MAX(Table8[Cumulative 2023 Q4])</f>
        <v>4195</v>
      </c>
      <c r="F1025">
        <f>IF(YEAR(Table8[[#This Row],[Date]])=2024,B1025,0)+IF(ROW(F1024)=1,0,F1024)</f>
        <v>5831</v>
      </c>
      <c r="G1025">
        <f>MAX(Table8[Cumulative 2024])</f>
        <v>5831</v>
      </c>
      <c r="H1025">
        <f>IF(YEAR(Table8[[#This Row],[Date]])=2025,B1025,0)+IF(ROW(H1024)=1,0,H1024)</f>
        <v>1377</v>
      </c>
      <c r="I1025">
        <f>MAX(Table8[Cumulative 2025])</f>
        <v>1377</v>
      </c>
      <c r="J1025">
        <f>IF(YEAR(Table8[[#This Row],[Date]])=2026,B1025,0)+IF(ROW(J1024)=1,0,J1024)</f>
        <v>1589</v>
      </c>
      <c r="K1025">
        <f>MAX(Table8[Cumulative 2026])</f>
        <v>3102</v>
      </c>
    </row>
    <row r="1026" spans="1:73" hidden="1" x14ac:dyDescent="0.25">
      <c r="A1026" s="1">
        <v>46235</v>
      </c>
      <c r="B1026">
        <f>SUM(_xlfn.CHOOSEROWS(Table8[[The Golden Compass]:[end]],ROW()-1))</f>
        <v>0</v>
      </c>
      <c r="C1026">
        <f>Table8[[#This Row],[Cumulative 2023 Q4]]+Table8[[#This Row],[Cumulative 2024]]+Table8[[#This Row],[Cumulative 2025]]+Table8[[#This Row],[Cumulative 2026]]</f>
        <v>12992</v>
      </c>
      <c r="D1026">
        <f>IF(YEAR(Table8[[#This Row],[Date]])=2023,B1026,0)+IF(ROW(D1025)=1,0,D1025)</f>
        <v>4195</v>
      </c>
      <c r="E1026">
        <f>MAX(Table8[Cumulative 2023 Q4])</f>
        <v>4195</v>
      </c>
      <c r="F1026">
        <f>IF(YEAR(Table8[[#This Row],[Date]])=2024,B1026,0)+IF(ROW(F1025)=1,0,F1025)</f>
        <v>5831</v>
      </c>
      <c r="G1026">
        <f>MAX(Table8[Cumulative 2024])</f>
        <v>5831</v>
      </c>
      <c r="H1026">
        <f>IF(YEAR(Table8[[#This Row],[Date]])=2025,B1026,0)+IF(ROW(H1025)=1,0,H1025)</f>
        <v>1377</v>
      </c>
      <c r="I1026">
        <f>MAX(Table8[Cumulative 2025])</f>
        <v>1377</v>
      </c>
      <c r="J1026">
        <f>IF(YEAR(Table8[[#This Row],[Date]])=2026,B1026,0)+IF(ROW(J1025)=1,0,J1025)</f>
        <v>1589</v>
      </c>
      <c r="K1026">
        <f>MAX(Table8[Cumulative 2026])</f>
        <v>3102</v>
      </c>
    </row>
    <row r="1027" spans="1:73" hidden="1" x14ac:dyDescent="0.25">
      <c r="A1027" s="1">
        <v>46236</v>
      </c>
      <c r="B1027">
        <f>SUM(_xlfn.CHOOSEROWS(Table8[[The Golden Compass]:[end]],ROW()-1))</f>
        <v>0</v>
      </c>
      <c r="C1027">
        <f>Table8[[#This Row],[Cumulative 2023 Q4]]+Table8[[#This Row],[Cumulative 2024]]+Table8[[#This Row],[Cumulative 2025]]+Table8[[#This Row],[Cumulative 2026]]</f>
        <v>12992</v>
      </c>
      <c r="D1027">
        <f>IF(YEAR(Table8[[#This Row],[Date]])=2023,B1027,0)+IF(ROW(D1026)=1,0,D1026)</f>
        <v>4195</v>
      </c>
      <c r="E1027">
        <f>MAX(Table8[Cumulative 2023 Q4])</f>
        <v>4195</v>
      </c>
      <c r="F1027">
        <f>IF(YEAR(Table8[[#This Row],[Date]])=2024,B1027,0)+IF(ROW(F1026)=1,0,F1026)</f>
        <v>5831</v>
      </c>
      <c r="G1027">
        <f>MAX(Table8[Cumulative 2024])</f>
        <v>5831</v>
      </c>
      <c r="H1027">
        <f>IF(YEAR(Table8[[#This Row],[Date]])=2025,B1027,0)+IF(ROW(H1026)=1,0,H1026)</f>
        <v>1377</v>
      </c>
      <c r="I1027">
        <f>MAX(Table8[Cumulative 2025])</f>
        <v>1377</v>
      </c>
      <c r="J1027">
        <f>IF(YEAR(Table8[[#This Row],[Date]])=2026,B1027,0)+IF(ROW(J1026)=1,0,J1026)</f>
        <v>1589</v>
      </c>
      <c r="K1027">
        <f>MAX(Table8[Cumulative 2026])</f>
        <v>3102</v>
      </c>
    </row>
    <row r="1028" spans="1:73" hidden="1" x14ac:dyDescent="0.25">
      <c r="A1028" s="1">
        <v>46237</v>
      </c>
      <c r="B1028">
        <f>SUM(_xlfn.CHOOSEROWS(Table8[[The Golden Compass]:[end]],ROW()-1))</f>
        <v>0</v>
      </c>
      <c r="C1028">
        <f>Table8[[#This Row],[Cumulative 2023 Q4]]+Table8[[#This Row],[Cumulative 2024]]+Table8[[#This Row],[Cumulative 2025]]+Table8[[#This Row],[Cumulative 2026]]</f>
        <v>12992</v>
      </c>
      <c r="D1028">
        <f>IF(YEAR(Table8[[#This Row],[Date]])=2023,B1028,0)+IF(ROW(D1027)=1,0,D1027)</f>
        <v>4195</v>
      </c>
      <c r="E1028">
        <f>MAX(Table8[Cumulative 2023 Q4])</f>
        <v>4195</v>
      </c>
      <c r="F1028">
        <f>IF(YEAR(Table8[[#This Row],[Date]])=2024,B1028,0)+IF(ROW(F1027)=1,0,F1027)</f>
        <v>5831</v>
      </c>
      <c r="G1028">
        <f>MAX(Table8[Cumulative 2024])</f>
        <v>5831</v>
      </c>
      <c r="H1028">
        <f>IF(YEAR(Table8[[#This Row],[Date]])=2025,B1028,0)+IF(ROW(H1027)=1,0,H1027)</f>
        <v>1377</v>
      </c>
      <c r="I1028">
        <f>MAX(Table8[Cumulative 2025])</f>
        <v>1377</v>
      </c>
      <c r="J1028">
        <f>IF(YEAR(Table8[[#This Row],[Date]])=2026,B1028,0)+IF(ROW(J1027)=1,0,J1027)</f>
        <v>1589</v>
      </c>
      <c r="K1028">
        <f>MAX(Table8[Cumulative 2026])</f>
        <v>3102</v>
      </c>
    </row>
    <row r="1029" spans="1:73" hidden="1" x14ac:dyDescent="0.25">
      <c r="A1029" s="1">
        <v>46238</v>
      </c>
      <c r="B1029">
        <f>SUM(_xlfn.CHOOSEROWS(Table8[[The Golden Compass]:[end]],ROW()-1))</f>
        <v>0</v>
      </c>
      <c r="C1029">
        <f>Table8[[#This Row],[Cumulative 2023 Q4]]+Table8[[#This Row],[Cumulative 2024]]+Table8[[#This Row],[Cumulative 2025]]+Table8[[#This Row],[Cumulative 2026]]</f>
        <v>12992</v>
      </c>
      <c r="D1029">
        <f>IF(YEAR(Table8[[#This Row],[Date]])=2023,B1029,0)+IF(ROW(D1028)=1,0,D1028)</f>
        <v>4195</v>
      </c>
      <c r="E1029">
        <f>MAX(Table8[Cumulative 2023 Q4])</f>
        <v>4195</v>
      </c>
      <c r="F1029">
        <f>IF(YEAR(Table8[[#This Row],[Date]])=2024,B1029,0)+IF(ROW(F1028)=1,0,F1028)</f>
        <v>5831</v>
      </c>
      <c r="G1029">
        <f>MAX(Table8[Cumulative 2024])</f>
        <v>5831</v>
      </c>
      <c r="H1029">
        <f>IF(YEAR(Table8[[#This Row],[Date]])=2025,B1029,0)+IF(ROW(H1028)=1,0,H1028)</f>
        <v>1377</v>
      </c>
      <c r="I1029">
        <f>MAX(Table8[Cumulative 2025])</f>
        <v>1377</v>
      </c>
      <c r="J1029">
        <f>IF(YEAR(Table8[[#This Row],[Date]])=2026,B1029,0)+IF(ROW(J1028)=1,0,J1028)</f>
        <v>1589</v>
      </c>
      <c r="K1029">
        <f>MAX(Table8[Cumulative 2026])</f>
        <v>3102</v>
      </c>
    </row>
    <row r="1030" spans="1:73" hidden="1" x14ac:dyDescent="0.25">
      <c r="A1030" s="1">
        <v>46239</v>
      </c>
      <c r="B1030">
        <f>SUM(_xlfn.CHOOSEROWS(Table8[[The Golden Compass]:[end]],ROW()-1))</f>
        <v>0</v>
      </c>
      <c r="C1030">
        <f>Table8[[#This Row],[Cumulative 2023 Q4]]+Table8[[#This Row],[Cumulative 2024]]+Table8[[#This Row],[Cumulative 2025]]+Table8[[#This Row],[Cumulative 2026]]</f>
        <v>12992</v>
      </c>
      <c r="D1030">
        <f>IF(YEAR(Table8[[#This Row],[Date]])=2023,B1030,0)+IF(ROW(D1029)=1,0,D1029)</f>
        <v>4195</v>
      </c>
      <c r="E1030">
        <f>MAX(Table8[Cumulative 2023 Q4])</f>
        <v>4195</v>
      </c>
      <c r="F1030">
        <f>IF(YEAR(Table8[[#This Row],[Date]])=2024,B1030,0)+IF(ROW(F1029)=1,0,F1029)</f>
        <v>5831</v>
      </c>
      <c r="G1030">
        <f>MAX(Table8[Cumulative 2024])</f>
        <v>5831</v>
      </c>
      <c r="H1030">
        <f>IF(YEAR(Table8[[#This Row],[Date]])=2025,B1030,0)+IF(ROW(H1029)=1,0,H1029)</f>
        <v>1377</v>
      </c>
      <c r="I1030">
        <f>MAX(Table8[Cumulative 2025])</f>
        <v>1377</v>
      </c>
      <c r="J1030">
        <f>IF(YEAR(Table8[[#This Row],[Date]])=2026,B1030,0)+IF(ROW(J1029)=1,0,J1029)</f>
        <v>1589</v>
      </c>
      <c r="K1030">
        <f>MAX(Table8[Cumulative 2026])</f>
        <v>3102</v>
      </c>
    </row>
    <row r="1031" spans="1:73" hidden="1" x14ac:dyDescent="0.25">
      <c r="A1031" s="1">
        <v>46240</v>
      </c>
      <c r="B1031">
        <f>SUM(_xlfn.CHOOSEROWS(Table8[[The Golden Compass]:[end]],ROW()-1))</f>
        <v>0</v>
      </c>
      <c r="C1031">
        <f>Table8[[#This Row],[Cumulative 2023 Q4]]+Table8[[#This Row],[Cumulative 2024]]+Table8[[#This Row],[Cumulative 2025]]+Table8[[#This Row],[Cumulative 2026]]</f>
        <v>12992</v>
      </c>
      <c r="D1031">
        <f>IF(YEAR(Table8[[#This Row],[Date]])=2023,B1031,0)+IF(ROW(D1030)=1,0,D1030)</f>
        <v>4195</v>
      </c>
      <c r="E1031">
        <f>MAX(Table8[Cumulative 2023 Q4])</f>
        <v>4195</v>
      </c>
      <c r="F1031">
        <f>IF(YEAR(Table8[[#This Row],[Date]])=2024,B1031,0)+IF(ROW(F1030)=1,0,F1030)</f>
        <v>5831</v>
      </c>
      <c r="G1031">
        <f>MAX(Table8[Cumulative 2024])</f>
        <v>5831</v>
      </c>
      <c r="H1031">
        <f>IF(YEAR(Table8[[#This Row],[Date]])=2025,B1031,0)+IF(ROW(H1030)=1,0,H1030)</f>
        <v>1377</v>
      </c>
      <c r="I1031">
        <f>MAX(Table8[Cumulative 2025])</f>
        <v>1377</v>
      </c>
      <c r="J1031">
        <f>IF(YEAR(Table8[[#This Row],[Date]])=2026,B1031,0)+IF(ROW(J1030)=1,0,J1030)</f>
        <v>1589</v>
      </c>
      <c r="K1031">
        <f>MAX(Table8[Cumulative 2026])</f>
        <v>3102</v>
      </c>
    </row>
    <row r="1032" spans="1:73" hidden="1" x14ac:dyDescent="0.25">
      <c r="A1032" s="1">
        <v>46241</v>
      </c>
      <c r="B1032">
        <f>SUM(_xlfn.CHOOSEROWS(Table8[[The Golden Compass]:[end]],ROW()-1))</f>
        <v>0</v>
      </c>
      <c r="C1032">
        <f>Table8[[#This Row],[Cumulative 2023 Q4]]+Table8[[#This Row],[Cumulative 2024]]+Table8[[#This Row],[Cumulative 2025]]+Table8[[#This Row],[Cumulative 2026]]</f>
        <v>12992</v>
      </c>
      <c r="D1032">
        <f>IF(YEAR(Table8[[#This Row],[Date]])=2023,B1032,0)+IF(ROW(D1031)=1,0,D1031)</f>
        <v>4195</v>
      </c>
      <c r="E1032">
        <f>MAX(Table8[Cumulative 2023 Q4])</f>
        <v>4195</v>
      </c>
      <c r="F1032">
        <f>IF(YEAR(Table8[[#This Row],[Date]])=2024,B1032,0)+IF(ROW(F1031)=1,0,F1031)</f>
        <v>5831</v>
      </c>
      <c r="G1032">
        <f>MAX(Table8[Cumulative 2024])</f>
        <v>5831</v>
      </c>
      <c r="H1032">
        <f>IF(YEAR(Table8[[#This Row],[Date]])=2025,B1032,0)+IF(ROW(H1031)=1,0,H1031)</f>
        <v>1377</v>
      </c>
      <c r="I1032">
        <f>MAX(Table8[Cumulative 2025])</f>
        <v>1377</v>
      </c>
      <c r="J1032">
        <f>IF(YEAR(Table8[[#This Row],[Date]])=2026,B1032,0)+IF(ROW(J1031)=1,0,J1031)</f>
        <v>1589</v>
      </c>
      <c r="K1032">
        <f>MAX(Table8[Cumulative 2026])</f>
        <v>3102</v>
      </c>
    </row>
    <row r="1033" spans="1:73" hidden="1" x14ac:dyDescent="0.25">
      <c r="A1033" s="1">
        <v>46242</v>
      </c>
      <c r="B1033">
        <f>SUM(_xlfn.CHOOSEROWS(Table8[[The Golden Compass]:[end]],ROW()-1))</f>
        <v>0</v>
      </c>
      <c r="C1033">
        <f>Table8[[#This Row],[Cumulative 2023 Q4]]+Table8[[#This Row],[Cumulative 2024]]+Table8[[#This Row],[Cumulative 2025]]+Table8[[#This Row],[Cumulative 2026]]</f>
        <v>12992</v>
      </c>
      <c r="D1033">
        <f>IF(YEAR(Table8[[#This Row],[Date]])=2023,B1033,0)+IF(ROW(D1032)=1,0,D1032)</f>
        <v>4195</v>
      </c>
      <c r="E1033">
        <f>MAX(Table8[Cumulative 2023 Q4])</f>
        <v>4195</v>
      </c>
      <c r="F1033">
        <f>IF(YEAR(Table8[[#This Row],[Date]])=2024,B1033,0)+IF(ROW(F1032)=1,0,F1032)</f>
        <v>5831</v>
      </c>
      <c r="G1033">
        <f>MAX(Table8[Cumulative 2024])</f>
        <v>5831</v>
      </c>
      <c r="H1033">
        <f>IF(YEAR(Table8[[#This Row],[Date]])=2025,B1033,0)+IF(ROW(H1032)=1,0,H1032)</f>
        <v>1377</v>
      </c>
      <c r="I1033">
        <f>MAX(Table8[Cumulative 2025])</f>
        <v>1377</v>
      </c>
      <c r="J1033">
        <f>IF(YEAR(Table8[[#This Row],[Date]])=2026,B1033,0)+IF(ROW(J1032)=1,0,J1032)</f>
        <v>1589</v>
      </c>
      <c r="K1033">
        <f>MAX(Table8[Cumulative 2026])</f>
        <v>3102</v>
      </c>
    </row>
    <row r="1034" spans="1:73" hidden="1" x14ac:dyDescent="0.25">
      <c r="A1034" s="1">
        <v>46243</v>
      </c>
      <c r="B1034">
        <f>SUM(_xlfn.CHOOSEROWS(Table8[[The Golden Compass]:[end]],ROW()-1))</f>
        <v>0</v>
      </c>
      <c r="C1034">
        <f>Table8[[#This Row],[Cumulative 2023 Q4]]+Table8[[#This Row],[Cumulative 2024]]+Table8[[#This Row],[Cumulative 2025]]+Table8[[#This Row],[Cumulative 2026]]</f>
        <v>12992</v>
      </c>
      <c r="D1034">
        <f>IF(YEAR(Table8[[#This Row],[Date]])=2023,B1034,0)+IF(ROW(D1033)=1,0,D1033)</f>
        <v>4195</v>
      </c>
      <c r="E1034">
        <f>MAX(Table8[Cumulative 2023 Q4])</f>
        <v>4195</v>
      </c>
      <c r="F1034">
        <f>IF(YEAR(Table8[[#This Row],[Date]])=2024,B1034,0)+IF(ROW(F1033)=1,0,F1033)</f>
        <v>5831</v>
      </c>
      <c r="G1034">
        <f>MAX(Table8[Cumulative 2024])</f>
        <v>5831</v>
      </c>
      <c r="H1034">
        <f>IF(YEAR(Table8[[#This Row],[Date]])=2025,B1034,0)+IF(ROW(H1033)=1,0,H1033)</f>
        <v>1377</v>
      </c>
      <c r="I1034">
        <f>MAX(Table8[Cumulative 2025])</f>
        <v>1377</v>
      </c>
      <c r="J1034">
        <f>IF(YEAR(Table8[[#This Row],[Date]])=2026,B1034,0)+IF(ROW(J1033)=1,0,J1033)</f>
        <v>1589</v>
      </c>
      <c r="K1034">
        <f>MAX(Table8[Cumulative 2026])</f>
        <v>3102</v>
      </c>
    </row>
    <row r="1035" spans="1:73" hidden="1" x14ac:dyDescent="0.25">
      <c r="A1035" s="1">
        <v>46244</v>
      </c>
      <c r="B1035">
        <f>SUM(_xlfn.CHOOSEROWS(Table8[[The Golden Compass]:[end]],ROW()-1))</f>
        <v>0</v>
      </c>
      <c r="C1035">
        <f>Table8[[#This Row],[Cumulative 2023 Q4]]+Table8[[#This Row],[Cumulative 2024]]+Table8[[#This Row],[Cumulative 2025]]+Table8[[#This Row],[Cumulative 2026]]</f>
        <v>12992</v>
      </c>
      <c r="D1035">
        <f>IF(YEAR(Table8[[#This Row],[Date]])=2023,B1035,0)+IF(ROW(D1034)=1,0,D1034)</f>
        <v>4195</v>
      </c>
      <c r="E1035">
        <f>MAX(Table8[Cumulative 2023 Q4])</f>
        <v>4195</v>
      </c>
      <c r="F1035">
        <f>IF(YEAR(Table8[[#This Row],[Date]])=2024,B1035,0)+IF(ROW(F1034)=1,0,F1034)</f>
        <v>5831</v>
      </c>
      <c r="G1035">
        <f>MAX(Table8[Cumulative 2024])</f>
        <v>5831</v>
      </c>
      <c r="H1035">
        <f>IF(YEAR(Table8[[#This Row],[Date]])=2025,B1035,0)+IF(ROW(H1034)=1,0,H1034)</f>
        <v>1377</v>
      </c>
      <c r="I1035">
        <f>MAX(Table8[Cumulative 2025])</f>
        <v>1377</v>
      </c>
      <c r="J1035">
        <f>IF(YEAR(Table8[[#This Row],[Date]])=2026,B1035,0)+IF(ROW(J1034)=1,0,J1034)</f>
        <v>1589</v>
      </c>
      <c r="K1035">
        <f>MAX(Table8[Cumulative 2026])</f>
        <v>3102</v>
      </c>
    </row>
    <row r="1036" spans="1:73" hidden="1" x14ac:dyDescent="0.25">
      <c r="A1036" s="1">
        <v>46245</v>
      </c>
      <c r="B1036">
        <f>SUM(_xlfn.CHOOSEROWS(Table8[[The Golden Compass]:[end]],ROW()-1))</f>
        <v>0</v>
      </c>
      <c r="C1036">
        <f>Table8[[#This Row],[Cumulative 2023 Q4]]+Table8[[#This Row],[Cumulative 2024]]+Table8[[#This Row],[Cumulative 2025]]+Table8[[#This Row],[Cumulative 2026]]</f>
        <v>12992</v>
      </c>
      <c r="D1036">
        <f>IF(YEAR(Table8[[#This Row],[Date]])=2023,B1036,0)+IF(ROW(D1035)=1,0,D1035)</f>
        <v>4195</v>
      </c>
      <c r="E1036">
        <f>MAX(Table8[Cumulative 2023 Q4])</f>
        <v>4195</v>
      </c>
      <c r="F1036">
        <f>IF(YEAR(Table8[[#This Row],[Date]])=2024,B1036,0)+IF(ROW(F1035)=1,0,F1035)</f>
        <v>5831</v>
      </c>
      <c r="G1036">
        <f>MAX(Table8[Cumulative 2024])</f>
        <v>5831</v>
      </c>
      <c r="H1036">
        <f>IF(YEAR(Table8[[#This Row],[Date]])=2025,B1036,0)+IF(ROW(H1035)=1,0,H1035)</f>
        <v>1377</v>
      </c>
      <c r="I1036">
        <f>MAX(Table8[Cumulative 2025])</f>
        <v>1377</v>
      </c>
      <c r="J1036">
        <f>IF(YEAR(Table8[[#This Row],[Date]])=2026,B1036,0)+IF(ROW(J1035)=1,0,J1035)</f>
        <v>1589</v>
      </c>
      <c r="K1036">
        <f>MAX(Table8[Cumulative 2026])</f>
        <v>3102</v>
      </c>
    </row>
    <row r="1037" spans="1:73" hidden="1" x14ac:dyDescent="0.25">
      <c r="A1037" s="1">
        <v>46246</v>
      </c>
      <c r="B1037">
        <f>SUM(_xlfn.CHOOSEROWS(Table8[[The Golden Compass]:[end]],ROW()-1))</f>
        <v>0</v>
      </c>
      <c r="C1037">
        <f>Table8[[#This Row],[Cumulative 2023 Q4]]+Table8[[#This Row],[Cumulative 2024]]+Table8[[#This Row],[Cumulative 2025]]+Table8[[#This Row],[Cumulative 2026]]</f>
        <v>12992</v>
      </c>
      <c r="D1037">
        <f>IF(YEAR(Table8[[#This Row],[Date]])=2023,B1037,0)+IF(ROW(D1036)=1,0,D1036)</f>
        <v>4195</v>
      </c>
      <c r="E1037">
        <f>MAX(Table8[Cumulative 2023 Q4])</f>
        <v>4195</v>
      </c>
      <c r="F1037">
        <f>IF(YEAR(Table8[[#This Row],[Date]])=2024,B1037,0)+IF(ROW(F1036)=1,0,F1036)</f>
        <v>5831</v>
      </c>
      <c r="G1037">
        <f>MAX(Table8[Cumulative 2024])</f>
        <v>5831</v>
      </c>
      <c r="H1037">
        <f>IF(YEAR(Table8[[#This Row],[Date]])=2025,B1037,0)+IF(ROW(H1036)=1,0,H1036)</f>
        <v>1377</v>
      </c>
      <c r="I1037">
        <f>MAX(Table8[Cumulative 2025])</f>
        <v>1377</v>
      </c>
      <c r="J1037">
        <f>IF(YEAR(Table8[[#This Row],[Date]])=2026,B1037,0)+IF(ROW(J1036)=1,0,J1036)</f>
        <v>1589</v>
      </c>
      <c r="K1037">
        <f>MAX(Table8[Cumulative 2026])</f>
        <v>3102</v>
      </c>
    </row>
    <row r="1038" spans="1:73" hidden="1" x14ac:dyDescent="0.25">
      <c r="A1038" s="1">
        <v>46247</v>
      </c>
      <c r="B1038">
        <f>SUM(_xlfn.CHOOSEROWS(Table8[[The Golden Compass]:[end]],ROW()-1))</f>
        <v>0</v>
      </c>
      <c r="C1038">
        <f>Table8[[#This Row],[Cumulative 2023 Q4]]+Table8[[#This Row],[Cumulative 2024]]+Table8[[#This Row],[Cumulative 2025]]+Table8[[#This Row],[Cumulative 2026]]</f>
        <v>12992</v>
      </c>
      <c r="D1038">
        <f>IF(YEAR(Table8[[#This Row],[Date]])=2023,B1038,0)+IF(ROW(D1037)=1,0,D1037)</f>
        <v>4195</v>
      </c>
      <c r="E1038">
        <f>MAX(Table8[Cumulative 2023 Q4])</f>
        <v>4195</v>
      </c>
      <c r="F1038">
        <f>IF(YEAR(Table8[[#This Row],[Date]])=2024,B1038,0)+IF(ROW(F1037)=1,0,F1037)</f>
        <v>5831</v>
      </c>
      <c r="G1038">
        <f>MAX(Table8[Cumulative 2024])</f>
        <v>5831</v>
      </c>
      <c r="H1038">
        <f>IF(YEAR(Table8[[#This Row],[Date]])=2025,B1038,0)+IF(ROW(H1037)=1,0,H1037)</f>
        <v>1377</v>
      </c>
      <c r="I1038">
        <f>MAX(Table8[Cumulative 2025])</f>
        <v>1377</v>
      </c>
      <c r="J1038">
        <f>IF(YEAR(Table8[[#This Row],[Date]])=2026,B1038,0)+IF(ROW(J1037)=1,0,J1037)</f>
        <v>1589</v>
      </c>
      <c r="K1038">
        <f>MAX(Table8[Cumulative 2026])</f>
        <v>3102</v>
      </c>
    </row>
    <row r="1039" spans="1:73" hidden="1" x14ac:dyDescent="0.25">
      <c r="A1039" s="1">
        <v>46248</v>
      </c>
      <c r="B1039">
        <f>SUM(_xlfn.CHOOSEROWS(Table8[[The Golden Compass]:[end]],ROW()-1))</f>
        <v>0</v>
      </c>
      <c r="C1039">
        <f>Table8[[#This Row],[Cumulative 2023 Q4]]+Table8[[#This Row],[Cumulative 2024]]+Table8[[#This Row],[Cumulative 2025]]+Table8[[#This Row],[Cumulative 2026]]</f>
        <v>12992</v>
      </c>
      <c r="D1039">
        <f>IF(YEAR(Table8[[#This Row],[Date]])=2023,B1039,0)+IF(ROW(D1038)=1,0,D1038)</f>
        <v>4195</v>
      </c>
      <c r="E1039">
        <f>MAX(Table8[Cumulative 2023 Q4])</f>
        <v>4195</v>
      </c>
      <c r="F1039">
        <f>IF(YEAR(Table8[[#This Row],[Date]])=2024,B1039,0)+IF(ROW(F1038)=1,0,F1038)</f>
        <v>5831</v>
      </c>
      <c r="G1039">
        <f>MAX(Table8[Cumulative 2024])</f>
        <v>5831</v>
      </c>
      <c r="H1039">
        <f>IF(YEAR(Table8[[#This Row],[Date]])=2025,B1039,0)+IF(ROW(H1038)=1,0,H1038)</f>
        <v>1377</v>
      </c>
      <c r="I1039">
        <f>MAX(Table8[Cumulative 2025])</f>
        <v>1377</v>
      </c>
      <c r="J1039">
        <f>IF(YEAR(Table8[[#This Row],[Date]])=2026,B1039,0)+IF(ROW(J1038)=1,0,J1038)</f>
        <v>1589</v>
      </c>
      <c r="K1039">
        <f>MAX(Table8[Cumulative 2026])</f>
        <v>3102</v>
      </c>
    </row>
    <row r="1040" spans="1:73" hidden="1" x14ac:dyDescent="0.25">
      <c r="A1040" s="1">
        <v>46249</v>
      </c>
      <c r="B1040">
        <f>SUM(_xlfn.CHOOSEROWS(Table8[[The Golden Compass]:[end]],ROW()-1))</f>
        <v>0</v>
      </c>
      <c r="C1040">
        <f>Table8[[#This Row],[Cumulative 2023 Q4]]+Table8[[#This Row],[Cumulative 2024]]+Table8[[#This Row],[Cumulative 2025]]+Table8[[#This Row],[Cumulative 2026]]</f>
        <v>12992</v>
      </c>
      <c r="D1040">
        <f>IF(YEAR(Table8[[#This Row],[Date]])=2023,B1040,0)+IF(ROW(D1039)=1,0,D1039)</f>
        <v>4195</v>
      </c>
      <c r="E1040">
        <f>MAX(Table8[Cumulative 2023 Q4])</f>
        <v>4195</v>
      </c>
      <c r="F1040">
        <f>IF(YEAR(Table8[[#This Row],[Date]])=2024,B1040,0)+IF(ROW(F1039)=1,0,F1039)</f>
        <v>5831</v>
      </c>
      <c r="G1040">
        <f>MAX(Table8[Cumulative 2024])</f>
        <v>5831</v>
      </c>
      <c r="H1040">
        <f>IF(YEAR(Table8[[#This Row],[Date]])=2025,B1040,0)+IF(ROW(H1039)=1,0,H1039)</f>
        <v>1377</v>
      </c>
      <c r="I1040">
        <f>MAX(Table8[Cumulative 2025])</f>
        <v>1377</v>
      </c>
      <c r="J1040">
        <f>IF(YEAR(Table8[[#This Row],[Date]])=2026,B1040,0)+IF(ROW(J1039)=1,0,J1039)</f>
        <v>1589</v>
      </c>
      <c r="K1040">
        <f>MAX(Table8[Cumulative 2026])</f>
        <v>3102</v>
      </c>
      <c r="BP1040" s="6"/>
      <c r="BQ1040" s="6"/>
      <c r="BR1040" s="6"/>
      <c r="BS1040" s="6"/>
      <c r="BT1040" s="6"/>
      <c r="BU1040" s="6"/>
    </row>
    <row r="1041" spans="1:95" hidden="1" x14ac:dyDescent="0.25">
      <c r="A1041" s="1">
        <v>46250</v>
      </c>
      <c r="B1041">
        <f>SUM(_xlfn.CHOOSEROWS(Table8[[The Golden Compass]:[end]],ROW()-1))</f>
        <v>0</v>
      </c>
      <c r="C1041">
        <f>Table8[[#This Row],[Cumulative 2023 Q4]]+Table8[[#This Row],[Cumulative 2024]]+Table8[[#This Row],[Cumulative 2025]]+Table8[[#This Row],[Cumulative 2026]]</f>
        <v>12992</v>
      </c>
      <c r="D1041">
        <f>IF(YEAR(Table8[[#This Row],[Date]])=2023,B1041,0)+IF(ROW(D1040)=1,0,D1040)</f>
        <v>4195</v>
      </c>
      <c r="E1041">
        <f>MAX(Table8[Cumulative 2023 Q4])</f>
        <v>4195</v>
      </c>
      <c r="F1041">
        <f>IF(YEAR(Table8[[#This Row],[Date]])=2024,B1041,0)+IF(ROW(F1040)=1,0,F1040)</f>
        <v>5831</v>
      </c>
      <c r="G1041">
        <f>MAX(Table8[Cumulative 2024])</f>
        <v>5831</v>
      </c>
      <c r="H1041">
        <f>IF(YEAR(Table8[[#This Row],[Date]])=2025,B1041,0)+IF(ROW(H1040)=1,0,H1040)</f>
        <v>1377</v>
      </c>
      <c r="I1041">
        <f>MAX(Table8[Cumulative 2025])</f>
        <v>1377</v>
      </c>
      <c r="J1041">
        <f>IF(YEAR(Table8[[#This Row],[Date]])=2026,B1041,0)+IF(ROW(J1040)=1,0,J1040)</f>
        <v>1589</v>
      </c>
      <c r="K1041">
        <f>MAX(Table8[Cumulative 2026])</f>
        <v>3102</v>
      </c>
    </row>
    <row r="1042" spans="1:95" hidden="1" x14ac:dyDescent="0.25">
      <c r="A1042" s="1">
        <v>46251</v>
      </c>
      <c r="B1042">
        <f>SUM(_xlfn.CHOOSEROWS(Table8[[The Golden Compass]:[end]],ROW()-1))</f>
        <v>0</v>
      </c>
      <c r="C1042">
        <f>Table8[[#This Row],[Cumulative 2023 Q4]]+Table8[[#This Row],[Cumulative 2024]]+Table8[[#This Row],[Cumulative 2025]]+Table8[[#This Row],[Cumulative 2026]]</f>
        <v>12992</v>
      </c>
      <c r="D1042">
        <f>IF(YEAR(Table8[[#This Row],[Date]])=2023,B1042,0)+IF(ROW(D1041)=1,0,D1041)</f>
        <v>4195</v>
      </c>
      <c r="E1042">
        <f>MAX(Table8[Cumulative 2023 Q4])</f>
        <v>4195</v>
      </c>
      <c r="F1042">
        <f>IF(YEAR(Table8[[#This Row],[Date]])=2024,B1042,0)+IF(ROW(F1041)=1,0,F1041)</f>
        <v>5831</v>
      </c>
      <c r="G1042">
        <f>MAX(Table8[Cumulative 2024])</f>
        <v>5831</v>
      </c>
      <c r="H1042">
        <f>IF(YEAR(Table8[[#This Row],[Date]])=2025,B1042,0)+IF(ROW(H1041)=1,0,H1041)</f>
        <v>1377</v>
      </c>
      <c r="I1042">
        <f>MAX(Table8[Cumulative 2025])</f>
        <v>1377</v>
      </c>
      <c r="J1042">
        <f>IF(YEAR(Table8[[#This Row],[Date]])=2026,B1042,0)+IF(ROW(J1041)=1,0,J1041)</f>
        <v>1589</v>
      </c>
      <c r="K1042">
        <f>MAX(Table8[Cumulative 2026])</f>
        <v>3102</v>
      </c>
    </row>
    <row r="1043" spans="1:95" hidden="1" x14ac:dyDescent="0.25">
      <c r="A1043" s="1">
        <v>46252</v>
      </c>
      <c r="B1043">
        <f>SUM(_xlfn.CHOOSEROWS(Table8[[The Golden Compass]:[end]],ROW()-1))</f>
        <v>0</v>
      </c>
      <c r="C1043">
        <f>Table8[[#This Row],[Cumulative 2023 Q4]]+Table8[[#This Row],[Cumulative 2024]]+Table8[[#This Row],[Cumulative 2025]]+Table8[[#This Row],[Cumulative 2026]]</f>
        <v>12992</v>
      </c>
      <c r="D1043">
        <f>IF(YEAR(Table8[[#This Row],[Date]])=2023,B1043,0)+IF(ROW(D1042)=1,0,D1042)</f>
        <v>4195</v>
      </c>
      <c r="E1043">
        <f>MAX(Table8[Cumulative 2023 Q4])</f>
        <v>4195</v>
      </c>
      <c r="F1043">
        <f>IF(YEAR(Table8[[#This Row],[Date]])=2024,B1043,0)+IF(ROW(F1042)=1,0,F1042)</f>
        <v>5831</v>
      </c>
      <c r="G1043">
        <f>MAX(Table8[Cumulative 2024])</f>
        <v>5831</v>
      </c>
      <c r="H1043">
        <f>IF(YEAR(Table8[[#This Row],[Date]])=2025,B1043,0)+IF(ROW(H1042)=1,0,H1042)</f>
        <v>1377</v>
      </c>
      <c r="I1043">
        <f>MAX(Table8[Cumulative 2025])</f>
        <v>1377</v>
      </c>
      <c r="J1043">
        <f>IF(YEAR(Table8[[#This Row],[Date]])=2026,B1043,0)+IF(ROW(J1042)=1,0,J1042)</f>
        <v>1589</v>
      </c>
      <c r="K1043">
        <f>MAX(Table8[Cumulative 2026])</f>
        <v>3102</v>
      </c>
    </row>
    <row r="1044" spans="1:95" hidden="1" x14ac:dyDescent="0.25">
      <c r="A1044" s="1">
        <v>46253</v>
      </c>
      <c r="B1044">
        <f>SUM(_xlfn.CHOOSEROWS(Table8[[The Golden Compass]:[end]],ROW()-1))</f>
        <v>0</v>
      </c>
      <c r="C1044">
        <f>Table8[[#This Row],[Cumulative 2023 Q4]]+Table8[[#This Row],[Cumulative 2024]]+Table8[[#This Row],[Cumulative 2025]]+Table8[[#This Row],[Cumulative 2026]]</f>
        <v>12992</v>
      </c>
      <c r="D1044">
        <f>IF(YEAR(Table8[[#This Row],[Date]])=2023,B1044,0)+IF(ROW(D1043)=1,0,D1043)</f>
        <v>4195</v>
      </c>
      <c r="E1044">
        <f>MAX(Table8[Cumulative 2023 Q4])</f>
        <v>4195</v>
      </c>
      <c r="F1044">
        <f>IF(YEAR(Table8[[#This Row],[Date]])=2024,B1044,0)+IF(ROW(F1043)=1,0,F1043)</f>
        <v>5831</v>
      </c>
      <c r="G1044">
        <f>MAX(Table8[Cumulative 2024])</f>
        <v>5831</v>
      </c>
      <c r="H1044">
        <f>IF(YEAR(Table8[[#This Row],[Date]])=2025,B1044,0)+IF(ROW(H1043)=1,0,H1043)</f>
        <v>1377</v>
      </c>
      <c r="I1044">
        <f>MAX(Table8[Cumulative 2025])</f>
        <v>1377</v>
      </c>
      <c r="J1044">
        <f>IF(YEAR(Table8[[#This Row],[Date]])=2026,B1044,0)+IF(ROW(J1043)=1,0,J1043)</f>
        <v>1589</v>
      </c>
      <c r="K1044">
        <f>MAX(Table8[Cumulative 2026])</f>
        <v>3102</v>
      </c>
    </row>
    <row r="1045" spans="1:95" hidden="1" x14ac:dyDescent="0.25">
      <c r="A1045" s="1">
        <v>46254</v>
      </c>
      <c r="B1045">
        <f>SUM(_xlfn.CHOOSEROWS(Table8[[The Golden Compass]:[end]],ROW()-1))</f>
        <v>0</v>
      </c>
      <c r="C1045">
        <f>Table8[[#This Row],[Cumulative 2023 Q4]]+Table8[[#This Row],[Cumulative 2024]]+Table8[[#This Row],[Cumulative 2025]]+Table8[[#This Row],[Cumulative 2026]]</f>
        <v>12992</v>
      </c>
      <c r="D1045">
        <f>IF(YEAR(Table8[[#This Row],[Date]])=2023,B1045,0)+IF(ROW(D1044)=1,0,D1044)</f>
        <v>4195</v>
      </c>
      <c r="E1045">
        <f>MAX(Table8[Cumulative 2023 Q4])</f>
        <v>4195</v>
      </c>
      <c r="F1045">
        <f>IF(YEAR(Table8[[#This Row],[Date]])=2024,B1045,0)+IF(ROW(F1044)=1,0,F1044)</f>
        <v>5831</v>
      </c>
      <c r="G1045">
        <f>MAX(Table8[Cumulative 2024])</f>
        <v>5831</v>
      </c>
      <c r="H1045">
        <f>IF(YEAR(Table8[[#This Row],[Date]])=2025,B1045,0)+IF(ROW(H1044)=1,0,H1044)</f>
        <v>1377</v>
      </c>
      <c r="I1045">
        <f>MAX(Table8[Cumulative 2025])</f>
        <v>1377</v>
      </c>
      <c r="J1045">
        <f>IF(YEAR(Table8[[#This Row],[Date]])=2026,B1045,0)+IF(ROW(J1044)=1,0,J1044)</f>
        <v>1589</v>
      </c>
      <c r="K1045">
        <f>MAX(Table8[Cumulative 2026])</f>
        <v>3102</v>
      </c>
    </row>
    <row r="1046" spans="1:95" hidden="1" x14ac:dyDescent="0.25">
      <c r="A1046" s="1">
        <v>46255</v>
      </c>
      <c r="B1046">
        <f>SUM(_xlfn.CHOOSEROWS(Table8[[The Golden Compass]:[end]],ROW()-1))</f>
        <v>0</v>
      </c>
      <c r="C1046">
        <f>Table8[[#This Row],[Cumulative 2023 Q4]]+Table8[[#This Row],[Cumulative 2024]]+Table8[[#This Row],[Cumulative 2025]]+Table8[[#This Row],[Cumulative 2026]]</f>
        <v>12992</v>
      </c>
      <c r="D1046">
        <f>IF(YEAR(Table8[[#This Row],[Date]])=2023,B1046,0)+IF(ROW(D1045)=1,0,D1045)</f>
        <v>4195</v>
      </c>
      <c r="E1046">
        <f>MAX(Table8[Cumulative 2023 Q4])</f>
        <v>4195</v>
      </c>
      <c r="F1046">
        <f>IF(YEAR(Table8[[#This Row],[Date]])=2024,B1046,0)+IF(ROW(F1045)=1,0,F1045)</f>
        <v>5831</v>
      </c>
      <c r="G1046">
        <f>MAX(Table8[Cumulative 2024])</f>
        <v>5831</v>
      </c>
      <c r="H1046">
        <f>IF(YEAR(Table8[[#This Row],[Date]])=2025,B1046,0)+IF(ROW(H1045)=1,0,H1045)</f>
        <v>1377</v>
      </c>
      <c r="I1046">
        <f>MAX(Table8[Cumulative 2025])</f>
        <v>1377</v>
      </c>
      <c r="J1046">
        <f>IF(YEAR(Table8[[#This Row],[Date]])=2026,B1046,0)+IF(ROW(J1045)=1,0,J1045)</f>
        <v>1589</v>
      </c>
      <c r="K1046">
        <f>MAX(Table8[Cumulative 2026])</f>
        <v>3102</v>
      </c>
    </row>
    <row r="1047" spans="1:95" hidden="1" x14ac:dyDescent="0.25">
      <c r="A1047" s="1">
        <v>46256</v>
      </c>
      <c r="B1047">
        <f>SUM(_xlfn.CHOOSEROWS(Table8[[The Golden Compass]:[end]],ROW()-1))</f>
        <v>0</v>
      </c>
      <c r="C1047">
        <f>Table8[[#This Row],[Cumulative 2023 Q4]]+Table8[[#This Row],[Cumulative 2024]]+Table8[[#This Row],[Cumulative 2025]]+Table8[[#This Row],[Cumulative 2026]]</f>
        <v>12992</v>
      </c>
      <c r="D1047">
        <f>IF(YEAR(Table8[[#This Row],[Date]])=2023,B1047,0)+IF(ROW(D1046)=1,0,D1046)</f>
        <v>4195</v>
      </c>
      <c r="E1047">
        <f>MAX(Table8[Cumulative 2023 Q4])</f>
        <v>4195</v>
      </c>
      <c r="F1047">
        <f>IF(YEAR(Table8[[#This Row],[Date]])=2024,B1047,0)+IF(ROW(F1046)=1,0,F1046)</f>
        <v>5831</v>
      </c>
      <c r="G1047">
        <f>MAX(Table8[Cumulative 2024])</f>
        <v>5831</v>
      </c>
      <c r="H1047">
        <f>IF(YEAR(Table8[[#This Row],[Date]])=2025,B1047,0)+IF(ROW(H1046)=1,0,H1046)</f>
        <v>1377</v>
      </c>
      <c r="I1047">
        <f>MAX(Table8[Cumulative 2025])</f>
        <v>1377</v>
      </c>
      <c r="J1047">
        <f>IF(YEAR(Table8[[#This Row],[Date]])=2026,B1047,0)+IF(ROW(J1046)=1,0,J1046)</f>
        <v>1589</v>
      </c>
      <c r="K1047">
        <f>MAX(Table8[Cumulative 2026])</f>
        <v>3102</v>
      </c>
    </row>
    <row r="1048" spans="1:95" hidden="1" x14ac:dyDescent="0.25">
      <c r="A1048" s="1">
        <v>46257</v>
      </c>
      <c r="B1048">
        <f>SUM(_xlfn.CHOOSEROWS(Table8[[The Golden Compass]:[end]],ROW()-1))</f>
        <v>0</v>
      </c>
      <c r="C1048">
        <f>Table8[[#This Row],[Cumulative 2023 Q4]]+Table8[[#This Row],[Cumulative 2024]]+Table8[[#This Row],[Cumulative 2025]]+Table8[[#This Row],[Cumulative 2026]]</f>
        <v>12992</v>
      </c>
      <c r="D1048">
        <f>IF(YEAR(Table8[[#This Row],[Date]])=2023,B1048,0)+IF(ROW(D1047)=1,0,D1047)</f>
        <v>4195</v>
      </c>
      <c r="E1048">
        <f>MAX(Table8[Cumulative 2023 Q4])</f>
        <v>4195</v>
      </c>
      <c r="F1048">
        <f>IF(YEAR(Table8[[#This Row],[Date]])=2024,B1048,0)+IF(ROW(F1047)=1,0,F1047)</f>
        <v>5831</v>
      </c>
      <c r="G1048">
        <f>MAX(Table8[Cumulative 2024])</f>
        <v>5831</v>
      </c>
      <c r="H1048">
        <f>IF(YEAR(Table8[[#This Row],[Date]])=2025,B1048,0)+IF(ROW(H1047)=1,0,H1047)</f>
        <v>1377</v>
      </c>
      <c r="I1048">
        <f>MAX(Table8[Cumulative 2025])</f>
        <v>1377</v>
      </c>
      <c r="J1048">
        <f>IF(YEAR(Table8[[#This Row],[Date]])=2026,B1048,0)+IF(ROW(J1047)=1,0,J1047)</f>
        <v>1589</v>
      </c>
      <c r="K1048">
        <f>MAX(Table8[Cumulative 2026])</f>
        <v>3102</v>
      </c>
    </row>
    <row r="1049" spans="1:95" hidden="1" x14ac:dyDescent="0.25">
      <c r="A1049" s="1">
        <v>46258</v>
      </c>
      <c r="B1049">
        <f>SUM(_xlfn.CHOOSEROWS(Table8[[The Golden Compass]:[end]],ROW()-1))</f>
        <v>0</v>
      </c>
      <c r="C1049">
        <f>Table8[[#This Row],[Cumulative 2023 Q4]]+Table8[[#This Row],[Cumulative 2024]]+Table8[[#This Row],[Cumulative 2025]]+Table8[[#This Row],[Cumulative 2026]]</f>
        <v>12992</v>
      </c>
      <c r="D1049">
        <f>IF(YEAR(Table8[[#This Row],[Date]])=2023,B1049,0)+IF(ROW(D1048)=1,0,D1048)</f>
        <v>4195</v>
      </c>
      <c r="E1049">
        <f>MAX(Table8[Cumulative 2023 Q4])</f>
        <v>4195</v>
      </c>
      <c r="F1049">
        <f>IF(YEAR(Table8[[#This Row],[Date]])=2024,B1049,0)+IF(ROW(F1048)=1,0,F1048)</f>
        <v>5831</v>
      </c>
      <c r="G1049">
        <f>MAX(Table8[Cumulative 2024])</f>
        <v>5831</v>
      </c>
      <c r="H1049">
        <f>IF(YEAR(Table8[[#This Row],[Date]])=2025,B1049,0)+IF(ROW(H1048)=1,0,H1048)</f>
        <v>1377</v>
      </c>
      <c r="I1049">
        <f>MAX(Table8[Cumulative 2025])</f>
        <v>1377</v>
      </c>
      <c r="J1049">
        <f>IF(YEAR(Table8[[#This Row],[Date]])=2026,B1049,0)+IF(ROW(J1048)=1,0,J1048)</f>
        <v>1589</v>
      </c>
      <c r="K1049">
        <f>MAX(Table8[Cumulative 2026])</f>
        <v>3102</v>
      </c>
    </row>
    <row r="1050" spans="1:95" hidden="1" x14ac:dyDescent="0.25">
      <c r="A1050" s="1">
        <v>46259</v>
      </c>
      <c r="B1050">
        <f>SUM(_xlfn.CHOOSEROWS(Table8[[The Golden Compass]:[end]],ROW()-1))</f>
        <v>0</v>
      </c>
      <c r="C1050">
        <f>Table8[[#This Row],[Cumulative 2023 Q4]]+Table8[[#This Row],[Cumulative 2024]]+Table8[[#This Row],[Cumulative 2025]]+Table8[[#This Row],[Cumulative 2026]]</f>
        <v>12992</v>
      </c>
      <c r="D1050">
        <f>IF(YEAR(Table8[[#This Row],[Date]])=2023,B1050,0)+IF(ROW(D1049)=1,0,D1049)</f>
        <v>4195</v>
      </c>
      <c r="E1050">
        <f>MAX(Table8[Cumulative 2023 Q4])</f>
        <v>4195</v>
      </c>
      <c r="F1050">
        <f>IF(YEAR(Table8[[#This Row],[Date]])=2024,B1050,0)+IF(ROW(F1049)=1,0,F1049)</f>
        <v>5831</v>
      </c>
      <c r="G1050">
        <f>MAX(Table8[Cumulative 2024])</f>
        <v>5831</v>
      </c>
      <c r="H1050">
        <f>IF(YEAR(Table8[[#This Row],[Date]])=2025,B1050,0)+IF(ROW(H1049)=1,0,H1049)</f>
        <v>1377</v>
      </c>
      <c r="I1050">
        <f>MAX(Table8[Cumulative 2025])</f>
        <v>1377</v>
      </c>
      <c r="J1050">
        <f>IF(YEAR(Table8[[#This Row],[Date]])=2026,B1050,0)+IF(ROW(J1049)=1,0,J1049)</f>
        <v>1589</v>
      </c>
      <c r="K1050">
        <f>MAX(Table8[Cumulative 2026])</f>
        <v>3102</v>
      </c>
    </row>
    <row r="1051" spans="1:95" hidden="1" x14ac:dyDescent="0.25">
      <c r="A1051" s="1">
        <v>46260</v>
      </c>
      <c r="B1051">
        <f>SUM(_xlfn.CHOOSEROWS(Table8[[The Golden Compass]:[end]],ROW()-1))</f>
        <v>0</v>
      </c>
      <c r="C1051">
        <f>Table8[[#This Row],[Cumulative 2023 Q4]]+Table8[[#This Row],[Cumulative 2024]]+Table8[[#This Row],[Cumulative 2025]]+Table8[[#This Row],[Cumulative 2026]]</f>
        <v>12992</v>
      </c>
      <c r="D1051">
        <f>IF(YEAR(Table8[[#This Row],[Date]])=2023,B1051,0)+IF(ROW(D1050)=1,0,D1050)</f>
        <v>4195</v>
      </c>
      <c r="E1051">
        <f>MAX(Table8[Cumulative 2023 Q4])</f>
        <v>4195</v>
      </c>
      <c r="F1051">
        <f>IF(YEAR(Table8[[#This Row],[Date]])=2024,B1051,0)+IF(ROW(F1050)=1,0,F1050)</f>
        <v>5831</v>
      </c>
      <c r="G1051">
        <f>MAX(Table8[Cumulative 2024])</f>
        <v>5831</v>
      </c>
      <c r="H1051">
        <f>IF(YEAR(Table8[[#This Row],[Date]])=2025,B1051,0)+IF(ROW(H1050)=1,0,H1050)</f>
        <v>1377</v>
      </c>
      <c r="I1051">
        <f>MAX(Table8[Cumulative 2025])</f>
        <v>1377</v>
      </c>
      <c r="J1051">
        <f>IF(YEAR(Table8[[#This Row],[Date]])=2026,B1051,0)+IF(ROW(J1050)=1,0,J1050)</f>
        <v>1589</v>
      </c>
      <c r="K1051">
        <f>MAX(Table8[Cumulative 2026])</f>
        <v>3102</v>
      </c>
    </row>
    <row r="1052" spans="1:95" hidden="1" x14ac:dyDescent="0.25">
      <c r="A1052" s="1">
        <v>46261</v>
      </c>
      <c r="B1052">
        <f>SUM(_xlfn.CHOOSEROWS(Table8[[The Golden Compass]:[end]],ROW()-1))</f>
        <v>0</v>
      </c>
      <c r="C1052">
        <f>Table8[[#This Row],[Cumulative 2023 Q4]]+Table8[[#This Row],[Cumulative 2024]]+Table8[[#This Row],[Cumulative 2025]]+Table8[[#This Row],[Cumulative 2026]]</f>
        <v>12992</v>
      </c>
      <c r="D1052">
        <f>IF(YEAR(Table8[[#This Row],[Date]])=2023,B1052,0)+IF(ROW(D1051)=1,0,D1051)</f>
        <v>4195</v>
      </c>
      <c r="E1052">
        <f>MAX(Table8[Cumulative 2023 Q4])</f>
        <v>4195</v>
      </c>
      <c r="F1052">
        <f>IF(YEAR(Table8[[#This Row],[Date]])=2024,B1052,0)+IF(ROW(F1051)=1,0,F1051)</f>
        <v>5831</v>
      </c>
      <c r="G1052">
        <f>MAX(Table8[Cumulative 2024])</f>
        <v>5831</v>
      </c>
      <c r="H1052">
        <f>IF(YEAR(Table8[[#This Row],[Date]])=2025,B1052,0)+IF(ROW(H1051)=1,0,H1051)</f>
        <v>1377</v>
      </c>
      <c r="I1052">
        <f>MAX(Table8[Cumulative 2025])</f>
        <v>1377</v>
      </c>
      <c r="J1052">
        <f>IF(YEAR(Table8[[#This Row],[Date]])=2026,B1052,0)+IF(ROW(J1051)=1,0,J1051)</f>
        <v>1589</v>
      </c>
      <c r="K1052">
        <f>MAX(Table8[Cumulative 2026])</f>
        <v>3102</v>
      </c>
    </row>
    <row r="1053" spans="1:95" hidden="1" x14ac:dyDescent="0.25">
      <c r="A1053" s="1">
        <v>46262</v>
      </c>
      <c r="B1053">
        <f>SUM(_xlfn.CHOOSEROWS(Table8[[The Golden Compass]:[end]],ROW()-1))</f>
        <v>0</v>
      </c>
      <c r="C1053">
        <f>Table8[[#This Row],[Cumulative 2023 Q4]]+Table8[[#This Row],[Cumulative 2024]]+Table8[[#This Row],[Cumulative 2025]]+Table8[[#This Row],[Cumulative 2026]]</f>
        <v>12992</v>
      </c>
      <c r="D1053">
        <f>IF(YEAR(Table8[[#This Row],[Date]])=2023,B1053,0)+IF(ROW(D1052)=1,0,D1052)</f>
        <v>4195</v>
      </c>
      <c r="E1053">
        <f>MAX(Table8[Cumulative 2023 Q4])</f>
        <v>4195</v>
      </c>
      <c r="F1053">
        <f>IF(YEAR(Table8[[#This Row],[Date]])=2024,B1053,0)+IF(ROW(F1052)=1,0,F1052)</f>
        <v>5831</v>
      </c>
      <c r="G1053">
        <f>MAX(Table8[Cumulative 2024])</f>
        <v>5831</v>
      </c>
      <c r="H1053">
        <f>IF(YEAR(Table8[[#This Row],[Date]])=2025,B1053,0)+IF(ROW(H1052)=1,0,H1052)</f>
        <v>1377</v>
      </c>
      <c r="I1053">
        <f>MAX(Table8[Cumulative 2025])</f>
        <v>1377</v>
      </c>
      <c r="J1053">
        <f>IF(YEAR(Table8[[#This Row],[Date]])=2026,B1053,0)+IF(ROW(J1052)=1,0,J1052)</f>
        <v>1589</v>
      </c>
      <c r="K1053">
        <f>MAX(Table8[Cumulative 2026])</f>
        <v>3102</v>
      </c>
    </row>
    <row r="1054" spans="1:95" hidden="1" x14ac:dyDescent="0.25">
      <c r="A1054" s="1">
        <v>46263</v>
      </c>
      <c r="B1054">
        <f>SUM(_xlfn.CHOOSEROWS(Table8[[The Golden Compass]:[end]],ROW()-1))</f>
        <v>32</v>
      </c>
      <c r="C1054">
        <f>Table8[[#This Row],[Cumulative 2023 Q4]]+Table8[[#This Row],[Cumulative 2024]]+Table8[[#This Row],[Cumulative 2025]]+Table8[[#This Row],[Cumulative 2026]]</f>
        <v>13024</v>
      </c>
      <c r="D1054">
        <f>IF(YEAR(Table8[[#This Row],[Date]])=2023,B1054,0)+IF(ROW(D1053)=1,0,D1053)</f>
        <v>4195</v>
      </c>
      <c r="E1054">
        <f>MAX(Table8[Cumulative 2023 Q4])</f>
        <v>4195</v>
      </c>
      <c r="F1054">
        <f>IF(YEAR(Table8[[#This Row],[Date]])=2024,B1054,0)+IF(ROW(F1053)=1,0,F1053)</f>
        <v>5831</v>
      </c>
      <c r="G1054">
        <f>MAX(Table8[Cumulative 2024])</f>
        <v>5831</v>
      </c>
      <c r="H1054">
        <f>IF(YEAR(Table8[[#This Row],[Date]])=2025,B1054,0)+IF(ROW(H1053)=1,0,H1053)</f>
        <v>1377</v>
      </c>
      <c r="I1054">
        <f>MAX(Table8[Cumulative 2025])</f>
        <v>1377</v>
      </c>
      <c r="J1054">
        <f>IF(YEAR(Table8[[#This Row],[Date]])=2026,B1054,0)+IF(ROW(J1053)=1,0,J1053)</f>
        <v>1621</v>
      </c>
      <c r="K1054">
        <f>MAX(Table8[Cumulative 2026])</f>
        <v>3102</v>
      </c>
      <c r="BE1054">
        <v>32</v>
      </c>
      <c r="CQ1054" s="2"/>
    </row>
    <row r="1055" spans="1:95" hidden="1" x14ac:dyDescent="0.25">
      <c r="A1055" s="1">
        <v>46264</v>
      </c>
      <c r="B1055">
        <f>SUM(_xlfn.CHOOSEROWS(Table8[[The Golden Compass]:[end]],ROW()-1))</f>
        <v>0</v>
      </c>
      <c r="C1055">
        <f>Table8[[#This Row],[Cumulative 2023 Q4]]+Table8[[#This Row],[Cumulative 2024]]+Table8[[#This Row],[Cumulative 2025]]+Table8[[#This Row],[Cumulative 2026]]</f>
        <v>13024</v>
      </c>
      <c r="D1055">
        <f>IF(YEAR(Table8[[#This Row],[Date]])=2023,B1055,0)+IF(ROW(D1054)=1,0,D1054)</f>
        <v>4195</v>
      </c>
      <c r="E1055">
        <f>MAX(Table8[Cumulative 2023 Q4])</f>
        <v>4195</v>
      </c>
      <c r="F1055">
        <f>IF(YEAR(Table8[[#This Row],[Date]])=2024,B1055,0)+IF(ROW(F1054)=1,0,F1054)</f>
        <v>5831</v>
      </c>
      <c r="G1055">
        <f>MAX(Table8[Cumulative 2024])</f>
        <v>5831</v>
      </c>
      <c r="H1055">
        <f>IF(YEAR(Table8[[#This Row],[Date]])=2025,B1055,0)+IF(ROW(H1054)=1,0,H1054)</f>
        <v>1377</v>
      </c>
      <c r="I1055">
        <f>MAX(Table8[Cumulative 2025])</f>
        <v>1377</v>
      </c>
      <c r="J1055">
        <f>IF(YEAR(Table8[[#This Row],[Date]])=2026,B1055,0)+IF(ROW(J1054)=1,0,J1054)</f>
        <v>1621</v>
      </c>
      <c r="K1055">
        <f>MAX(Table8[Cumulative 2026])</f>
        <v>3102</v>
      </c>
    </row>
    <row r="1056" spans="1:95" hidden="1" x14ac:dyDescent="0.25">
      <c r="A1056" s="1">
        <v>46265</v>
      </c>
      <c r="B1056">
        <f>SUM(_xlfn.CHOOSEROWS(Table8[[The Golden Compass]:[end]],ROW()-1))</f>
        <v>12.5</v>
      </c>
      <c r="C1056">
        <f>Table8[[#This Row],[Cumulative 2023 Q4]]+Table8[[#This Row],[Cumulative 2024]]+Table8[[#This Row],[Cumulative 2025]]+Table8[[#This Row],[Cumulative 2026]]</f>
        <v>13036.5</v>
      </c>
      <c r="D1056">
        <f>IF(YEAR(Table8[[#This Row],[Date]])=2023,B1056,0)+IF(ROW(D1055)=1,0,D1055)</f>
        <v>4195</v>
      </c>
      <c r="E1056">
        <f>MAX(Table8[Cumulative 2023 Q4])</f>
        <v>4195</v>
      </c>
      <c r="F1056">
        <f>IF(YEAR(Table8[[#This Row],[Date]])=2024,B1056,0)+IF(ROW(F1055)=1,0,F1055)</f>
        <v>5831</v>
      </c>
      <c r="G1056">
        <f>MAX(Table8[Cumulative 2024])</f>
        <v>5831</v>
      </c>
      <c r="H1056">
        <f>IF(YEAR(Table8[[#This Row],[Date]])=2025,B1056,0)+IF(ROW(H1055)=1,0,H1055)</f>
        <v>1377</v>
      </c>
      <c r="I1056">
        <f>MAX(Table8[Cumulative 2025])</f>
        <v>1377</v>
      </c>
      <c r="J1056">
        <f>IF(YEAR(Table8[[#This Row],[Date]])=2026,B1056,0)+IF(ROW(J1055)=1,0,J1055)</f>
        <v>1633.5</v>
      </c>
      <c r="K1056">
        <f>MAX(Table8[Cumulative 2026])</f>
        <v>3102</v>
      </c>
      <c r="BE1056">
        <v>12.5</v>
      </c>
      <c r="CQ1056" s="2"/>
    </row>
    <row r="1057" spans="1:95" hidden="1" x14ac:dyDescent="0.25">
      <c r="A1057" s="1">
        <v>46266</v>
      </c>
      <c r="B1057">
        <f>SUM(_xlfn.CHOOSEROWS(Table8[[The Golden Compass]:[end]],ROW()-1))</f>
        <v>0</v>
      </c>
      <c r="C1057">
        <f>Table8[[#This Row],[Cumulative 2023 Q4]]+Table8[[#This Row],[Cumulative 2024]]+Table8[[#This Row],[Cumulative 2025]]+Table8[[#This Row],[Cumulative 2026]]</f>
        <v>13036.5</v>
      </c>
      <c r="D1057">
        <f>IF(YEAR(Table8[[#This Row],[Date]])=2023,B1057,0)+IF(ROW(D1056)=1,0,D1056)</f>
        <v>4195</v>
      </c>
      <c r="E1057">
        <f>MAX(Table8[Cumulative 2023 Q4])</f>
        <v>4195</v>
      </c>
      <c r="F1057">
        <f>IF(YEAR(Table8[[#This Row],[Date]])=2024,B1057,0)+IF(ROW(F1056)=1,0,F1056)</f>
        <v>5831</v>
      </c>
      <c r="G1057">
        <f>MAX(Table8[Cumulative 2024])</f>
        <v>5831</v>
      </c>
      <c r="H1057">
        <f>IF(YEAR(Table8[[#This Row],[Date]])=2025,B1057,0)+IF(ROW(H1056)=1,0,H1056)</f>
        <v>1377</v>
      </c>
      <c r="I1057">
        <f>MAX(Table8[Cumulative 2025])</f>
        <v>1377</v>
      </c>
      <c r="J1057">
        <f>IF(YEAR(Table8[[#This Row],[Date]])=2026,B1057,0)+IF(ROW(J1056)=1,0,J1056)</f>
        <v>1633.5</v>
      </c>
      <c r="K1057">
        <f>MAX(Table8[Cumulative 2026])</f>
        <v>3102</v>
      </c>
    </row>
    <row r="1058" spans="1:95" hidden="1" x14ac:dyDescent="0.25">
      <c r="A1058" s="1">
        <v>46267</v>
      </c>
      <c r="B1058">
        <f>SUM(_xlfn.CHOOSEROWS(Table8[[The Golden Compass]:[end]],ROW()-1))</f>
        <v>0</v>
      </c>
      <c r="C1058">
        <f>Table8[[#This Row],[Cumulative 2023 Q4]]+Table8[[#This Row],[Cumulative 2024]]+Table8[[#This Row],[Cumulative 2025]]+Table8[[#This Row],[Cumulative 2026]]</f>
        <v>13036.5</v>
      </c>
      <c r="D1058">
        <f>IF(YEAR(Table8[[#This Row],[Date]])=2023,B1058,0)+IF(ROW(D1057)=1,0,D1057)</f>
        <v>4195</v>
      </c>
      <c r="E1058">
        <f>MAX(Table8[Cumulative 2023 Q4])</f>
        <v>4195</v>
      </c>
      <c r="F1058">
        <f>IF(YEAR(Table8[[#This Row],[Date]])=2024,B1058,0)+IF(ROW(F1057)=1,0,F1057)</f>
        <v>5831</v>
      </c>
      <c r="G1058">
        <f>MAX(Table8[Cumulative 2024])</f>
        <v>5831</v>
      </c>
      <c r="H1058">
        <f>IF(YEAR(Table8[[#This Row],[Date]])=2025,B1058,0)+IF(ROW(H1057)=1,0,H1057)</f>
        <v>1377</v>
      </c>
      <c r="I1058">
        <f>MAX(Table8[Cumulative 2025])</f>
        <v>1377</v>
      </c>
      <c r="J1058">
        <f>IF(YEAR(Table8[[#This Row],[Date]])=2026,B1058,0)+IF(ROW(J1057)=1,0,J1057)</f>
        <v>1633.5</v>
      </c>
      <c r="K1058">
        <f>MAX(Table8[Cumulative 2026])</f>
        <v>3102</v>
      </c>
    </row>
    <row r="1059" spans="1:95" hidden="1" x14ac:dyDescent="0.25">
      <c r="A1059" s="1">
        <v>46268</v>
      </c>
      <c r="B1059">
        <f>SUM(_xlfn.CHOOSEROWS(Table8[[The Golden Compass]:[end]],ROW()-1))</f>
        <v>0</v>
      </c>
      <c r="C1059">
        <f>Table8[[#This Row],[Cumulative 2023 Q4]]+Table8[[#This Row],[Cumulative 2024]]+Table8[[#This Row],[Cumulative 2025]]+Table8[[#This Row],[Cumulative 2026]]</f>
        <v>13036.5</v>
      </c>
      <c r="D1059">
        <f>IF(YEAR(Table8[[#This Row],[Date]])=2023,B1059,0)+IF(ROW(D1058)=1,0,D1058)</f>
        <v>4195</v>
      </c>
      <c r="E1059">
        <f>MAX(Table8[Cumulative 2023 Q4])</f>
        <v>4195</v>
      </c>
      <c r="F1059">
        <f>IF(YEAR(Table8[[#This Row],[Date]])=2024,B1059,0)+IF(ROW(F1058)=1,0,F1058)</f>
        <v>5831</v>
      </c>
      <c r="G1059">
        <f>MAX(Table8[Cumulative 2024])</f>
        <v>5831</v>
      </c>
      <c r="H1059">
        <f>IF(YEAR(Table8[[#This Row],[Date]])=2025,B1059,0)+IF(ROW(H1058)=1,0,H1058)</f>
        <v>1377</v>
      </c>
      <c r="I1059">
        <f>MAX(Table8[Cumulative 2025])</f>
        <v>1377</v>
      </c>
      <c r="J1059">
        <f>IF(YEAR(Table8[[#This Row],[Date]])=2026,B1059,0)+IF(ROW(J1058)=1,0,J1058)</f>
        <v>1633.5</v>
      </c>
      <c r="K1059">
        <f>MAX(Table8[Cumulative 2026])</f>
        <v>3102</v>
      </c>
    </row>
    <row r="1060" spans="1:95" hidden="1" x14ac:dyDescent="0.25">
      <c r="A1060" s="1">
        <v>46269</v>
      </c>
      <c r="B1060">
        <f>SUM(_xlfn.CHOOSEROWS(Table8[[The Golden Compass]:[end]],ROW()-1))</f>
        <v>0</v>
      </c>
      <c r="C1060">
        <f>Table8[[#This Row],[Cumulative 2023 Q4]]+Table8[[#This Row],[Cumulative 2024]]+Table8[[#This Row],[Cumulative 2025]]+Table8[[#This Row],[Cumulative 2026]]</f>
        <v>13036.5</v>
      </c>
      <c r="D1060">
        <f>IF(YEAR(Table8[[#This Row],[Date]])=2023,B1060,0)+IF(ROW(D1059)=1,0,D1059)</f>
        <v>4195</v>
      </c>
      <c r="E1060">
        <f>MAX(Table8[Cumulative 2023 Q4])</f>
        <v>4195</v>
      </c>
      <c r="F1060">
        <f>IF(YEAR(Table8[[#This Row],[Date]])=2024,B1060,0)+IF(ROW(F1059)=1,0,F1059)</f>
        <v>5831</v>
      </c>
      <c r="G1060">
        <f>MAX(Table8[Cumulative 2024])</f>
        <v>5831</v>
      </c>
      <c r="H1060">
        <f>IF(YEAR(Table8[[#This Row],[Date]])=2025,B1060,0)+IF(ROW(H1059)=1,0,H1059)</f>
        <v>1377</v>
      </c>
      <c r="I1060">
        <f>MAX(Table8[Cumulative 2025])</f>
        <v>1377</v>
      </c>
      <c r="J1060">
        <f>IF(YEAR(Table8[[#This Row],[Date]])=2026,B1060,0)+IF(ROW(J1059)=1,0,J1059)</f>
        <v>1633.5</v>
      </c>
      <c r="K1060">
        <f>MAX(Table8[Cumulative 2026])</f>
        <v>3102</v>
      </c>
    </row>
    <row r="1061" spans="1:95" hidden="1" x14ac:dyDescent="0.25">
      <c r="A1061" s="1">
        <v>46270</v>
      </c>
      <c r="B1061">
        <f>SUM(_xlfn.CHOOSEROWS(Table8[[The Golden Compass]:[end]],ROW()-1))</f>
        <v>0</v>
      </c>
      <c r="C1061">
        <f>Table8[[#This Row],[Cumulative 2023 Q4]]+Table8[[#This Row],[Cumulative 2024]]+Table8[[#This Row],[Cumulative 2025]]+Table8[[#This Row],[Cumulative 2026]]</f>
        <v>13036.5</v>
      </c>
      <c r="D1061">
        <f>IF(YEAR(Table8[[#This Row],[Date]])=2023,B1061,0)+IF(ROW(D1060)=1,0,D1060)</f>
        <v>4195</v>
      </c>
      <c r="E1061">
        <f>MAX(Table8[Cumulative 2023 Q4])</f>
        <v>4195</v>
      </c>
      <c r="F1061">
        <f>IF(YEAR(Table8[[#This Row],[Date]])=2024,B1061,0)+IF(ROW(F1060)=1,0,F1060)</f>
        <v>5831</v>
      </c>
      <c r="G1061">
        <f>MAX(Table8[Cumulative 2024])</f>
        <v>5831</v>
      </c>
      <c r="H1061">
        <f>IF(YEAR(Table8[[#This Row],[Date]])=2025,B1061,0)+IF(ROW(H1060)=1,0,H1060)</f>
        <v>1377</v>
      </c>
      <c r="I1061">
        <f>MAX(Table8[Cumulative 2025])</f>
        <v>1377</v>
      </c>
      <c r="J1061">
        <f>IF(YEAR(Table8[[#This Row],[Date]])=2026,B1061,0)+IF(ROW(J1060)=1,0,J1060)</f>
        <v>1633.5</v>
      </c>
      <c r="K1061">
        <f>MAX(Table8[Cumulative 2026])</f>
        <v>3102</v>
      </c>
    </row>
    <row r="1062" spans="1:95" hidden="1" x14ac:dyDescent="0.25">
      <c r="A1062" s="1">
        <v>46271</v>
      </c>
      <c r="B1062">
        <f>SUM(_xlfn.CHOOSEROWS(Table8[[The Golden Compass]:[end]],ROW()-1))</f>
        <v>0</v>
      </c>
      <c r="C1062">
        <f>Table8[[#This Row],[Cumulative 2023 Q4]]+Table8[[#This Row],[Cumulative 2024]]+Table8[[#This Row],[Cumulative 2025]]+Table8[[#This Row],[Cumulative 2026]]</f>
        <v>13036.5</v>
      </c>
      <c r="D1062">
        <f>IF(YEAR(Table8[[#This Row],[Date]])=2023,B1062,0)+IF(ROW(D1061)=1,0,D1061)</f>
        <v>4195</v>
      </c>
      <c r="E1062">
        <f>MAX(Table8[Cumulative 2023 Q4])</f>
        <v>4195</v>
      </c>
      <c r="F1062">
        <f>IF(YEAR(Table8[[#This Row],[Date]])=2024,B1062,0)+IF(ROW(F1061)=1,0,F1061)</f>
        <v>5831</v>
      </c>
      <c r="G1062">
        <f>MAX(Table8[Cumulative 2024])</f>
        <v>5831</v>
      </c>
      <c r="H1062">
        <f>IF(YEAR(Table8[[#This Row],[Date]])=2025,B1062,0)+IF(ROW(H1061)=1,0,H1061)</f>
        <v>1377</v>
      </c>
      <c r="I1062">
        <f>MAX(Table8[Cumulative 2025])</f>
        <v>1377</v>
      </c>
      <c r="J1062">
        <f>IF(YEAR(Table8[[#This Row],[Date]])=2026,B1062,0)+IF(ROW(J1061)=1,0,J1061)</f>
        <v>1633.5</v>
      </c>
      <c r="K1062">
        <f>MAX(Table8[Cumulative 2026])</f>
        <v>3102</v>
      </c>
    </row>
    <row r="1063" spans="1:95" hidden="1" x14ac:dyDescent="0.25">
      <c r="A1063" s="1">
        <v>46272</v>
      </c>
      <c r="B1063">
        <f>SUM(_xlfn.CHOOSEROWS(Table8[[The Golden Compass]:[end]],ROW()-1))</f>
        <v>0</v>
      </c>
      <c r="C1063">
        <f>Table8[[#This Row],[Cumulative 2023 Q4]]+Table8[[#This Row],[Cumulative 2024]]+Table8[[#This Row],[Cumulative 2025]]+Table8[[#This Row],[Cumulative 2026]]</f>
        <v>13036.5</v>
      </c>
      <c r="D1063">
        <f>IF(YEAR(Table8[[#This Row],[Date]])=2023,B1063,0)+IF(ROW(D1062)=1,0,D1062)</f>
        <v>4195</v>
      </c>
      <c r="E1063">
        <f>MAX(Table8[Cumulative 2023 Q4])</f>
        <v>4195</v>
      </c>
      <c r="F1063">
        <f>IF(YEAR(Table8[[#This Row],[Date]])=2024,B1063,0)+IF(ROW(F1062)=1,0,F1062)</f>
        <v>5831</v>
      </c>
      <c r="G1063">
        <f>MAX(Table8[Cumulative 2024])</f>
        <v>5831</v>
      </c>
      <c r="H1063">
        <f>IF(YEAR(Table8[[#This Row],[Date]])=2025,B1063,0)+IF(ROW(H1062)=1,0,H1062)</f>
        <v>1377</v>
      </c>
      <c r="I1063">
        <f>MAX(Table8[Cumulative 2025])</f>
        <v>1377</v>
      </c>
      <c r="J1063">
        <f>IF(YEAR(Table8[[#This Row],[Date]])=2026,B1063,0)+IF(ROW(J1062)=1,0,J1062)</f>
        <v>1633.5</v>
      </c>
      <c r="K1063">
        <f>MAX(Table8[Cumulative 2026])</f>
        <v>3102</v>
      </c>
    </row>
    <row r="1064" spans="1:95" hidden="1" x14ac:dyDescent="0.25">
      <c r="A1064" s="1">
        <v>46273</v>
      </c>
      <c r="B1064">
        <f>SUM(_xlfn.CHOOSEROWS(Table8[[The Golden Compass]:[end]],ROW()-1))</f>
        <v>49.5</v>
      </c>
      <c r="C1064">
        <f>Table8[[#This Row],[Cumulative 2023 Q4]]+Table8[[#This Row],[Cumulative 2024]]+Table8[[#This Row],[Cumulative 2025]]+Table8[[#This Row],[Cumulative 2026]]</f>
        <v>13086</v>
      </c>
      <c r="D1064">
        <f>IF(YEAR(Table8[[#This Row],[Date]])=2023,B1064,0)+IF(ROW(D1063)=1,0,D1063)</f>
        <v>4195</v>
      </c>
      <c r="E1064">
        <f>MAX(Table8[Cumulative 2023 Q4])</f>
        <v>4195</v>
      </c>
      <c r="F1064">
        <f>IF(YEAR(Table8[[#This Row],[Date]])=2024,B1064,0)+IF(ROW(F1063)=1,0,F1063)</f>
        <v>5831</v>
      </c>
      <c r="G1064">
        <f>MAX(Table8[Cumulative 2024])</f>
        <v>5831</v>
      </c>
      <c r="H1064">
        <f>IF(YEAR(Table8[[#This Row],[Date]])=2025,B1064,0)+IF(ROW(H1063)=1,0,H1063)</f>
        <v>1377</v>
      </c>
      <c r="I1064">
        <f>MAX(Table8[Cumulative 2025])</f>
        <v>1377</v>
      </c>
      <c r="J1064">
        <f>IF(YEAR(Table8[[#This Row],[Date]])=2026,B1064,0)+IF(ROW(J1063)=1,0,J1063)</f>
        <v>1683</v>
      </c>
      <c r="K1064">
        <f>MAX(Table8[Cumulative 2026])</f>
        <v>3102</v>
      </c>
      <c r="BE1064">
        <v>49.5</v>
      </c>
      <c r="CQ1064" s="2"/>
    </row>
    <row r="1065" spans="1:95" hidden="1" x14ac:dyDescent="0.25">
      <c r="A1065" s="1">
        <v>46274</v>
      </c>
      <c r="B1065">
        <f>SUM(_xlfn.CHOOSEROWS(Table8[[The Golden Compass]:[end]],ROW()-1))</f>
        <v>53</v>
      </c>
      <c r="C1065">
        <f>Table8[[#This Row],[Cumulative 2023 Q4]]+Table8[[#This Row],[Cumulative 2024]]+Table8[[#This Row],[Cumulative 2025]]+Table8[[#This Row],[Cumulative 2026]]</f>
        <v>13139</v>
      </c>
      <c r="D1065">
        <f>IF(YEAR(Table8[[#This Row],[Date]])=2023,B1065,0)+IF(ROW(D1064)=1,0,D1064)</f>
        <v>4195</v>
      </c>
      <c r="E1065">
        <f>MAX(Table8[Cumulative 2023 Q4])</f>
        <v>4195</v>
      </c>
      <c r="F1065">
        <f>IF(YEAR(Table8[[#This Row],[Date]])=2024,B1065,0)+IF(ROW(F1064)=1,0,F1064)</f>
        <v>5831</v>
      </c>
      <c r="G1065">
        <f>MAX(Table8[Cumulative 2024])</f>
        <v>5831</v>
      </c>
      <c r="H1065">
        <f>IF(YEAR(Table8[[#This Row],[Date]])=2025,B1065,0)+IF(ROW(H1064)=1,0,H1064)</f>
        <v>1377</v>
      </c>
      <c r="I1065">
        <f>MAX(Table8[Cumulative 2025])</f>
        <v>1377</v>
      </c>
      <c r="J1065">
        <f>IF(YEAR(Table8[[#This Row],[Date]])=2026,B1065,0)+IF(ROW(J1064)=1,0,J1064)</f>
        <v>1736</v>
      </c>
      <c r="K1065">
        <f>MAX(Table8[Cumulative 2026])</f>
        <v>3102</v>
      </c>
      <c r="BE1065">
        <v>53</v>
      </c>
      <c r="CQ1065" s="2"/>
    </row>
    <row r="1066" spans="1:95" hidden="1" x14ac:dyDescent="0.25">
      <c r="A1066" s="1">
        <v>46275</v>
      </c>
      <c r="B1066">
        <f>SUM(_xlfn.CHOOSEROWS(Table8[[The Golden Compass]:[end]],ROW()-1))</f>
        <v>48</v>
      </c>
      <c r="C1066">
        <f>Table8[[#This Row],[Cumulative 2023 Q4]]+Table8[[#This Row],[Cumulative 2024]]+Table8[[#This Row],[Cumulative 2025]]+Table8[[#This Row],[Cumulative 2026]]</f>
        <v>13187</v>
      </c>
      <c r="D1066">
        <f>IF(YEAR(Table8[[#This Row],[Date]])=2023,B1066,0)+IF(ROW(D1065)=1,0,D1065)</f>
        <v>4195</v>
      </c>
      <c r="E1066">
        <f>MAX(Table8[Cumulative 2023 Q4])</f>
        <v>4195</v>
      </c>
      <c r="F1066">
        <f>IF(YEAR(Table8[[#This Row],[Date]])=2024,B1066,0)+IF(ROW(F1065)=1,0,F1065)</f>
        <v>5831</v>
      </c>
      <c r="G1066">
        <f>MAX(Table8[Cumulative 2024])</f>
        <v>5831</v>
      </c>
      <c r="H1066">
        <f>IF(YEAR(Table8[[#This Row],[Date]])=2025,B1066,0)+IF(ROW(H1065)=1,0,H1065)</f>
        <v>1377</v>
      </c>
      <c r="I1066">
        <f>MAX(Table8[Cumulative 2025])</f>
        <v>1377</v>
      </c>
      <c r="J1066">
        <f>IF(YEAR(Table8[[#This Row],[Date]])=2026,B1066,0)+IF(ROW(J1065)=1,0,J1065)</f>
        <v>1784</v>
      </c>
      <c r="K1066">
        <f>MAX(Table8[Cumulative 2026])</f>
        <v>3102</v>
      </c>
      <c r="BE1066">
        <v>48</v>
      </c>
    </row>
    <row r="1067" spans="1:95" hidden="1" x14ac:dyDescent="0.25">
      <c r="A1067" s="1">
        <v>46276</v>
      </c>
      <c r="B1067">
        <f>SUM(_xlfn.CHOOSEROWS(Table8[[The Golden Compass]:[end]],ROW()-1))</f>
        <v>43</v>
      </c>
      <c r="C1067">
        <f>Table8[[#This Row],[Cumulative 2023 Q4]]+Table8[[#This Row],[Cumulative 2024]]+Table8[[#This Row],[Cumulative 2025]]+Table8[[#This Row],[Cumulative 2026]]</f>
        <v>13230</v>
      </c>
      <c r="D1067">
        <f>IF(YEAR(Table8[[#This Row],[Date]])=2023,B1067,0)+IF(ROW(D1066)=1,0,D1066)</f>
        <v>4195</v>
      </c>
      <c r="E1067">
        <f>MAX(Table8[Cumulative 2023 Q4])</f>
        <v>4195</v>
      </c>
      <c r="F1067">
        <f>IF(YEAR(Table8[[#This Row],[Date]])=2024,B1067,0)+IF(ROW(F1066)=1,0,F1066)</f>
        <v>5831</v>
      </c>
      <c r="G1067">
        <f>MAX(Table8[Cumulative 2024])</f>
        <v>5831</v>
      </c>
      <c r="H1067">
        <f>IF(YEAR(Table8[[#This Row],[Date]])=2025,B1067,0)+IF(ROW(H1066)=1,0,H1066)</f>
        <v>1377</v>
      </c>
      <c r="I1067">
        <f>MAX(Table8[Cumulative 2025])</f>
        <v>1377</v>
      </c>
      <c r="J1067">
        <f>IF(YEAR(Table8[[#This Row],[Date]])=2026,B1067,0)+IF(ROW(J1066)=1,0,J1066)</f>
        <v>1827</v>
      </c>
      <c r="K1067">
        <f>MAX(Table8[Cumulative 2026])</f>
        <v>3102</v>
      </c>
      <c r="BE1067">
        <v>43</v>
      </c>
    </row>
    <row r="1068" spans="1:95" hidden="1" x14ac:dyDescent="0.25">
      <c r="A1068" s="1">
        <v>46277</v>
      </c>
      <c r="B1068">
        <f>SUM(_xlfn.CHOOSEROWS(Table8[[The Golden Compass]:[end]],ROW()-1))</f>
        <v>0</v>
      </c>
      <c r="C1068">
        <f>Table8[[#This Row],[Cumulative 2023 Q4]]+Table8[[#This Row],[Cumulative 2024]]+Table8[[#This Row],[Cumulative 2025]]+Table8[[#This Row],[Cumulative 2026]]</f>
        <v>13230</v>
      </c>
      <c r="D1068">
        <f>IF(YEAR(Table8[[#This Row],[Date]])=2023,B1068,0)+IF(ROW(D1067)=1,0,D1067)</f>
        <v>4195</v>
      </c>
      <c r="E1068">
        <f>MAX(Table8[Cumulative 2023 Q4])</f>
        <v>4195</v>
      </c>
      <c r="F1068">
        <f>IF(YEAR(Table8[[#This Row],[Date]])=2024,B1068,0)+IF(ROW(F1067)=1,0,F1067)</f>
        <v>5831</v>
      </c>
      <c r="G1068">
        <f>MAX(Table8[Cumulative 2024])</f>
        <v>5831</v>
      </c>
      <c r="H1068">
        <f>IF(YEAR(Table8[[#This Row],[Date]])=2025,B1068,0)+IF(ROW(H1067)=1,0,H1067)</f>
        <v>1377</v>
      </c>
      <c r="I1068">
        <f>MAX(Table8[Cumulative 2025])</f>
        <v>1377</v>
      </c>
      <c r="J1068">
        <f>IF(YEAR(Table8[[#This Row],[Date]])=2026,B1068,0)+IF(ROW(J1067)=1,0,J1067)</f>
        <v>1827</v>
      </c>
      <c r="K1068">
        <f>MAX(Table8[Cumulative 2026])</f>
        <v>3102</v>
      </c>
    </row>
    <row r="1069" spans="1:95" hidden="1" x14ac:dyDescent="0.25">
      <c r="A1069" s="1">
        <v>46278</v>
      </c>
      <c r="B1069">
        <f>SUM(_xlfn.CHOOSEROWS(Table8[[The Golden Compass]:[end]],ROW()-1))</f>
        <v>86</v>
      </c>
      <c r="C1069">
        <f>Table8[[#This Row],[Cumulative 2023 Q4]]+Table8[[#This Row],[Cumulative 2024]]+Table8[[#This Row],[Cumulative 2025]]+Table8[[#This Row],[Cumulative 2026]]</f>
        <v>13316</v>
      </c>
      <c r="D1069">
        <f>IF(YEAR(Table8[[#This Row],[Date]])=2023,B1069,0)+IF(ROW(D1068)=1,0,D1068)</f>
        <v>4195</v>
      </c>
      <c r="E1069">
        <f>MAX(Table8[Cumulative 2023 Q4])</f>
        <v>4195</v>
      </c>
      <c r="F1069">
        <f>IF(YEAR(Table8[[#This Row],[Date]])=2024,B1069,0)+IF(ROW(F1068)=1,0,F1068)</f>
        <v>5831</v>
      </c>
      <c r="G1069">
        <f>MAX(Table8[Cumulative 2024])</f>
        <v>5831</v>
      </c>
      <c r="H1069">
        <f>IF(YEAR(Table8[[#This Row],[Date]])=2025,B1069,0)+IF(ROW(H1068)=1,0,H1068)</f>
        <v>1377</v>
      </c>
      <c r="I1069">
        <f>MAX(Table8[Cumulative 2025])</f>
        <v>1377</v>
      </c>
      <c r="J1069">
        <f>IF(YEAR(Table8[[#This Row],[Date]])=2026,B1069,0)+IF(ROW(J1068)=1,0,J1068)</f>
        <v>1913</v>
      </c>
      <c r="K1069">
        <f>MAX(Table8[Cumulative 2026])</f>
        <v>3102</v>
      </c>
      <c r="BE1069">
        <v>86</v>
      </c>
    </row>
    <row r="1070" spans="1:95" hidden="1" x14ac:dyDescent="0.25">
      <c r="A1070" s="1">
        <v>46279</v>
      </c>
      <c r="B1070">
        <f>SUM(_xlfn.CHOOSEROWS(Table8[[The Golden Compass]:[end]],ROW()-1))</f>
        <v>129</v>
      </c>
      <c r="C1070">
        <f>Table8[[#This Row],[Cumulative 2023 Q4]]+Table8[[#This Row],[Cumulative 2024]]+Table8[[#This Row],[Cumulative 2025]]+Table8[[#This Row],[Cumulative 2026]]</f>
        <v>13445</v>
      </c>
      <c r="D1070">
        <f>IF(YEAR(Table8[[#This Row],[Date]])=2023,B1070,0)+IF(ROW(D1069)=1,0,D1069)</f>
        <v>4195</v>
      </c>
      <c r="E1070">
        <f>MAX(Table8[Cumulative 2023 Q4])</f>
        <v>4195</v>
      </c>
      <c r="F1070">
        <f>IF(YEAR(Table8[[#This Row],[Date]])=2024,B1070,0)+IF(ROW(F1069)=1,0,F1069)</f>
        <v>5831</v>
      </c>
      <c r="G1070">
        <f>MAX(Table8[Cumulative 2024])</f>
        <v>5831</v>
      </c>
      <c r="H1070">
        <f>IF(YEAR(Table8[[#This Row],[Date]])=2025,B1070,0)+IF(ROW(H1069)=1,0,H1069)</f>
        <v>1377</v>
      </c>
      <c r="I1070">
        <f>MAX(Table8[Cumulative 2025])</f>
        <v>1377</v>
      </c>
      <c r="J1070">
        <f>IF(YEAR(Table8[[#This Row],[Date]])=2026,B1070,0)+IF(ROW(J1069)=1,0,J1069)</f>
        <v>2042</v>
      </c>
      <c r="K1070">
        <f>MAX(Table8[Cumulative 2026])</f>
        <v>3102</v>
      </c>
      <c r="BE1070">
        <v>129</v>
      </c>
    </row>
    <row r="1071" spans="1:95" hidden="1" x14ac:dyDescent="0.25">
      <c r="A1071" s="1">
        <v>46280</v>
      </c>
      <c r="B1071">
        <f>SUM(_xlfn.CHOOSEROWS(Table8[[The Golden Compass]:[end]],ROW()-1))</f>
        <v>124</v>
      </c>
      <c r="C1071">
        <f>Table8[[#This Row],[Cumulative 2023 Q4]]+Table8[[#This Row],[Cumulative 2024]]+Table8[[#This Row],[Cumulative 2025]]+Table8[[#This Row],[Cumulative 2026]]</f>
        <v>13569</v>
      </c>
      <c r="D1071">
        <f>IF(YEAR(Table8[[#This Row],[Date]])=2023,B1071,0)+IF(ROW(D1070)=1,0,D1070)</f>
        <v>4195</v>
      </c>
      <c r="E1071">
        <f>MAX(Table8[Cumulative 2023 Q4])</f>
        <v>4195</v>
      </c>
      <c r="F1071">
        <f>IF(YEAR(Table8[[#This Row],[Date]])=2024,B1071,0)+IF(ROW(F1070)=1,0,F1070)</f>
        <v>5831</v>
      </c>
      <c r="G1071">
        <f>MAX(Table8[Cumulative 2024])</f>
        <v>5831</v>
      </c>
      <c r="H1071">
        <f>IF(YEAR(Table8[[#This Row],[Date]])=2025,B1071,0)+IF(ROW(H1070)=1,0,H1070)</f>
        <v>1377</v>
      </c>
      <c r="I1071">
        <f>MAX(Table8[Cumulative 2025])</f>
        <v>1377</v>
      </c>
      <c r="J1071">
        <f>IF(YEAR(Table8[[#This Row],[Date]])=2026,B1071,0)+IF(ROW(J1070)=1,0,J1070)</f>
        <v>2166</v>
      </c>
      <c r="K1071">
        <f>MAX(Table8[Cumulative 2026])</f>
        <v>3102</v>
      </c>
      <c r="BE1071">
        <v>124</v>
      </c>
    </row>
    <row r="1072" spans="1:95" hidden="1" x14ac:dyDescent="0.25">
      <c r="A1072" s="1">
        <v>46281</v>
      </c>
      <c r="B1072">
        <f>SUM(_xlfn.CHOOSEROWS(Table8[[The Golden Compass]:[end]],ROW()-1))</f>
        <v>174</v>
      </c>
      <c r="C1072">
        <f>Table8[[#This Row],[Cumulative 2023 Q4]]+Table8[[#This Row],[Cumulative 2024]]+Table8[[#This Row],[Cumulative 2025]]+Table8[[#This Row],[Cumulative 2026]]</f>
        <v>13743</v>
      </c>
      <c r="D1072">
        <f>IF(YEAR(Table8[[#This Row],[Date]])=2023,B1072,0)+IF(ROW(D1071)=1,0,D1071)</f>
        <v>4195</v>
      </c>
      <c r="E1072">
        <f>MAX(Table8[Cumulative 2023 Q4])</f>
        <v>4195</v>
      </c>
      <c r="F1072">
        <f>IF(YEAR(Table8[[#This Row],[Date]])=2024,B1072,0)+IF(ROW(F1071)=1,0,F1071)</f>
        <v>5831</v>
      </c>
      <c r="G1072">
        <f>MAX(Table8[Cumulative 2024])</f>
        <v>5831</v>
      </c>
      <c r="H1072">
        <f>IF(YEAR(Table8[[#This Row],[Date]])=2025,B1072,0)+IF(ROW(H1071)=1,0,H1071)</f>
        <v>1377</v>
      </c>
      <c r="I1072">
        <f>MAX(Table8[Cumulative 2025])</f>
        <v>1377</v>
      </c>
      <c r="J1072">
        <f>IF(YEAR(Table8[[#This Row],[Date]])=2026,B1072,0)+IF(ROW(J1071)=1,0,J1071)</f>
        <v>2340</v>
      </c>
      <c r="K1072">
        <f>MAX(Table8[Cumulative 2026])</f>
        <v>3102</v>
      </c>
      <c r="BE1072">
        <v>174</v>
      </c>
    </row>
    <row r="1073" spans="1:58" hidden="1" x14ac:dyDescent="0.25">
      <c r="A1073" s="1">
        <v>46282</v>
      </c>
      <c r="B1073">
        <f>SUM(_xlfn.CHOOSEROWS(Table8[[The Golden Compass]:[end]],ROW()-1))</f>
        <v>23</v>
      </c>
      <c r="C1073">
        <f>Table8[[#This Row],[Cumulative 2023 Q4]]+Table8[[#This Row],[Cumulative 2024]]+Table8[[#This Row],[Cumulative 2025]]+Table8[[#This Row],[Cumulative 2026]]</f>
        <v>13766</v>
      </c>
      <c r="D1073">
        <f>IF(YEAR(Table8[[#This Row],[Date]])=2023,B1073,0)+IF(ROW(D1072)=1,0,D1072)</f>
        <v>4195</v>
      </c>
      <c r="E1073">
        <f>MAX(Table8[Cumulative 2023 Q4])</f>
        <v>4195</v>
      </c>
      <c r="F1073">
        <f>IF(YEAR(Table8[[#This Row],[Date]])=2024,B1073,0)+IF(ROW(F1072)=1,0,F1072)</f>
        <v>5831</v>
      </c>
      <c r="G1073">
        <f>MAX(Table8[Cumulative 2024])</f>
        <v>5831</v>
      </c>
      <c r="H1073">
        <f>IF(YEAR(Table8[[#This Row],[Date]])=2025,B1073,0)+IF(ROW(H1072)=1,0,H1072)</f>
        <v>1377</v>
      </c>
      <c r="I1073">
        <f>MAX(Table8[Cumulative 2025])</f>
        <v>1377</v>
      </c>
      <c r="J1073">
        <f>IF(YEAR(Table8[[#This Row],[Date]])=2026,B1073,0)+IF(ROW(J1072)=1,0,J1072)</f>
        <v>2363</v>
      </c>
      <c r="K1073">
        <f>MAX(Table8[Cumulative 2026])</f>
        <v>3102</v>
      </c>
      <c r="BF1073">
        <v>23</v>
      </c>
    </row>
    <row r="1074" spans="1:58" hidden="1" x14ac:dyDescent="0.25">
      <c r="A1074" s="1">
        <v>46283</v>
      </c>
      <c r="B1074">
        <f>SUM(_xlfn.CHOOSEROWS(Table8[[The Golden Compass]:[end]],ROW()-1))</f>
        <v>0</v>
      </c>
      <c r="C1074">
        <f>Table8[[#This Row],[Cumulative 2023 Q4]]+Table8[[#This Row],[Cumulative 2024]]+Table8[[#This Row],[Cumulative 2025]]+Table8[[#This Row],[Cumulative 2026]]</f>
        <v>13766</v>
      </c>
      <c r="D1074">
        <f>IF(YEAR(Table8[[#This Row],[Date]])=2023,B1074,0)+IF(ROW(D1073)=1,0,D1073)</f>
        <v>4195</v>
      </c>
      <c r="E1074">
        <f>MAX(Table8[Cumulative 2023 Q4])</f>
        <v>4195</v>
      </c>
      <c r="F1074">
        <f>IF(YEAR(Table8[[#This Row],[Date]])=2024,B1074,0)+IF(ROW(F1073)=1,0,F1073)</f>
        <v>5831</v>
      </c>
      <c r="G1074">
        <f>MAX(Table8[Cumulative 2024])</f>
        <v>5831</v>
      </c>
      <c r="H1074">
        <f>IF(YEAR(Table8[[#This Row],[Date]])=2025,B1074,0)+IF(ROW(H1073)=1,0,H1073)</f>
        <v>1377</v>
      </c>
      <c r="I1074">
        <f>MAX(Table8[Cumulative 2025])</f>
        <v>1377</v>
      </c>
      <c r="J1074">
        <f>IF(YEAR(Table8[[#This Row],[Date]])=2026,B1074,0)+IF(ROW(J1073)=1,0,J1073)</f>
        <v>2363</v>
      </c>
      <c r="K1074">
        <f>MAX(Table8[Cumulative 2026])</f>
        <v>3102</v>
      </c>
    </row>
    <row r="1075" spans="1:58" hidden="1" x14ac:dyDescent="0.25">
      <c r="A1075" s="1">
        <v>46284</v>
      </c>
      <c r="B1075">
        <f>SUM(_xlfn.CHOOSEROWS(Table8[[The Golden Compass]:[end]],ROW()-1))</f>
        <v>0</v>
      </c>
      <c r="C1075">
        <f>Table8[[#This Row],[Cumulative 2023 Q4]]+Table8[[#This Row],[Cumulative 2024]]+Table8[[#This Row],[Cumulative 2025]]+Table8[[#This Row],[Cumulative 2026]]</f>
        <v>13766</v>
      </c>
      <c r="D1075">
        <f>IF(YEAR(Table8[[#This Row],[Date]])=2023,B1075,0)+IF(ROW(D1074)=1,0,D1074)</f>
        <v>4195</v>
      </c>
      <c r="E1075">
        <f>MAX(Table8[Cumulative 2023 Q4])</f>
        <v>4195</v>
      </c>
      <c r="F1075">
        <f>IF(YEAR(Table8[[#This Row],[Date]])=2024,B1075,0)+IF(ROW(F1074)=1,0,F1074)</f>
        <v>5831</v>
      </c>
      <c r="G1075">
        <f>MAX(Table8[Cumulative 2024])</f>
        <v>5831</v>
      </c>
      <c r="H1075">
        <f>IF(YEAR(Table8[[#This Row],[Date]])=2025,B1075,0)+IF(ROW(H1074)=1,0,H1074)</f>
        <v>1377</v>
      </c>
      <c r="I1075">
        <f>MAX(Table8[Cumulative 2025])</f>
        <v>1377</v>
      </c>
      <c r="J1075">
        <f>IF(YEAR(Table8[[#This Row],[Date]])=2026,B1075,0)+IF(ROW(J1074)=1,0,J1074)</f>
        <v>2363</v>
      </c>
      <c r="K1075">
        <f>MAX(Table8[Cumulative 2026])</f>
        <v>3102</v>
      </c>
    </row>
    <row r="1076" spans="1:58" hidden="1" x14ac:dyDescent="0.25">
      <c r="A1076" s="1">
        <v>46285</v>
      </c>
      <c r="B1076">
        <f>SUM(_xlfn.CHOOSEROWS(Table8[[The Golden Compass]:[end]],ROW()-1))</f>
        <v>31</v>
      </c>
      <c r="C1076">
        <f>Table8[[#This Row],[Cumulative 2023 Q4]]+Table8[[#This Row],[Cumulative 2024]]+Table8[[#This Row],[Cumulative 2025]]+Table8[[#This Row],[Cumulative 2026]]</f>
        <v>13797</v>
      </c>
      <c r="D1076">
        <f>IF(YEAR(Table8[[#This Row],[Date]])=2023,B1076,0)+IF(ROW(D1075)=1,0,D1075)</f>
        <v>4195</v>
      </c>
      <c r="E1076">
        <f>MAX(Table8[Cumulative 2023 Q4])</f>
        <v>4195</v>
      </c>
      <c r="F1076">
        <f>IF(YEAR(Table8[[#This Row],[Date]])=2024,B1076,0)+IF(ROW(F1075)=1,0,F1075)</f>
        <v>5831</v>
      </c>
      <c r="G1076">
        <f>MAX(Table8[Cumulative 2024])</f>
        <v>5831</v>
      </c>
      <c r="H1076">
        <f>IF(YEAR(Table8[[#This Row],[Date]])=2025,B1076,0)+IF(ROW(H1075)=1,0,H1075)</f>
        <v>1377</v>
      </c>
      <c r="I1076">
        <f>MAX(Table8[Cumulative 2025])</f>
        <v>1377</v>
      </c>
      <c r="J1076">
        <f>IF(YEAR(Table8[[#This Row],[Date]])=2026,B1076,0)+IF(ROW(J1075)=1,0,J1075)</f>
        <v>2394</v>
      </c>
      <c r="K1076">
        <f>MAX(Table8[Cumulative 2026])</f>
        <v>3102</v>
      </c>
      <c r="BF1076">
        <v>31</v>
      </c>
    </row>
    <row r="1077" spans="1:58" hidden="1" x14ac:dyDescent="0.25">
      <c r="A1077" s="1">
        <v>46286</v>
      </c>
      <c r="B1077">
        <f>SUM(_xlfn.CHOOSEROWS(Table8[[The Golden Compass]:[end]],ROW()-1))</f>
        <v>0</v>
      </c>
      <c r="C1077">
        <f>Table8[[#This Row],[Cumulative 2023 Q4]]+Table8[[#This Row],[Cumulative 2024]]+Table8[[#This Row],[Cumulative 2025]]+Table8[[#This Row],[Cumulative 2026]]</f>
        <v>13797</v>
      </c>
      <c r="D1077">
        <f>IF(YEAR(Table8[[#This Row],[Date]])=2023,B1077,0)+IF(ROW(D1076)=1,0,D1076)</f>
        <v>4195</v>
      </c>
      <c r="E1077">
        <f>MAX(Table8[Cumulative 2023 Q4])</f>
        <v>4195</v>
      </c>
      <c r="F1077">
        <f>IF(YEAR(Table8[[#This Row],[Date]])=2024,B1077,0)+IF(ROW(F1076)=1,0,F1076)</f>
        <v>5831</v>
      </c>
      <c r="G1077">
        <f>MAX(Table8[Cumulative 2024])</f>
        <v>5831</v>
      </c>
      <c r="H1077">
        <f>IF(YEAR(Table8[[#This Row],[Date]])=2025,B1077,0)+IF(ROW(H1076)=1,0,H1076)</f>
        <v>1377</v>
      </c>
      <c r="I1077">
        <f>MAX(Table8[Cumulative 2025])</f>
        <v>1377</v>
      </c>
      <c r="J1077">
        <f>IF(YEAR(Table8[[#This Row],[Date]])=2026,B1077,0)+IF(ROW(J1076)=1,0,J1076)</f>
        <v>2394</v>
      </c>
      <c r="K1077">
        <f>MAX(Table8[Cumulative 2026])</f>
        <v>3102</v>
      </c>
    </row>
    <row r="1078" spans="1:58" hidden="1" x14ac:dyDescent="0.25">
      <c r="A1078" s="1">
        <v>46287</v>
      </c>
      <c r="B1078">
        <f>SUM(_xlfn.CHOOSEROWS(Table8[[The Golden Compass]:[end]],ROW()-1))</f>
        <v>103</v>
      </c>
      <c r="C1078">
        <f>Table8[[#This Row],[Cumulative 2023 Q4]]+Table8[[#This Row],[Cumulative 2024]]+Table8[[#This Row],[Cumulative 2025]]+Table8[[#This Row],[Cumulative 2026]]</f>
        <v>13900</v>
      </c>
      <c r="D1078">
        <f>IF(YEAR(Table8[[#This Row],[Date]])=2023,B1078,0)+IF(ROW(D1077)=1,0,D1077)</f>
        <v>4195</v>
      </c>
      <c r="E1078">
        <f>MAX(Table8[Cumulative 2023 Q4])</f>
        <v>4195</v>
      </c>
      <c r="F1078">
        <f>IF(YEAR(Table8[[#This Row],[Date]])=2024,B1078,0)+IF(ROW(F1077)=1,0,F1077)</f>
        <v>5831</v>
      </c>
      <c r="G1078">
        <f>MAX(Table8[Cumulative 2024])</f>
        <v>5831</v>
      </c>
      <c r="H1078">
        <f>IF(YEAR(Table8[[#This Row],[Date]])=2025,B1078,0)+IF(ROW(H1077)=1,0,H1077)</f>
        <v>1377</v>
      </c>
      <c r="I1078">
        <f>MAX(Table8[Cumulative 2025])</f>
        <v>1377</v>
      </c>
      <c r="J1078">
        <f>IF(YEAR(Table8[[#This Row],[Date]])=2026,B1078,0)+IF(ROW(J1077)=1,0,J1077)</f>
        <v>2497</v>
      </c>
      <c r="K1078">
        <f>MAX(Table8[Cumulative 2026])</f>
        <v>3102</v>
      </c>
      <c r="BF1078">
        <v>103</v>
      </c>
    </row>
    <row r="1079" spans="1:58" hidden="1" x14ac:dyDescent="0.25">
      <c r="A1079" s="1">
        <v>46288</v>
      </c>
      <c r="B1079">
        <f>SUM(_xlfn.CHOOSEROWS(Table8[[The Golden Compass]:[end]],ROW()-1))</f>
        <v>0</v>
      </c>
      <c r="C1079">
        <f>Table8[[#This Row],[Cumulative 2023 Q4]]+Table8[[#This Row],[Cumulative 2024]]+Table8[[#This Row],[Cumulative 2025]]+Table8[[#This Row],[Cumulative 2026]]</f>
        <v>13900</v>
      </c>
      <c r="D1079">
        <f>IF(YEAR(Table8[[#This Row],[Date]])=2023,B1079,0)+IF(ROW(D1078)=1,0,D1078)</f>
        <v>4195</v>
      </c>
      <c r="E1079">
        <f>MAX(Table8[Cumulative 2023 Q4])</f>
        <v>4195</v>
      </c>
      <c r="F1079">
        <f>IF(YEAR(Table8[[#This Row],[Date]])=2024,B1079,0)+IF(ROW(F1078)=1,0,F1078)</f>
        <v>5831</v>
      </c>
      <c r="G1079">
        <f>MAX(Table8[Cumulative 2024])</f>
        <v>5831</v>
      </c>
      <c r="H1079">
        <f>IF(YEAR(Table8[[#This Row],[Date]])=2025,B1079,0)+IF(ROW(H1078)=1,0,H1078)</f>
        <v>1377</v>
      </c>
      <c r="I1079">
        <f>MAX(Table8[Cumulative 2025])</f>
        <v>1377</v>
      </c>
      <c r="J1079">
        <f>IF(YEAR(Table8[[#This Row],[Date]])=2026,B1079,0)+IF(ROW(J1078)=1,0,J1078)</f>
        <v>2497</v>
      </c>
      <c r="K1079">
        <f>MAX(Table8[Cumulative 2026])</f>
        <v>3102</v>
      </c>
    </row>
    <row r="1080" spans="1:58" hidden="1" x14ac:dyDescent="0.25">
      <c r="A1080" s="1">
        <v>46289</v>
      </c>
      <c r="B1080">
        <f>SUM(_xlfn.CHOOSEROWS(Table8[[The Golden Compass]:[end]],ROW()-1))</f>
        <v>0</v>
      </c>
      <c r="C1080">
        <f>Table8[[#This Row],[Cumulative 2023 Q4]]+Table8[[#This Row],[Cumulative 2024]]+Table8[[#This Row],[Cumulative 2025]]+Table8[[#This Row],[Cumulative 2026]]</f>
        <v>13900</v>
      </c>
      <c r="D1080">
        <f>IF(YEAR(Table8[[#This Row],[Date]])=2023,B1080,0)+IF(ROW(D1079)=1,0,D1079)</f>
        <v>4195</v>
      </c>
      <c r="E1080">
        <f>MAX(Table8[Cumulative 2023 Q4])</f>
        <v>4195</v>
      </c>
      <c r="F1080">
        <f>IF(YEAR(Table8[[#This Row],[Date]])=2024,B1080,0)+IF(ROW(F1079)=1,0,F1079)</f>
        <v>5831</v>
      </c>
      <c r="G1080">
        <f>MAX(Table8[Cumulative 2024])</f>
        <v>5831</v>
      </c>
      <c r="H1080">
        <f>IF(YEAR(Table8[[#This Row],[Date]])=2025,B1080,0)+IF(ROW(H1079)=1,0,H1079)</f>
        <v>1377</v>
      </c>
      <c r="I1080">
        <f>MAX(Table8[Cumulative 2025])</f>
        <v>1377</v>
      </c>
      <c r="J1080">
        <f>IF(YEAR(Table8[[#This Row],[Date]])=2026,B1080,0)+IF(ROW(J1079)=1,0,J1079)</f>
        <v>2497</v>
      </c>
      <c r="K1080">
        <f>MAX(Table8[Cumulative 2026])</f>
        <v>3102</v>
      </c>
    </row>
    <row r="1081" spans="1:58" hidden="1" x14ac:dyDescent="0.25">
      <c r="A1081" s="1">
        <v>46290</v>
      </c>
      <c r="B1081">
        <f>SUM(_xlfn.CHOOSEROWS(Table8[[The Golden Compass]:[end]],ROW()-1))</f>
        <v>0</v>
      </c>
      <c r="C1081">
        <f>Table8[[#This Row],[Cumulative 2023 Q4]]+Table8[[#This Row],[Cumulative 2024]]+Table8[[#This Row],[Cumulative 2025]]+Table8[[#This Row],[Cumulative 2026]]</f>
        <v>13900</v>
      </c>
      <c r="D1081">
        <f>IF(YEAR(Table8[[#This Row],[Date]])=2023,B1081,0)+IF(ROW(D1080)=1,0,D1080)</f>
        <v>4195</v>
      </c>
      <c r="E1081">
        <f>MAX(Table8[Cumulative 2023 Q4])</f>
        <v>4195</v>
      </c>
      <c r="F1081">
        <f>IF(YEAR(Table8[[#This Row],[Date]])=2024,B1081,0)+IF(ROW(F1080)=1,0,F1080)</f>
        <v>5831</v>
      </c>
      <c r="G1081">
        <f>MAX(Table8[Cumulative 2024])</f>
        <v>5831</v>
      </c>
      <c r="H1081">
        <f>IF(YEAR(Table8[[#This Row],[Date]])=2025,B1081,0)+IF(ROW(H1080)=1,0,H1080)</f>
        <v>1377</v>
      </c>
      <c r="I1081">
        <f>MAX(Table8[Cumulative 2025])</f>
        <v>1377</v>
      </c>
      <c r="J1081">
        <f>IF(YEAR(Table8[[#This Row],[Date]])=2026,B1081,0)+IF(ROW(J1080)=1,0,J1080)</f>
        <v>2497</v>
      </c>
      <c r="K1081">
        <f>MAX(Table8[Cumulative 2026])</f>
        <v>3102</v>
      </c>
    </row>
    <row r="1082" spans="1:58" hidden="1" x14ac:dyDescent="0.25">
      <c r="A1082" s="1">
        <v>46291</v>
      </c>
      <c r="B1082">
        <f>SUM(_xlfn.CHOOSEROWS(Table8[[The Golden Compass]:[end]],ROW()-1))</f>
        <v>0</v>
      </c>
      <c r="C1082">
        <f>Table8[[#This Row],[Cumulative 2023 Q4]]+Table8[[#This Row],[Cumulative 2024]]+Table8[[#This Row],[Cumulative 2025]]+Table8[[#This Row],[Cumulative 2026]]</f>
        <v>13900</v>
      </c>
      <c r="D1082">
        <f>IF(YEAR(Table8[[#This Row],[Date]])=2023,B1082,0)+IF(ROW(D1081)=1,0,D1081)</f>
        <v>4195</v>
      </c>
      <c r="E1082">
        <f>MAX(Table8[Cumulative 2023 Q4])</f>
        <v>4195</v>
      </c>
      <c r="F1082">
        <f>IF(YEAR(Table8[[#This Row],[Date]])=2024,B1082,0)+IF(ROW(F1081)=1,0,F1081)</f>
        <v>5831</v>
      </c>
      <c r="G1082">
        <f>MAX(Table8[Cumulative 2024])</f>
        <v>5831</v>
      </c>
      <c r="H1082">
        <f>IF(YEAR(Table8[[#This Row],[Date]])=2025,B1082,0)+IF(ROW(H1081)=1,0,H1081)</f>
        <v>1377</v>
      </c>
      <c r="I1082">
        <f>MAX(Table8[Cumulative 2025])</f>
        <v>1377</v>
      </c>
      <c r="J1082">
        <f>IF(YEAR(Table8[[#This Row],[Date]])=2026,B1082,0)+IF(ROW(J1081)=1,0,J1081)</f>
        <v>2497</v>
      </c>
      <c r="K1082">
        <f>MAX(Table8[Cumulative 2026])</f>
        <v>3102</v>
      </c>
    </row>
    <row r="1083" spans="1:58" hidden="1" x14ac:dyDescent="0.25">
      <c r="A1083" s="1">
        <v>46292</v>
      </c>
      <c r="B1083">
        <f>SUM(_xlfn.CHOOSEROWS(Table8[[The Golden Compass]:[end]],ROW()-1))</f>
        <v>0</v>
      </c>
      <c r="C1083">
        <f>Table8[[#This Row],[Cumulative 2023 Q4]]+Table8[[#This Row],[Cumulative 2024]]+Table8[[#This Row],[Cumulative 2025]]+Table8[[#This Row],[Cumulative 2026]]</f>
        <v>13900</v>
      </c>
      <c r="D1083">
        <f>IF(YEAR(Table8[[#This Row],[Date]])=2023,B1083,0)+IF(ROW(D1082)=1,0,D1082)</f>
        <v>4195</v>
      </c>
      <c r="E1083">
        <f>MAX(Table8[Cumulative 2023 Q4])</f>
        <v>4195</v>
      </c>
      <c r="F1083">
        <f>IF(YEAR(Table8[[#This Row],[Date]])=2024,B1083,0)+IF(ROW(F1082)=1,0,F1082)</f>
        <v>5831</v>
      </c>
      <c r="G1083">
        <f>MAX(Table8[Cumulative 2024])</f>
        <v>5831</v>
      </c>
      <c r="H1083">
        <f>IF(YEAR(Table8[[#This Row],[Date]])=2025,B1083,0)+IF(ROW(H1082)=1,0,H1082)</f>
        <v>1377</v>
      </c>
      <c r="I1083">
        <f>MAX(Table8[Cumulative 2025])</f>
        <v>1377</v>
      </c>
      <c r="J1083">
        <f>IF(YEAR(Table8[[#This Row],[Date]])=2026,B1083,0)+IF(ROW(J1082)=1,0,J1082)</f>
        <v>2497</v>
      </c>
      <c r="K1083">
        <f>MAX(Table8[Cumulative 2026])</f>
        <v>3102</v>
      </c>
    </row>
    <row r="1084" spans="1:58" hidden="1" x14ac:dyDescent="0.25">
      <c r="A1084" s="1">
        <v>46293</v>
      </c>
      <c r="B1084">
        <f>SUM(_xlfn.CHOOSEROWS(Table8[[The Golden Compass]:[end]],ROW()-1))</f>
        <v>0</v>
      </c>
      <c r="C1084">
        <f>Table8[[#This Row],[Cumulative 2023 Q4]]+Table8[[#This Row],[Cumulative 2024]]+Table8[[#This Row],[Cumulative 2025]]+Table8[[#This Row],[Cumulative 2026]]</f>
        <v>13900</v>
      </c>
      <c r="D1084">
        <f>IF(YEAR(Table8[[#This Row],[Date]])=2023,B1084,0)+IF(ROW(D1083)=1,0,D1083)</f>
        <v>4195</v>
      </c>
      <c r="E1084">
        <f>MAX(Table8[Cumulative 2023 Q4])</f>
        <v>4195</v>
      </c>
      <c r="F1084">
        <f>IF(YEAR(Table8[[#This Row],[Date]])=2024,B1084,0)+IF(ROW(F1083)=1,0,F1083)</f>
        <v>5831</v>
      </c>
      <c r="G1084">
        <f>MAX(Table8[Cumulative 2024])</f>
        <v>5831</v>
      </c>
      <c r="H1084">
        <f>IF(YEAR(Table8[[#This Row],[Date]])=2025,B1084,0)+IF(ROW(H1083)=1,0,H1083)</f>
        <v>1377</v>
      </c>
      <c r="I1084">
        <f>MAX(Table8[Cumulative 2025])</f>
        <v>1377</v>
      </c>
      <c r="J1084">
        <f>IF(YEAR(Table8[[#This Row],[Date]])=2026,B1084,0)+IF(ROW(J1083)=1,0,J1083)</f>
        <v>2497</v>
      </c>
      <c r="K1084">
        <f>MAX(Table8[Cumulative 2026])</f>
        <v>3102</v>
      </c>
    </row>
    <row r="1085" spans="1:58" hidden="1" x14ac:dyDescent="0.25">
      <c r="A1085" s="1">
        <v>46294</v>
      </c>
      <c r="B1085">
        <f>SUM(_xlfn.CHOOSEROWS(Table8[[The Golden Compass]:[end]],ROW()-1))</f>
        <v>66</v>
      </c>
      <c r="C1085">
        <f>Table8[[#This Row],[Cumulative 2023 Q4]]+Table8[[#This Row],[Cumulative 2024]]+Table8[[#This Row],[Cumulative 2025]]+Table8[[#This Row],[Cumulative 2026]]</f>
        <v>13966</v>
      </c>
      <c r="D1085">
        <f>IF(YEAR(Table8[[#This Row],[Date]])=2023,B1085,0)+IF(ROW(D1084)=1,0,D1084)</f>
        <v>4195</v>
      </c>
      <c r="E1085">
        <f>MAX(Table8[Cumulative 2023 Q4])</f>
        <v>4195</v>
      </c>
      <c r="F1085">
        <f>IF(YEAR(Table8[[#This Row],[Date]])=2024,B1085,0)+IF(ROW(F1084)=1,0,F1084)</f>
        <v>5831</v>
      </c>
      <c r="G1085">
        <f>MAX(Table8[Cumulative 2024])</f>
        <v>5831</v>
      </c>
      <c r="H1085">
        <f>IF(YEAR(Table8[[#This Row],[Date]])=2025,B1085,0)+IF(ROW(H1084)=1,0,H1084)</f>
        <v>1377</v>
      </c>
      <c r="I1085">
        <f>MAX(Table8[Cumulative 2025])</f>
        <v>1377</v>
      </c>
      <c r="J1085">
        <f>IF(YEAR(Table8[[#This Row],[Date]])=2026,B1085,0)+IF(ROW(J1084)=1,0,J1084)</f>
        <v>2563</v>
      </c>
      <c r="K1085">
        <f>MAX(Table8[Cumulative 2026])</f>
        <v>3102</v>
      </c>
      <c r="BF1085">
        <v>66</v>
      </c>
    </row>
    <row r="1086" spans="1:58" hidden="1" x14ac:dyDescent="0.25">
      <c r="A1086" s="1">
        <v>46295</v>
      </c>
      <c r="B1086">
        <f>SUM(_xlfn.CHOOSEROWS(Table8[[The Golden Compass]:[end]],ROW()-1))</f>
        <v>39</v>
      </c>
      <c r="C1086">
        <f>Table8[[#This Row],[Cumulative 2023 Q4]]+Table8[[#This Row],[Cumulative 2024]]+Table8[[#This Row],[Cumulative 2025]]+Table8[[#This Row],[Cumulative 2026]]</f>
        <v>14005</v>
      </c>
      <c r="D1086">
        <f>IF(YEAR(Table8[[#This Row],[Date]])=2023,B1086,0)+IF(ROW(D1085)=1,0,D1085)</f>
        <v>4195</v>
      </c>
      <c r="E1086">
        <f>MAX(Table8[Cumulative 2023 Q4])</f>
        <v>4195</v>
      </c>
      <c r="F1086">
        <f>IF(YEAR(Table8[[#This Row],[Date]])=2024,B1086,0)+IF(ROW(F1085)=1,0,F1085)</f>
        <v>5831</v>
      </c>
      <c r="G1086">
        <f>MAX(Table8[Cumulative 2024])</f>
        <v>5831</v>
      </c>
      <c r="H1086">
        <f>IF(YEAR(Table8[[#This Row],[Date]])=2025,B1086,0)+IF(ROW(H1085)=1,0,H1085)</f>
        <v>1377</v>
      </c>
      <c r="I1086">
        <f>MAX(Table8[Cumulative 2025])</f>
        <v>1377</v>
      </c>
      <c r="J1086">
        <f>IF(YEAR(Table8[[#This Row],[Date]])=2026,B1086,0)+IF(ROW(J1085)=1,0,J1085)</f>
        <v>2602</v>
      </c>
      <c r="K1086">
        <f>MAX(Table8[Cumulative 2026])</f>
        <v>3102</v>
      </c>
      <c r="BF1086">
        <v>39</v>
      </c>
    </row>
    <row r="1087" spans="1:58" hidden="1" x14ac:dyDescent="0.25">
      <c r="A1087" s="1">
        <v>46296</v>
      </c>
      <c r="B1087">
        <f>SUM(_xlfn.CHOOSEROWS(Table8[[The Golden Compass]:[end]],ROW()-1))</f>
        <v>0</v>
      </c>
      <c r="C1087">
        <f>Table8[[#This Row],[Cumulative 2023 Q4]]+Table8[[#This Row],[Cumulative 2024]]+Table8[[#This Row],[Cumulative 2025]]+Table8[[#This Row],[Cumulative 2026]]</f>
        <v>14005</v>
      </c>
      <c r="D1087">
        <f>IF(YEAR(Table8[[#This Row],[Date]])=2023,B1087,0)+IF(ROW(D1086)=1,0,D1086)</f>
        <v>4195</v>
      </c>
      <c r="E1087">
        <f>MAX(Table8[Cumulative 2023 Q4])</f>
        <v>4195</v>
      </c>
      <c r="F1087">
        <f>IF(YEAR(Table8[[#This Row],[Date]])=2024,B1087,0)+IF(ROW(F1086)=1,0,F1086)</f>
        <v>5831</v>
      </c>
      <c r="G1087">
        <f>MAX(Table8[Cumulative 2024])</f>
        <v>5831</v>
      </c>
      <c r="H1087">
        <f>IF(YEAR(Table8[[#This Row],[Date]])=2025,B1087,0)+IF(ROW(H1086)=1,0,H1086)</f>
        <v>1377</v>
      </c>
      <c r="I1087">
        <f>MAX(Table8[Cumulative 2025])</f>
        <v>1377</v>
      </c>
      <c r="J1087">
        <f>IF(YEAR(Table8[[#This Row],[Date]])=2026,B1087,0)+IF(ROW(J1086)=1,0,J1086)</f>
        <v>2602</v>
      </c>
      <c r="K1087">
        <f>MAX(Table8[Cumulative 2026])</f>
        <v>3102</v>
      </c>
    </row>
    <row r="1088" spans="1:58" hidden="1" x14ac:dyDescent="0.25">
      <c r="A1088" s="1">
        <v>46297</v>
      </c>
      <c r="B1088">
        <f>SUM(_xlfn.CHOOSEROWS(Table8[[The Golden Compass]:[end]],ROW()-1))</f>
        <v>0</v>
      </c>
      <c r="C1088">
        <f>Table8[[#This Row],[Cumulative 2023 Q4]]+Table8[[#This Row],[Cumulative 2024]]+Table8[[#This Row],[Cumulative 2025]]+Table8[[#This Row],[Cumulative 2026]]</f>
        <v>14005</v>
      </c>
      <c r="D1088">
        <f>IF(YEAR(Table8[[#This Row],[Date]])=2023,B1088,0)+IF(ROW(D1087)=1,0,D1087)</f>
        <v>4195</v>
      </c>
      <c r="E1088">
        <f>MAX(Table8[Cumulative 2023 Q4])</f>
        <v>4195</v>
      </c>
      <c r="F1088">
        <f>IF(YEAR(Table8[[#This Row],[Date]])=2024,B1088,0)+IF(ROW(F1087)=1,0,F1087)</f>
        <v>5831</v>
      </c>
      <c r="G1088">
        <f>MAX(Table8[Cumulative 2024])</f>
        <v>5831</v>
      </c>
      <c r="H1088">
        <f>IF(YEAR(Table8[[#This Row],[Date]])=2025,B1088,0)+IF(ROW(H1087)=1,0,H1087)</f>
        <v>1377</v>
      </c>
      <c r="I1088">
        <f>MAX(Table8[Cumulative 2025])</f>
        <v>1377</v>
      </c>
      <c r="J1088">
        <f>IF(YEAR(Table8[[#This Row],[Date]])=2026,B1088,0)+IF(ROW(J1087)=1,0,J1087)</f>
        <v>2602</v>
      </c>
      <c r="K1088">
        <f>MAX(Table8[Cumulative 2026])</f>
        <v>3102</v>
      </c>
    </row>
    <row r="1089" spans="1:58" hidden="1" x14ac:dyDescent="0.25">
      <c r="A1089" s="1">
        <v>46298</v>
      </c>
      <c r="B1089">
        <f>SUM(_xlfn.CHOOSEROWS(Table8[[The Golden Compass]:[end]],ROW()-1))</f>
        <v>0</v>
      </c>
      <c r="C1089">
        <f>Table8[[#This Row],[Cumulative 2023 Q4]]+Table8[[#This Row],[Cumulative 2024]]+Table8[[#This Row],[Cumulative 2025]]+Table8[[#This Row],[Cumulative 2026]]</f>
        <v>14005</v>
      </c>
      <c r="D1089">
        <f>IF(YEAR(Table8[[#This Row],[Date]])=2023,B1089,0)+IF(ROW(D1088)=1,0,D1088)</f>
        <v>4195</v>
      </c>
      <c r="E1089">
        <f>MAX(Table8[Cumulative 2023 Q4])</f>
        <v>4195</v>
      </c>
      <c r="F1089">
        <f>IF(YEAR(Table8[[#This Row],[Date]])=2024,B1089,0)+IF(ROW(F1088)=1,0,F1088)</f>
        <v>5831</v>
      </c>
      <c r="G1089">
        <f>MAX(Table8[Cumulative 2024])</f>
        <v>5831</v>
      </c>
      <c r="H1089">
        <f>IF(YEAR(Table8[[#This Row],[Date]])=2025,B1089,0)+IF(ROW(H1088)=1,0,H1088)</f>
        <v>1377</v>
      </c>
      <c r="I1089">
        <f>MAX(Table8[Cumulative 2025])</f>
        <v>1377</v>
      </c>
      <c r="J1089">
        <f>IF(YEAR(Table8[[#This Row],[Date]])=2026,B1089,0)+IF(ROW(J1088)=1,0,J1088)</f>
        <v>2602</v>
      </c>
      <c r="K1089">
        <f>MAX(Table8[Cumulative 2026])</f>
        <v>3102</v>
      </c>
    </row>
    <row r="1090" spans="1:58" hidden="1" x14ac:dyDescent="0.25">
      <c r="A1090" s="1">
        <v>46299</v>
      </c>
      <c r="B1090">
        <f>SUM(_xlfn.CHOOSEROWS(Table8[[The Golden Compass]:[end]],ROW()-1))</f>
        <v>107</v>
      </c>
      <c r="C1090">
        <f>Table8[[#This Row],[Cumulative 2023 Q4]]+Table8[[#This Row],[Cumulative 2024]]+Table8[[#This Row],[Cumulative 2025]]+Table8[[#This Row],[Cumulative 2026]]</f>
        <v>14112</v>
      </c>
      <c r="D1090">
        <f>IF(YEAR(Table8[[#This Row],[Date]])=2023,B1090,0)+IF(ROW(D1089)=1,0,D1089)</f>
        <v>4195</v>
      </c>
      <c r="E1090">
        <f>MAX(Table8[Cumulative 2023 Q4])</f>
        <v>4195</v>
      </c>
      <c r="F1090">
        <f>IF(YEAR(Table8[[#This Row],[Date]])=2024,B1090,0)+IF(ROW(F1089)=1,0,F1089)</f>
        <v>5831</v>
      </c>
      <c r="G1090">
        <f>MAX(Table8[Cumulative 2024])</f>
        <v>5831</v>
      </c>
      <c r="H1090">
        <f>IF(YEAR(Table8[[#This Row],[Date]])=2025,B1090,0)+IF(ROW(H1089)=1,0,H1089)</f>
        <v>1377</v>
      </c>
      <c r="I1090">
        <f>MAX(Table8[Cumulative 2025])</f>
        <v>1377</v>
      </c>
      <c r="J1090">
        <f>IF(YEAR(Table8[[#This Row],[Date]])=2026,B1090,0)+IF(ROW(J1089)=1,0,J1089)</f>
        <v>2709</v>
      </c>
      <c r="K1090">
        <f>MAX(Table8[Cumulative 2026])</f>
        <v>3102</v>
      </c>
      <c r="BF1090">
        <v>107</v>
      </c>
    </row>
    <row r="1091" spans="1:58" hidden="1" x14ac:dyDescent="0.25">
      <c r="A1091" s="1">
        <v>46300</v>
      </c>
      <c r="B1091">
        <f>SUM(_xlfn.CHOOSEROWS(Table8[[The Golden Compass]:[end]],ROW()-1))</f>
        <v>0</v>
      </c>
      <c r="C1091">
        <f>Table8[[#This Row],[Cumulative 2023 Q4]]+Table8[[#This Row],[Cumulative 2024]]+Table8[[#This Row],[Cumulative 2025]]+Table8[[#This Row],[Cumulative 2026]]</f>
        <v>14112</v>
      </c>
      <c r="D1091">
        <f>IF(YEAR(Table8[[#This Row],[Date]])=2023,B1091,0)+IF(ROW(D1090)=1,0,D1090)</f>
        <v>4195</v>
      </c>
      <c r="E1091">
        <f>MAX(Table8[Cumulative 2023 Q4])</f>
        <v>4195</v>
      </c>
      <c r="F1091">
        <f>IF(YEAR(Table8[[#This Row],[Date]])=2024,B1091,0)+IF(ROW(F1090)=1,0,F1090)</f>
        <v>5831</v>
      </c>
      <c r="G1091">
        <f>MAX(Table8[Cumulative 2024])</f>
        <v>5831</v>
      </c>
      <c r="H1091">
        <f>IF(YEAR(Table8[[#This Row],[Date]])=2025,B1091,0)+IF(ROW(H1090)=1,0,H1090)</f>
        <v>1377</v>
      </c>
      <c r="I1091">
        <f>MAX(Table8[Cumulative 2025])</f>
        <v>1377</v>
      </c>
      <c r="J1091">
        <f>IF(YEAR(Table8[[#This Row],[Date]])=2026,B1091,0)+IF(ROW(J1090)=1,0,J1090)</f>
        <v>2709</v>
      </c>
      <c r="K1091">
        <f>MAX(Table8[Cumulative 2026])</f>
        <v>3102</v>
      </c>
    </row>
    <row r="1092" spans="1:58" hidden="1" x14ac:dyDescent="0.25">
      <c r="A1092" s="1">
        <v>46301</v>
      </c>
      <c r="B1092">
        <f>SUM(_xlfn.CHOOSEROWS(Table8[[The Golden Compass]:[end]],ROW()-1))</f>
        <v>0</v>
      </c>
      <c r="C1092">
        <f>Table8[[#This Row],[Cumulative 2023 Q4]]+Table8[[#This Row],[Cumulative 2024]]+Table8[[#This Row],[Cumulative 2025]]+Table8[[#This Row],[Cumulative 2026]]</f>
        <v>14112</v>
      </c>
      <c r="D1092">
        <f>IF(YEAR(Table8[[#This Row],[Date]])=2023,B1092,0)+IF(ROW(D1091)=1,0,D1091)</f>
        <v>4195</v>
      </c>
      <c r="E1092">
        <f>MAX(Table8[Cumulative 2023 Q4])</f>
        <v>4195</v>
      </c>
      <c r="F1092">
        <f>IF(YEAR(Table8[[#This Row],[Date]])=2024,B1092,0)+IF(ROW(F1091)=1,0,F1091)</f>
        <v>5831</v>
      </c>
      <c r="G1092">
        <f>MAX(Table8[Cumulative 2024])</f>
        <v>5831</v>
      </c>
      <c r="H1092">
        <f>IF(YEAR(Table8[[#This Row],[Date]])=2025,B1092,0)+IF(ROW(H1091)=1,0,H1091)</f>
        <v>1377</v>
      </c>
      <c r="I1092">
        <f>MAX(Table8[Cumulative 2025])</f>
        <v>1377</v>
      </c>
      <c r="J1092">
        <f>IF(YEAR(Table8[[#This Row],[Date]])=2026,B1092,0)+IF(ROW(J1091)=1,0,J1091)</f>
        <v>2709</v>
      </c>
      <c r="K1092">
        <f>MAX(Table8[Cumulative 2026])</f>
        <v>3102</v>
      </c>
    </row>
    <row r="1093" spans="1:58" hidden="1" x14ac:dyDescent="0.25">
      <c r="A1093" s="1">
        <v>46302</v>
      </c>
      <c r="B1093">
        <f>SUM(_xlfn.CHOOSEROWS(Table8[[The Golden Compass]:[end]],ROW()-1))</f>
        <v>0</v>
      </c>
      <c r="C1093">
        <f>Table8[[#This Row],[Cumulative 2023 Q4]]+Table8[[#This Row],[Cumulative 2024]]+Table8[[#This Row],[Cumulative 2025]]+Table8[[#This Row],[Cumulative 2026]]</f>
        <v>14112</v>
      </c>
      <c r="D1093">
        <f>IF(YEAR(Table8[[#This Row],[Date]])=2023,B1093,0)+IF(ROW(D1092)=1,0,D1092)</f>
        <v>4195</v>
      </c>
      <c r="E1093">
        <f>MAX(Table8[Cumulative 2023 Q4])</f>
        <v>4195</v>
      </c>
      <c r="F1093">
        <f>IF(YEAR(Table8[[#This Row],[Date]])=2024,B1093,0)+IF(ROW(F1092)=1,0,F1092)</f>
        <v>5831</v>
      </c>
      <c r="G1093">
        <f>MAX(Table8[Cumulative 2024])</f>
        <v>5831</v>
      </c>
      <c r="H1093">
        <f>IF(YEAR(Table8[[#This Row],[Date]])=2025,B1093,0)+IF(ROW(H1092)=1,0,H1092)</f>
        <v>1377</v>
      </c>
      <c r="I1093">
        <f>MAX(Table8[Cumulative 2025])</f>
        <v>1377</v>
      </c>
      <c r="J1093">
        <f>IF(YEAR(Table8[[#This Row],[Date]])=2026,B1093,0)+IF(ROW(J1092)=1,0,J1092)</f>
        <v>2709</v>
      </c>
      <c r="K1093">
        <f>MAX(Table8[Cumulative 2026])</f>
        <v>3102</v>
      </c>
    </row>
    <row r="1094" spans="1:58" hidden="1" x14ac:dyDescent="0.25">
      <c r="A1094" s="1">
        <v>46303</v>
      </c>
      <c r="B1094">
        <f>SUM(_xlfn.CHOOSEROWS(Table8[[The Golden Compass]:[end]],ROW()-1))</f>
        <v>0</v>
      </c>
      <c r="C1094">
        <f>Table8[[#This Row],[Cumulative 2023 Q4]]+Table8[[#This Row],[Cumulative 2024]]+Table8[[#This Row],[Cumulative 2025]]+Table8[[#This Row],[Cumulative 2026]]</f>
        <v>14112</v>
      </c>
      <c r="D1094">
        <f>IF(YEAR(Table8[[#This Row],[Date]])=2023,B1094,0)+IF(ROW(D1093)=1,0,D1093)</f>
        <v>4195</v>
      </c>
      <c r="E1094">
        <f>MAX(Table8[Cumulative 2023 Q4])</f>
        <v>4195</v>
      </c>
      <c r="F1094">
        <f>IF(YEAR(Table8[[#This Row],[Date]])=2024,B1094,0)+IF(ROW(F1093)=1,0,F1093)</f>
        <v>5831</v>
      </c>
      <c r="G1094">
        <f>MAX(Table8[Cumulative 2024])</f>
        <v>5831</v>
      </c>
      <c r="H1094">
        <f>IF(YEAR(Table8[[#This Row],[Date]])=2025,B1094,0)+IF(ROW(H1093)=1,0,H1093)</f>
        <v>1377</v>
      </c>
      <c r="I1094">
        <f>MAX(Table8[Cumulative 2025])</f>
        <v>1377</v>
      </c>
      <c r="J1094">
        <f>IF(YEAR(Table8[[#This Row],[Date]])=2026,B1094,0)+IF(ROW(J1093)=1,0,J1093)</f>
        <v>2709</v>
      </c>
      <c r="K1094">
        <f>MAX(Table8[Cumulative 2026])</f>
        <v>3102</v>
      </c>
    </row>
    <row r="1095" spans="1:58" hidden="1" x14ac:dyDescent="0.25">
      <c r="A1095" s="1">
        <v>46304</v>
      </c>
      <c r="B1095">
        <f>SUM(_xlfn.CHOOSEROWS(Table8[[The Golden Compass]:[end]],ROW()-1))</f>
        <v>0</v>
      </c>
      <c r="C1095">
        <f>Table8[[#This Row],[Cumulative 2023 Q4]]+Table8[[#This Row],[Cumulative 2024]]+Table8[[#This Row],[Cumulative 2025]]+Table8[[#This Row],[Cumulative 2026]]</f>
        <v>14112</v>
      </c>
      <c r="D1095">
        <f>IF(YEAR(Table8[[#This Row],[Date]])=2023,B1095,0)+IF(ROW(D1094)=1,0,D1094)</f>
        <v>4195</v>
      </c>
      <c r="E1095">
        <f>MAX(Table8[Cumulative 2023 Q4])</f>
        <v>4195</v>
      </c>
      <c r="F1095">
        <f>IF(YEAR(Table8[[#This Row],[Date]])=2024,B1095,0)+IF(ROW(F1094)=1,0,F1094)</f>
        <v>5831</v>
      </c>
      <c r="G1095">
        <f>MAX(Table8[Cumulative 2024])</f>
        <v>5831</v>
      </c>
      <c r="H1095">
        <f>IF(YEAR(Table8[[#This Row],[Date]])=2025,B1095,0)+IF(ROW(H1094)=1,0,H1094)</f>
        <v>1377</v>
      </c>
      <c r="I1095">
        <f>MAX(Table8[Cumulative 2025])</f>
        <v>1377</v>
      </c>
      <c r="J1095">
        <f>IF(YEAR(Table8[[#This Row],[Date]])=2026,B1095,0)+IF(ROW(J1094)=1,0,J1094)</f>
        <v>2709</v>
      </c>
      <c r="K1095">
        <f>MAX(Table8[Cumulative 2026])</f>
        <v>3102</v>
      </c>
    </row>
    <row r="1096" spans="1:58" hidden="1" x14ac:dyDescent="0.25">
      <c r="A1096" s="1">
        <v>46305</v>
      </c>
      <c r="B1096">
        <f>SUM(_xlfn.CHOOSEROWS(Table8[[The Golden Compass]:[end]],ROW()-1))</f>
        <v>0</v>
      </c>
      <c r="C1096">
        <f>Table8[[#This Row],[Cumulative 2023 Q4]]+Table8[[#This Row],[Cumulative 2024]]+Table8[[#This Row],[Cumulative 2025]]+Table8[[#This Row],[Cumulative 2026]]</f>
        <v>14112</v>
      </c>
      <c r="D1096">
        <f>IF(YEAR(Table8[[#This Row],[Date]])=2023,B1096,0)+IF(ROW(D1095)=1,0,D1095)</f>
        <v>4195</v>
      </c>
      <c r="E1096">
        <f>MAX(Table8[Cumulative 2023 Q4])</f>
        <v>4195</v>
      </c>
      <c r="F1096">
        <f>IF(YEAR(Table8[[#This Row],[Date]])=2024,B1096,0)+IF(ROW(F1095)=1,0,F1095)</f>
        <v>5831</v>
      </c>
      <c r="G1096">
        <f>MAX(Table8[Cumulative 2024])</f>
        <v>5831</v>
      </c>
      <c r="H1096">
        <f>IF(YEAR(Table8[[#This Row],[Date]])=2025,B1096,0)+IF(ROW(H1095)=1,0,H1095)</f>
        <v>1377</v>
      </c>
      <c r="I1096">
        <f>MAX(Table8[Cumulative 2025])</f>
        <v>1377</v>
      </c>
      <c r="J1096">
        <f>IF(YEAR(Table8[[#This Row],[Date]])=2026,B1096,0)+IF(ROW(J1095)=1,0,J1095)</f>
        <v>2709</v>
      </c>
      <c r="K1096">
        <f>MAX(Table8[Cumulative 2026])</f>
        <v>3102</v>
      </c>
    </row>
    <row r="1097" spans="1:58" hidden="1" x14ac:dyDescent="0.25">
      <c r="A1097" s="1">
        <v>46306</v>
      </c>
      <c r="B1097">
        <f>SUM(_xlfn.CHOOSEROWS(Table8[[The Golden Compass]:[end]],ROW()-1))</f>
        <v>0</v>
      </c>
      <c r="C1097">
        <f>Table8[[#This Row],[Cumulative 2023 Q4]]+Table8[[#This Row],[Cumulative 2024]]+Table8[[#This Row],[Cumulative 2025]]+Table8[[#This Row],[Cumulative 2026]]</f>
        <v>14112</v>
      </c>
      <c r="D1097">
        <f>IF(YEAR(Table8[[#This Row],[Date]])=2023,B1097,0)+IF(ROW(D1096)=1,0,D1096)</f>
        <v>4195</v>
      </c>
      <c r="E1097">
        <f>MAX(Table8[Cumulative 2023 Q4])</f>
        <v>4195</v>
      </c>
      <c r="F1097">
        <f>IF(YEAR(Table8[[#This Row],[Date]])=2024,B1097,0)+IF(ROW(F1096)=1,0,F1096)</f>
        <v>5831</v>
      </c>
      <c r="G1097">
        <f>MAX(Table8[Cumulative 2024])</f>
        <v>5831</v>
      </c>
      <c r="H1097">
        <f>IF(YEAR(Table8[[#This Row],[Date]])=2025,B1097,0)+IF(ROW(H1096)=1,0,H1096)</f>
        <v>1377</v>
      </c>
      <c r="I1097">
        <f>MAX(Table8[Cumulative 2025])</f>
        <v>1377</v>
      </c>
      <c r="J1097">
        <f>IF(YEAR(Table8[[#This Row],[Date]])=2026,B1097,0)+IF(ROW(J1096)=1,0,J1096)</f>
        <v>2709</v>
      </c>
      <c r="K1097">
        <f>MAX(Table8[Cumulative 2026])</f>
        <v>3102</v>
      </c>
    </row>
    <row r="1098" spans="1:58" hidden="1" x14ac:dyDescent="0.25">
      <c r="A1098" s="1">
        <v>46307</v>
      </c>
      <c r="B1098">
        <f>SUM(_xlfn.CHOOSEROWS(Table8[[The Golden Compass]:[end]],ROW()-1))</f>
        <v>0</v>
      </c>
      <c r="C1098">
        <f>Table8[[#This Row],[Cumulative 2023 Q4]]+Table8[[#This Row],[Cumulative 2024]]+Table8[[#This Row],[Cumulative 2025]]+Table8[[#This Row],[Cumulative 2026]]</f>
        <v>14112</v>
      </c>
      <c r="D1098">
        <f>IF(YEAR(Table8[[#This Row],[Date]])=2023,B1098,0)+IF(ROW(D1097)=1,0,D1097)</f>
        <v>4195</v>
      </c>
      <c r="E1098">
        <f>MAX(Table8[Cumulative 2023 Q4])</f>
        <v>4195</v>
      </c>
      <c r="F1098">
        <f>IF(YEAR(Table8[[#This Row],[Date]])=2024,B1098,0)+IF(ROW(F1097)=1,0,F1097)</f>
        <v>5831</v>
      </c>
      <c r="G1098">
        <f>MAX(Table8[Cumulative 2024])</f>
        <v>5831</v>
      </c>
      <c r="H1098">
        <f>IF(YEAR(Table8[[#This Row],[Date]])=2025,B1098,0)+IF(ROW(H1097)=1,0,H1097)</f>
        <v>1377</v>
      </c>
      <c r="I1098">
        <f>MAX(Table8[Cumulative 2025])</f>
        <v>1377</v>
      </c>
      <c r="J1098">
        <f>IF(YEAR(Table8[[#This Row],[Date]])=2026,B1098,0)+IF(ROW(J1097)=1,0,J1097)</f>
        <v>2709</v>
      </c>
      <c r="K1098">
        <f>MAX(Table8[Cumulative 2026])</f>
        <v>3102</v>
      </c>
    </row>
    <row r="1099" spans="1:58" hidden="1" x14ac:dyDescent="0.25">
      <c r="A1099" s="1">
        <v>46308</v>
      </c>
      <c r="B1099">
        <f>SUM(_xlfn.CHOOSEROWS(Table8[[The Golden Compass]:[end]],ROW()-1))</f>
        <v>0</v>
      </c>
      <c r="C1099">
        <f>Table8[[#This Row],[Cumulative 2023 Q4]]+Table8[[#This Row],[Cumulative 2024]]+Table8[[#This Row],[Cumulative 2025]]+Table8[[#This Row],[Cumulative 2026]]</f>
        <v>14112</v>
      </c>
      <c r="D1099">
        <f>IF(YEAR(Table8[[#This Row],[Date]])=2023,B1099,0)+IF(ROW(D1098)=1,0,D1098)</f>
        <v>4195</v>
      </c>
      <c r="E1099">
        <f>MAX(Table8[Cumulative 2023 Q4])</f>
        <v>4195</v>
      </c>
      <c r="F1099">
        <f>IF(YEAR(Table8[[#This Row],[Date]])=2024,B1099,0)+IF(ROW(F1098)=1,0,F1098)</f>
        <v>5831</v>
      </c>
      <c r="G1099">
        <f>MAX(Table8[Cumulative 2024])</f>
        <v>5831</v>
      </c>
      <c r="H1099">
        <f>IF(YEAR(Table8[[#This Row],[Date]])=2025,B1099,0)+IF(ROW(H1098)=1,0,H1098)</f>
        <v>1377</v>
      </c>
      <c r="I1099">
        <f>MAX(Table8[Cumulative 2025])</f>
        <v>1377</v>
      </c>
      <c r="J1099">
        <f>IF(YEAR(Table8[[#This Row],[Date]])=2026,B1099,0)+IF(ROW(J1098)=1,0,J1098)</f>
        <v>2709</v>
      </c>
      <c r="K1099">
        <f>MAX(Table8[Cumulative 2026])</f>
        <v>3102</v>
      </c>
    </row>
    <row r="1100" spans="1:58" hidden="1" x14ac:dyDescent="0.25">
      <c r="A1100" s="1">
        <v>46309</v>
      </c>
      <c r="B1100">
        <f>SUM(_xlfn.CHOOSEROWS(Table8[[The Golden Compass]:[end]],ROW()-1))</f>
        <v>0</v>
      </c>
      <c r="C1100">
        <f>Table8[[#This Row],[Cumulative 2023 Q4]]+Table8[[#This Row],[Cumulative 2024]]+Table8[[#This Row],[Cumulative 2025]]+Table8[[#This Row],[Cumulative 2026]]</f>
        <v>14112</v>
      </c>
      <c r="D1100">
        <f>IF(YEAR(Table8[[#This Row],[Date]])=2023,B1100,0)+IF(ROW(D1099)=1,0,D1099)</f>
        <v>4195</v>
      </c>
      <c r="E1100">
        <f>MAX(Table8[Cumulative 2023 Q4])</f>
        <v>4195</v>
      </c>
      <c r="F1100">
        <f>IF(YEAR(Table8[[#This Row],[Date]])=2024,B1100,0)+IF(ROW(F1099)=1,0,F1099)</f>
        <v>5831</v>
      </c>
      <c r="G1100">
        <f>MAX(Table8[Cumulative 2024])</f>
        <v>5831</v>
      </c>
      <c r="H1100">
        <f>IF(YEAR(Table8[[#This Row],[Date]])=2025,B1100,0)+IF(ROW(H1099)=1,0,H1099)</f>
        <v>1377</v>
      </c>
      <c r="I1100">
        <f>MAX(Table8[Cumulative 2025])</f>
        <v>1377</v>
      </c>
      <c r="J1100">
        <f>IF(YEAR(Table8[[#This Row],[Date]])=2026,B1100,0)+IF(ROW(J1099)=1,0,J1099)</f>
        <v>2709</v>
      </c>
      <c r="K1100">
        <f>MAX(Table8[Cumulative 2026])</f>
        <v>3102</v>
      </c>
    </row>
    <row r="1101" spans="1:58" hidden="1" x14ac:dyDescent="0.25">
      <c r="A1101" s="1">
        <v>46310</v>
      </c>
      <c r="B1101">
        <f>SUM(_xlfn.CHOOSEROWS(Table8[[The Golden Compass]:[end]],ROW()-1))</f>
        <v>0</v>
      </c>
      <c r="C1101">
        <f>Table8[[#This Row],[Cumulative 2023 Q4]]+Table8[[#This Row],[Cumulative 2024]]+Table8[[#This Row],[Cumulative 2025]]+Table8[[#This Row],[Cumulative 2026]]</f>
        <v>14112</v>
      </c>
      <c r="D1101">
        <f>IF(YEAR(Table8[[#This Row],[Date]])=2023,B1101,0)+IF(ROW(D1100)=1,0,D1100)</f>
        <v>4195</v>
      </c>
      <c r="E1101">
        <f>MAX(Table8[Cumulative 2023 Q4])</f>
        <v>4195</v>
      </c>
      <c r="F1101">
        <f>IF(YEAR(Table8[[#This Row],[Date]])=2024,B1101,0)+IF(ROW(F1100)=1,0,F1100)</f>
        <v>5831</v>
      </c>
      <c r="G1101">
        <f>MAX(Table8[Cumulative 2024])</f>
        <v>5831</v>
      </c>
      <c r="H1101">
        <f>IF(YEAR(Table8[[#This Row],[Date]])=2025,B1101,0)+IF(ROW(H1100)=1,0,H1100)</f>
        <v>1377</v>
      </c>
      <c r="I1101">
        <f>MAX(Table8[Cumulative 2025])</f>
        <v>1377</v>
      </c>
      <c r="J1101">
        <f>IF(YEAR(Table8[[#This Row],[Date]])=2026,B1101,0)+IF(ROW(J1100)=1,0,J1100)</f>
        <v>2709</v>
      </c>
      <c r="K1101">
        <f>MAX(Table8[Cumulative 2026])</f>
        <v>3102</v>
      </c>
    </row>
    <row r="1102" spans="1:58" hidden="1" x14ac:dyDescent="0.25">
      <c r="A1102" s="1">
        <v>46311</v>
      </c>
      <c r="B1102">
        <f>SUM(_xlfn.CHOOSEROWS(Table8[[The Golden Compass]:[end]],ROW()-1))</f>
        <v>0</v>
      </c>
      <c r="C1102">
        <f>Table8[[#This Row],[Cumulative 2023 Q4]]+Table8[[#This Row],[Cumulative 2024]]+Table8[[#This Row],[Cumulative 2025]]+Table8[[#This Row],[Cumulative 2026]]</f>
        <v>14112</v>
      </c>
      <c r="D1102">
        <f>IF(YEAR(Table8[[#This Row],[Date]])=2023,B1102,0)+IF(ROW(D1101)=1,0,D1101)</f>
        <v>4195</v>
      </c>
      <c r="E1102">
        <f>MAX(Table8[Cumulative 2023 Q4])</f>
        <v>4195</v>
      </c>
      <c r="F1102">
        <f>IF(YEAR(Table8[[#This Row],[Date]])=2024,B1102,0)+IF(ROW(F1101)=1,0,F1101)</f>
        <v>5831</v>
      </c>
      <c r="G1102">
        <f>MAX(Table8[Cumulative 2024])</f>
        <v>5831</v>
      </c>
      <c r="H1102">
        <f>IF(YEAR(Table8[[#This Row],[Date]])=2025,B1102,0)+IF(ROW(H1101)=1,0,H1101)</f>
        <v>1377</v>
      </c>
      <c r="I1102">
        <f>MAX(Table8[Cumulative 2025])</f>
        <v>1377</v>
      </c>
      <c r="J1102">
        <f>IF(YEAR(Table8[[#This Row],[Date]])=2026,B1102,0)+IF(ROW(J1101)=1,0,J1101)</f>
        <v>2709</v>
      </c>
      <c r="K1102">
        <f>MAX(Table8[Cumulative 2026])</f>
        <v>3102</v>
      </c>
    </row>
    <row r="1103" spans="1:58" hidden="1" x14ac:dyDescent="0.25">
      <c r="A1103" s="1">
        <v>46312</v>
      </c>
      <c r="B1103">
        <f>SUM(_xlfn.CHOOSEROWS(Table8[[The Golden Compass]:[end]],ROW()-1))</f>
        <v>0</v>
      </c>
      <c r="C1103">
        <f>Table8[[#This Row],[Cumulative 2023 Q4]]+Table8[[#This Row],[Cumulative 2024]]+Table8[[#This Row],[Cumulative 2025]]+Table8[[#This Row],[Cumulative 2026]]</f>
        <v>14112</v>
      </c>
      <c r="D1103">
        <f>IF(YEAR(Table8[[#This Row],[Date]])=2023,B1103,0)+IF(ROW(D1102)=1,0,D1102)</f>
        <v>4195</v>
      </c>
      <c r="E1103">
        <f>MAX(Table8[Cumulative 2023 Q4])</f>
        <v>4195</v>
      </c>
      <c r="F1103">
        <f>IF(YEAR(Table8[[#This Row],[Date]])=2024,B1103,0)+IF(ROW(F1102)=1,0,F1102)</f>
        <v>5831</v>
      </c>
      <c r="G1103">
        <f>MAX(Table8[Cumulative 2024])</f>
        <v>5831</v>
      </c>
      <c r="H1103">
        <f>IF(YEAR(Table8[[#This Row],[Date]])=2025,B1103,0)+IF(ROW(H1102)=1,0,H1102)</f>
        <v>1377</v>
      </c>
      <c r="I1103">
        <f>MAX(Table8[Cumulative 2025])</f>
        <v>1377</v>
      </c>
      <c r="J1103">
        <f>IF(YEAR(Table8[[#This Row],[Date]])=2026,B1103,0)+IF(ROW(J1102)=1,0,J1102)</f>
        <v>2709</v>
      </c>
      <c r="K1103">
        <f>MAX(Table8[Cumulative 2026])</f>
        <v>3102</v>
      </c>
    </row>
    <row r="1104" spans="1:58" hidden="1" x14ac:dyDescent="0.25">
      <c r="A1104" s="1">
        <v>46313</v>
      </c>
      <c r="B1104">
        <f>SUM(_xlfn.CHOOSEROWS(Table8[[The Golden Compass]:[end]],ROW()-1))</f>
        <v>0</v>
      </c>
      <c r="C1104">
        <f>Table8[[#This Row],[Cumulative 2023 Q4]]+Table8[[#This Row],[Cumulative 2024]]+Table8[[#This Row],[Cumulative 2025]]+Table8[[#This Row],[Cumulative 2026]]</f>
        <v>14112</v>
      </c>
      <c r="D1104">
        <f>IF(YEAR(Table8[[#This Row],[Date]])=2023,B1104,0)+IF(ROW(D1103)=1,0,D1103)</f>
        <v>4195</v>
      </c>
      <c r="E1104">
        <f>MAX(Table8[Cumulative 2023 Q4])</f>
        <v>4195</v>
      </c>
      <c r="F1104">
        <f>IF(YEAR(Table8[[#This Row],[Date]])=2024,B1104,0)+IF(ROW(F1103)=1,0,F1103)</f>
        <v>5831</v>
      </c>
      <c r="G1104">
        <f>MAX(Table8[Cumulative 2024])</f>
        <v>5831</v>
      </c>
      <c r="H1104">
        <f>IF(YEAR(Table8[[#This Row],[Date]])=2025,B1104,0)+IF(ROW(H1103)=1,0,H1103)</f>
        <v>1377</v>
      </c>
      <c r="I1104">
        <f>MAX(Table8[Cumulative 2025])</f>
        <v>1377</v>
      </c>
      <c r="J1104">
        <f>IF(YEAR(Table8[[#This Row],[Date]])=2026,B1104,0)+IF(ROW(J1103)=1,0,J1103)</f>
        <v>2709</v>
      </c>
      <c r="K1104">
        <f>MAX(Table8[Cumulative 2026])</f>
        <v>3102</v>
      </c>
    </row>
    <row r="1105" spans="1:59" hidden="1" x14ac:dyDescent="0.25">
      <c r="A1105" s="1">
        <v>46314</v>
      </c>
      <c r="B1105">
        <f>SUM(_xlfn.CHOOSEROWS(Table8[[The Golden Compass]:[end]],ROW()-1))</f>
        <v>0</v>
      </c>
      <c r="C1105">
        <f>Table8[[#This Row],[Cumulative 2023 Q4]]+Table8[[#This Row],[Cumulative 2024]]+Table8[[#This Row],[Cumulative 2025]]+Table8[[#This Row],[Cumulative 2026]]</f>
        <v>14112</v>
      </c>
      <c r="D1105">
        <f>IF(YEAR(Table8[[#This Row],[Date]])=2023,B1105,0)+IF(ROW(D1104)=1,0,D1104)</f>
        <v>4195</v>
      </c>
      <c r="E1105">
        <f>MAX(Table8[Cumulative 2023 Q4])</f>
        <v>4195</v>
      </c>
      <c r="F1105">
        <f>IF(YEAR(Table8[[#This Row],[Date]])=2024,B1105,0)+IF(ROW(F1104)=1,0,F1104)</f>
        <v>5831</v>
      </c>
      <c r="G1105">
        <f>MAX(Table8[Cumulative 2024])</f>
        <v>5831</v>
      </c>
      <c r="H1105">
        <f>IF(YEAR(Table8[[#This Row],[Date]])=2025,B1105,0)+IF(ROW(H1104)=1,0,H1104)</f>
        <v>1377</v>
      </c>
      <c r="I1105">
        <f>MAX(Table8[Cumulative 2025])</f>
        <v>1377</v>
      </c>
      <c r="J1105">
        <f>IF(YEAR(Table8[[#This Row],[Date]])=2026,B1105,0)+IF(ROW(J1104)=1,0,J1104)</f>
        <v>2709</v>
      </c>
      <c r="K1105">
        <f>MAX(Table8[Cumulative 2026])</f>
        <v>3102</v>
      </c>
    </row>
    <row r="1106" spans="1:59" hidden="1" x14ac:dyDescent="0.25">
      <c r="A1106" s="1">
        <v>46315</v>
      </c>
      <c r="B1106">
        <f>SUM(_xlfn.CHOOSEROWS(Table8[[The Golden Compass]:[end]],ROW()-1))</f>
        <v>0</v>
      </c>
      <c r="C1106">
        <f>Table8[[#This Row],[Cumulative 2023 Q4]]+Table8[[#This Row],[Cumulative 2024]]+Table8[[#This Row],[Cumulative 2025]]+Table8[[#This Row],[Cumulative 2026]]</f>
        <v>14112</v>
      </c>
      <c r="D1106">
        <f>IF(YEAR(Table8[[#This Row],[Date]])=2023,B1106,0)+IF(ROW(D1105)=1,0,D1105)</f>
        <v>4195</v>
      </c>
      <c r="E1106">
        <f>MAX(Table8[Cumulative 2023 Q4])</f>
        <v>4195</v>
      </c>
      <c r="F1106">
        <f>IF(YEAR(Table8[[#This Row],[Date]])=2024,B1106,0)+IF(ROW(F1105)=1,0,F1105)</f>
        <v>5831</v>
      </c>
      <c r="G1106">
        <f>MAX(Table8[Cumulative 2024])</f>
        <v>5831</v>
      </c>
      <c r="H1106">
        <f>IF(YEAR(Table8[[#This Row],[Date]])=2025,B1106,0)+IF(ROW(H1105)=1,0,H1105)</f>
        <v>1377</v>
      </c>
      <c r="I1106">
        <f>MAX(Table8[Cumulative 2025])</f>
        <v>1377</v>
      </c>
      <c r="J1106">
        <f>IF(YEAR(Table8[[#This Row],[Date]])=2026,B1106,0)+IF(ROW(J1105)=1,0,J1105)</f>
        <v>2709</v>
      </c>
      <c r="K1106">
        <f>MAX(Table8[Cumulative 2026])</f>
        <v>3102</v>
      </c>
    </row>
    <row r="1107" spans="1:59" hidden="1" x14ac:dyDescent="0.25">
      <c r="A1107" s="1">
        <v>46316</v>
      </c>
      <c r="B1107">
        <f>SUM(_xlfn.CHOOSEROWS(Table8[[The Golden Compass]:[end]],ROW()-1))</f>
        <v>0</v>
      </c>
      <c r="C1107">
        <f>Table8[[#This Row],[Cumulative 2023 Q4]]+Table8[[#This Row],[Cumulative 2024]]+Table8[[#This Row],[Cumulative 2025]]+Table8[[#This Row],[Cumulative 2026]]</f>
        <v>14112</v>
      </c>
      <c r="D1107">
        <f>IF(YEAR(Table8[[#This Row],[Date]])=2023,B1107,0)+IF(ROW(D1106)=1,0,D1106)</f>
        <v>4195</v>
      </c>
      <c r="E1107">
        <f>MAX(Table8[Cumulative 2023 Q4])</f>
        <v>4195</v>
      </c>
      <c r="F1107">
        <f>IF(YEAR(Table8[[#This Row],[Date]])=2024,B1107,0)+IF(ROW(F1106)=1,0,F1106)</f>
        <v>5831</v>
      </c>
      <c r="G1107">
        <f>MAX(Table8[Cumulative 2024])</f>
        <v>5831</v>
      </c>
      <c r="H1107">
        <f>IF(YEAR(Table8[[#This Row],[Date]])=2025,B1107,0)+IF(ROW(H1106)=1,0,H1106)</f>
        <v>1377</v>
      </c>
      <c r="I1107">
        <f>MAX(Table8[Cumulative 2025])</f>
        <v>1377</v>
      </c>
      <c r="J1107">
        <f>IF(YEAR(Table8[[#This Row],[Date]])=2026,B1107,0)+IF(ROW(J1106)=1,0,J1106)</f>
        <v>2709</v>
      </c>
      <c r="K1107">
        <f>MAX(Table8[Cumulative 2026])</f>
        <v>3102</v>
      </c>
    </row>
    <row r="1108" spans="1:59" hidden="1" x14ac:dyDescent="0.25">
      <c r="A1108" s="1">
        <v>46317</v>
      </c>
      <c r="B1108">
        <f>SUM(_xlfn.CHOOSEROWS(Table8[[The Golden Compass]:[end]],ROW()-1))</f>
        <v>0</v>
      </c>
      <c r="C1108">
        <f>Table8[[#This Row],[Cumulative 2023 Q4]]+Table8[[#This Row],[Cumulative 2024]]+Table8[[#This Row],[Cumulative 2025]]+Table8[[#This Row],[Cumulative 2026]]</f>
        <v>14112</v>
      </c>
      <c r="D1108">
        <f>IF(YEAR(Table8[[#This Row],[Date]])=2023,B1108,0)+IF(ROW(D1107)=1,0,D1107)</f>
        <v>4195</v>
      </c>
      <c r="E1108">
        <f>MAX(Table8[Cumulative 2023 Q4])</f>
        <v>4195</v>
      </c>
      <c r="F1108">
        <f>IF(YEAR(Table8[[#This Row],[Date]])=2024,B1108,0)+IF(ROW(F1107)=1,0,F1107)</f>
        <v>5831</v>
      </c>
      <c r="G1108">
        <f>MAX(Table8[Cumulative 2024])</f>
        <v>5831</v>
      </c>
      <c r="H1108">
        <f>IF(YEAR(Table8[[#This Row],[Date]])=2025,B1108,0)+IF(ROW(H1107)=1,0,H1107)</f>
        <v>1377</v>
      </c>
      <c r="I1108">
        <f>MAX(Table8[Cumulative 2025])</f>
        <v>1377</v>
      </c>
      <c r="J1108">
        <f>IF(YEAR(Table8[[#This Row],[Date]])=2026,B1108,0)+IF(ROW(J1107)=1,0,J1107)</f>
        <v>2709</v>
      </c>
      <c r="K1108">
        <f>MAX(Table8[Cumulative 2026])</f>
        <v>3102</v>
      </c>
    </row>
    <row r="1109" spans="1:59" hidden="1" x14ac:dyDescent="0.25">
      <c r="A1109" s="1">
        <v>46318</v>
      </c>
      <c r="B1109">
        <f>SUM(_xlfn.CHOOSEROWS(Table8[[The Golden Compass]:[end]],ROW()-1))</f>
        <v>0</v>
      </c>
      <c r="C1109">
        <f>Table8[[#This Row],[Cumulative 2023 Q4]]+Table8[[#This Row],[Cumulative 2024]]+Table8[[#This Row],[Cumulative 2025]]+Table8[[#This Row],[Cumulative 2026]]</f>
        <v>14112</v>
      </c>
      <c r="D1109">
        <f>IF(YEAR(Table8[[#This Row],[Date]])=2023,B1109,0)+IF(ROW(D1108)=1,0,D1108)</f>
        <v>4195</v>
      </c>
      <c r="E1109">
        <f>MAX(Table8[Cumulative 2023 Q4])</f>
        <v>4195</v>
      </c>
      <c r="F1109">
        <f>IF(YEAR(Table8[[#This Row],[Date]])=2024,B1109,0)+IF(ROW(F1108)=1,0,F1108)</f>
        <v>5831</v>
      </c>
      <c r="G1109">
        <f>MAX(Table8[Cumulative 2024])</f>
        <v>5831</v>
      </c>
      <c r="H1109">
        <f>IF(YEAR(Table8[[#This Row],[Date]])=2025,B1109,0)+IF(ROW(H1108)=1,0,H1108)</f>
        <v>1377</v>
      </c>
      <c r="I1109">
        <f>MAX(Table8[Cumulative 2025])</f>
        <v>1377</v>
      </c>
      <c r="J1109">
        <f>IF(YEAR(Table8[[#This Row],[Date]])=2026,B1109,0)+IF(ROW(J1108)=1,0,J1108)</f>
        <v>2709</v>
      </c>
      <c r="K1109">
        <f>MAX(Table8[Cumulative 2026])</f>
        <v>3102</v>
      </c>
    </row>
    <row r="1110" spans="1:59" hidden="1" x14ac:dyDescent="0.25">
      <c r="A1110" s="1">
        <v>46319</v>
      </c>
      <c r="B1110">
        <f>SUM(_xlfn.CHOOSEROWS(Table8[[The Golden Compass]:[end]],ROW()-1))</f>
        <v>0</v>
      </c>
      <c r="C1110">
        <f>Table8[[#This Row],[Cumulative 2023 Q4]]+Table8[[#This Row],[Cumulative 2024]]+Table8[[#This Row],[Cumulative 2025]]+Table8[[#This Row],[Cumulative 2026]]</f>
        <v>14112</v>
      </c>
      <c r="D1110">
        <f>IF(YEAR(Table8[[#This Row],[Date]])=2023,B1110,0)+IF(ROW(D1109)=1,0,D1109)</f>
        <v>4195</v>
      </c>
      <c r="E1110">
        <f>MAX(Table8[Cumulative 2023 Q4])</f>
        <v>4195</v>
      </c>
      <c r="F1110">
        <f>IF(YEAR(Table8[[#This Row],[Date]])=2024,B1110,0)+IF(ROW(F1109)=1,0,F1109)</f>
        <v>5831</v>
      </c>
      <c r="G1110">
        <f>MAX(Table8[Cumulative 2024])</f>
        <v>5831</v>
      </c>
      <c r="H1110">
        <f>IF(YEAR(Table8[[#This Row],[Date]])=2025,B1110,0)+IF(ROW(H1109)=1,0,H1109)</f>
        <v>1377</v>
      </c>
      <c r="I1110">
        <f>MAX(Table8[Cumulative 2025])</f>
        <v>1377</v>
      </c>
      <c r="J1110">
        <f>IF(YEAR(Table8[[#This Row],[Date]])=2026,B1110,0)+IF(ROW(J1109)=1,0,J1109)</f>
        <v>2709</v>
      </c>
      <c r="K1110">
        <f>MAX(Table8[Cumulative 2026])</f>
        <v>3102</v>
      </c>
    </row>
    <row r="1111" spans="1:59" hidden="1" x14ac:dyDescent="0.25">
      <c r="A1111" s="1">
        <v>46320</v>
      </c>
      <c r="B1111">
        <f>SUM(_xlfn.CHOOSEROWS(Table8[[The Golden Compass]:[end]],ROW()-1))</f>
        <v>0</v>
      </c>
      <c r="C1111">
        <f>Table8[[#This Row],[Cumulative 2023 Q4]]+Table8[[#This Row],[Cumulative 2024]]+Table8[[#This Row],[Cumulative 2025]]+Table8[[#This Row],[Cumulative 2026]]</f>
        <v>14112</v>
      </c>
      <c r="D1111">
        <f>IF(YEAR(Table8[[#This Row],[Date]])=2023,B1111,0)+IF(ROW(D1110)=1,0,D1110)</f>
        <v>4195</v>
      </c>
      <c r="E1111">
        <f>MAX(Table8[Cumulative 2023 Q4])</f>
        <v>4195</v>
      </c>
      <c r="F1111">
        <f>IF(YEAR(Table8[[#This Row],[Date]])=2024,B1111,0)+IF(ROW(F1110)=1,0,F1110)</f>
        <v>5831</v>
      </c>
      <c r="G1111">
        <f>MAX(Table8[Cumulative 2024])</f>
        <v>5831</v>
      </c>
      <c r="H1111">
        <f>IF(YEAR(Table8[[#This Row],[Date]])=2025,B1111,0)+IF(ROW(H1110)=1,0,H1110)</f>
        <v>1377</v>
      </c>
      <c r="I1111">
        <f>MAX(Table8[Cumulative 2025])</f>
        <v>1377</v>
      </c>
      <c r="J1111">
        <f>IF(YEAR(Table8[[#This Row],[Date]])=2026,B1111,0)+IF(ROW(J1110)=1,0,J1110)</f>
        <v>2709</v>
      </c>
      <c r="K1111">
        <f>MAX(Table8[Cumulative 2026])</f>
        <v>3102</v>
      </c>
    </row>
    <row r="1112" spans="1:59" hidden="1" x14ac:dyDescent="0.25">
      <c r="A1112" s="1">
        <v>46321</v>
      </c>
      <c r="B1112">
        <f>SUM(_xlfn.CHOOSEROWS(Table8[[The Golden Compass]:[end]],ROW()-1))</f>
        <v>0</v>
      </c>
      <c r="C1112">
        <f>Table8[[#This Row],[Cumulative 2023 Q4]]+Table8[[#This Row],[Cumulative 2024]]+Table8[[#This Row],[Cumulative 2025]]+Table8[[#This Row],[Cumulative 2026]]</f>
        <v>14112</v>
      </c>
      <c r="D1112">
        <f>IF(YEAR(Table8[[#This Row],[Date]])=2023,B1112,0)+IF(ROW(D1111)=1,0,D1111)</f>
        <v>4195</v>
      </c>
      <c r="E1112">
        <f>MAX(Table8[Cumulative 2023 Q4])</f>
        <v>4195</v>
      </c>
      <c r="F1112">
        <f>IF(YEAR(Table8[[#This Row],[Date]])=2024,B1112,0)+IF(ROW(F1111)=1,0,F1111)</f>
        <v>5831</v>
      </c>
      <c r="G1112">
        <f>MAX(Table8[Cumulative 2024])</f>
        <v>5831</v>
      </c>
      <c r="H1112">
        <f>IF(YEAR(Table8[[#This Row],[Date]])=2025,B1112,0)+IF(ROW(H1111)=1,0,H1111)</f>
        <v>1377</v>
      </c>
      <c r="I1112">
        <f>MAX(Table8[Cumulative 2025])</f>
        <v>1377</v>
      </c>
      <c r="J1112">
        <f>IF(YEAR(Table8[[#This Row],[Date]])=2026,B1112,0)+IF(ROW(J1111)=1,0,J1111)</f>
        <v>2709</v>
      </c>
      <c r="K1112">
        <f>MAX(Table8[Cumulative 2026])</f>
        <v>3102</v>
      </c>
    </row>
    <row r="1113" spans="1:59" x14ac:dyDescent="0.25">
      <c r="A1113" s="1">
        <v>46322</v>
      </c>
      <c r="B1113">
        <f>SUM(_xlfn.CHOOSEROWS(Table8[[The Golden Compass]:[end]],ROW()-1))</f>
        <v>185</v>
      </c>
      <c r="C1113">
        <f>Table8[[#This Row],[Cumulative 2023 Q4]]+Table8[[#This Row],[Cumulative 2024]]+Table8[[#This Row],[Cumulative 2025]]+Table8[[#This Row],[Cumulative 2026]]</f>
        <v>14297</v>
      </c>
      <c r="D1113">
        <f>IF(YEAR(Table8[[#This Row],[Date]])=2023,B1113,0)+IF(ROW(D1112)=1,0,D1112)</f>
        <v>4195</v>
      </c>
      <c r="E1113">
        <f>MAX(Table8[Cumulative 2023 Q4])</f>
        <v>4195</v>
      </c>
      <c r="F1113">
        <f>IF(YEAR(Table8[[#This Row],[Date]])=2024,B1113,0)+IF(ROW(F1112)=1,0,F1112)</f>
        <v>5831</v>
      </c>
      <c r="G1113">
        <f>MAX(Table8[Cumulative 2024])</f>
        <v>5831</v>
      </c>
      <c r="H1113">
        <f>IF(YEAR(Table8[[#This Row],[Date]])=2025,B1113,0)+IF(ROW(H1112)=1,0,H1112)</f>
        <v>1377</v>
      </c>
      <c r="I1113">
        <f>MAX(Table8[Cumulative 2025])</f>
        <v>1377</v>
      </c>
      <c r="J1113">
        <f>IF(YEAR(Table8[[#This Row],[Date]])=2026,B1113,0)+IF(ROW(J1112)=1,0,J1112)</f>
        <v>2894</v>
      </c>
      <c r="K1113">
        <f>MAX(Table8[Cumulative 2026])</f>
        <v>3102</v>
      </c>
      <c r="BF1113">
        <v>64</v>
      </c>
      <c r="BG1113">
        <v>121</v>
      </c>
    </row>
    <row r="1114" spans="1:59" x14ac:dyDescent="0.25">
      <c r="A1114" s="1">
        <v>46323</v>
      </c>
      <c r="B1114">
        <f>SUM(_xlfn.CHOOSEROWS(Table8[[The Golden Compass]:[end]],ROW()-1))</f>
        <v>103</v>
      </c>
      <c r="C1114">
        <f>Table8[[#This Row],[Cumulative 2023 Q4]]+Table8[[#This Row],[Cumulative 2024]]+Table8[[#This Row],[Cumulative 2025]]+Table8[[#This Row],[Cumulative 2026]]</f>
        <v>14400</v>
      </c>
      <c r="D1114">
        <f>IF(YEAR(Table8[[#This Row],[Date]])=2023,B1114,0)+IF(ROW(D1113)=1,0,D1113)</f>
        <v>4195</v>
      </c>
      <c r="E1114">
        <f>MAX(Table8[Cumulative 2023 Q4])</f>
        <v>4195</v>
      </c>
      <c r="F1114">
        <f>IF(YEAR(Table8[[#This Row],[Date]])=2024,B1114,0)+IF(ROW(F1113)=1,0,F1113)</f>
        <v>5831</v>
      </c>
      <c r="G1114">
        <f>MAX(Table8[Cumulative 2024])</f>
        <v>5831</v>
      </c>
      <c r="H1114">
        <f>IF(YEAR(Table8[[#This Row],[Date]])=2025,B1114,0)+IF(ROW(H1113)=1,0,H1113)</f>
        <v>1377</v>
      </c>
      <c r="I1114">
        <f>MAX(Table8[Cumulative 2025])</f>
        <v>1377</v>
      </c>
      <c r="J1114">
        <f>IF(YEAR(Table8[[#This Row],[Date]])=2026,B1114,0)+IF(ROW(J1113)=1,0,J1113)</f>
        <v>2997</v>
      </c>
      <c r="K1114">
        <f>MAX(Table8[Cumulative 2026])</f>
        <v>3102</v>
      </c>
      <c r="BG1114">
        <v>103</v>
      </c>
    </row>
    <row r="1115" spans="1:59" x14ac:dyDescent="0.25">
      <c r="A1115" s="1">
        <v>46324</v>
      </c>
      <c r="B1115">
        <f>SUM(_xlfn.CHOOSEROWS(Table8[[The Golden Compass]:[end]],ROW()-1))</f>
        <v>105</v>
      </c>
      <c r="C1115">
        <f>Table8[[#This Row],[Cumulative 2023 Q4]]+Table8[[#This Row],[Cumulative 2024]]+Table8[[#This Row],[Cumulative 2025]]+Table8[[#This Row],[Cumulative 2026]]</f>
        <v>14505</v>
      </c>
      <c r="D1115">
        <f>IF(YEAR(Table8[[#This Row],[Date]])=2023,B1115,0)+IF(ROW(D1114)=1,0,D1114)</f>
        <v>4195</v>
      </c>
      <c r="E1115">
        <f>MAX(Table8[Cumulative 2023 Q4])</f>
        <v>4195</v>
      </c>
      <c r="F1115">
        <f>IF(YEAR(Table8[[#This Row],[Date]])=2024,B1115,0)+IF(ROW(F1114)=1,0,F1114)</f>
        <v>5831</v>
      </c>
      <c r="G1115">
        <f>MAX(Table8[Cumulative 2024])</f>
        <v>5831</v>
      </c>
      <c r="H1115">
        <f>IF(YEAR(Table8[[#This Row],[Date]])=2025,B1115,0)+IF(ROW(H1114)=1,0,H1114)</f>
        <v>1377</v>
      </c>
      <c r="I1115">
        <f>MAX(Table8[Cumulative 2025])</f>
        <v>1377</v>
      </c>
      <c r="J1115">
        <f>IF(YEAR(Table8[[#This Row],[Date]])=2026,B1115,0)+IF(ROW(J1114)=1,0,J1114)</f>
        <v>3102</v>
      </c>
      <c r="K1115">
        <f>MAX(Table8[Cumulative 2026])</f>
        <v>3102</v>
      </c>
      <c r="BG1115">
        <v>105</v>
      </c>
    </row>
    <row r="1116" spans="1:59" x14ac:dyDescent="0.25">
      <c r="A1116" s="1">
        <v>46325</v>
      </c>
      <c r="B1116">
        <f>SUM(_xlfn.CHOOSEROWS(Table8[[The Golden Compass]:[end]],ROW()-1))</f>
        <v>0</v>
      </c>
      <c r="C1116">
        <f>Table8[[#This Row],[Cumulative 2023 Q4]]+Table8[[#This Row],[Cumulative 2024]]+Table8[[#This Row],[Cumulative 2025]]+Table8[[#This Row],[Cumulative 2026]]</f>
        <v>14505</v>
      </c>
      <c r="D1116">
        <f>IF(YEAR(Table8[[#This Row],[Date]])=2023,B1116,0)+IF(ROW(D1115)=1,0,D1115)</f>
        <v>4195</v>
      </c>
      <c r="E1116">
        <f>MAX(Table8[Cumulative 2023 Q4])</f>
        <v>4195</v>
      </c>
      <c r="F1116">
        <f>IF(YEAR(Table8[[#This Row],[Date]])=2024,B1116,0)+IF(ROW(F1115)=1,0,F1115)</f>
        <v>5831</v>
      </c>
      <c r="G1116">
        <f>MAX(Table8[Cumulative 2024])</f>
        <v>5831</v>
      </c>
      <c r="H1116">
        <f>IF(YEAR(Table8[[#This Row],[Date]])=2025,B1116,0)+IF(ROW(H1115)=1,0,H1115)</f>
        <v>1377</v>
      </c>
      <c r="I1116">
        <f>MAX(Table8[Cumulative 2025])</f>
        <v>1377</v>
      </c>
      <c r="J1116">
        <f>IF(YEAR(Table8[[#This Row],[Date]])=2026,B1116,0)+IF(ROW(J1115)=1,0,J1115)</f>
        <v>3102</v>
      </c>
      <c r="K1116">
        <f>MAX(Table8[Cumulative 2026])</f>
        <v>3102</v>
      </c>
    </row>
    <row r="1117" spans="1:59" x14ac:dyDescent="0.25">
      <c r="A1117" s="1">
        <v>46326</v>
      </c>
      <c r="B1117">
        <f>SUM(_xlfn.CHOOSEROWS(Table8[[The Golden Compass]:[end]],ROW()-1))</f>
        <v>0</v>
      </c>
      <c r="C1117">
        <f>Table8[[#This Row],[Cumulative 2023 Q4]]+Table8[[#This Row],[Cumulative 2024]]+Table8[[#This Row],[Cumulative 2025]]+Table8[[#This Row],[Cumulative 2026]]</f>
        <v>14505</v>
      </c>
      <c r="D1117">
        <f>IF(YEAR(Table8[[#This Row],[Date]])=2023,B1117,0)+IF(ROW(D1116)=1,0,D1116)</f>
        <v>4195</v>
      </c>
      <c r="E1117">
        <f>MAX(Table8[Cumulative 2023 Q4])</f>
        <v>4195</v>
      </c>
      <c r="F1117">
        <f>IF(YEAR(Table8[[#This Row],[Date]])=2024,B1117,0)+IF(ROW(F1116)=1,0,F1116)</f>
        <v>5831</v>
      </c>
      <c r="G1117">
        <f>MAX(Table8[Cumulative 2024])</f>
        <v>5831</v>
      </c>
      <c r="H1117">
        <f>IF(YEAR(Table8[[#This Row],[Date]])=2025,B1117,0)+IF(ROW(H1116)=1,0,H1116)</f>
        <v>1377</v>
      </c>
      <c r="I1117">
        <f>MAX(Table8[Cumulative 2025])</f>
        <v>1377</v>
      </c>
      <c r="J1117">
        <f>IF(YEAR(Table8[[#This Row],[Date]])=2026,B1117,0)+IF(ROW(J1116)=1,0,J1116)</f>
        <v>3102</v>
      </c>
      <c r="K1117">
        <f>MAX(Table8[Cumulative 2026])</f>
        <v>3102</v>
      </c>
    </row>
    <row r="1118" spans="1:59" x14ac:dyDescent="0.25">
      <c r="A1118" s="1">
        <v>46327</v>
      </c>
      <c r="B1118">
        <f>SUM(_xlfn.CHOOSEROWS(Table8[[The Golden Compass]:[end]],ROW()-1))</f>
        <v>0</v>
      </c>
      <c r="C1118">
        <f>Table8[[#This Row],[Cumulative 2023 Q4]]+Table8[[#This Row],[Cumulative 2024]]+Table8[[#This Row],[Cumulative 2025]]+Table8[[#This Row],[Cumulative 2026]]</f>
        <v>14505</v>
      </c>
      <c r="D1118">
        <f>IF(YEAR(Table8[[#This Row],[Date]])=2023,B1118,0)+IF(ROW(D1117)=1,0,D1117)</f>
        <v>4195</v>
      </c>
      <c r="E1118">
        <f>MAX(Table8[Cumulative 2023 Q4])</f>
        <v>4195</v>
      </c>
      <c r="F1118">
        <f>IF(YEAR(Table8[[#This Row],[Date]])=2024,B1118,0)+IF(ROW(F1117)=1,0,F1117)</f>
        <v>5831</v>
      </c>
      <c r="G1118">
        <f>MAX(Table8[Cumulative 2024])</f>
        <v>5831</v>
      </c>
      <c r="H1118">
        <f>IF(YEAR(Table8[[#This Row],[Date]])=2025,B1118,0)+IF(ROW(H1117)=1,0,H1117)</f>
        <v>1377</v>
      </c>
      <c r="I1118">
        <f>MAX(Table8[Cumulative 2025])</f>
        <v>1377</v>
      </c>
      <c r="J1118">
        <f>IF(YEAR(Table8[[#This Row],[Date]])=2026,B1118,0)+IF(ROW(J1117)=1,0,J1117)</f>
        <v>3102</v>
      </c>
      <c r="K1118">
        <f>MAX(Table8[Cumulative 2026])</f>
        <v>3102</v>
      </c>
    </row>
    <row r="1119" spans="1:59" x14ac:dyDescent="0.25">
      <c r="A1119" s="1">
        <v>46328</v>
      </c>
      <c r="B1119">
        <f>SUM(_xlfn.CHOOSEROWS(Table8[[The Golden Compass]:[end]],ROW()-1))</f>
        <v>0</v>
      </c>
      <c r="C1119">
        <f>Table8[[#This Row],[Cumulative 2023 Q4]]+Table8[[#This Row],[Cumulative 2024]]+Table8[[#This Row],[Cumulative 2025]]+Table8[[#This Row],[Cumulative 2026]]</f>
        <v>14505</v>
      </c>
      <c r="D1119">
        <f>IF(YEAR(Table8[[#This Row],[Date]])=2023,B1119,0)+IF(ROW(D1118)=1,0,D1118)</f>
        <v>4195</v>
      </c>
      <c r="E1119">
        <f>MAX(Table8[Cumulative 2023 Q4])</f>
        <v>4195</v>
      </c>
      <c r="F1119">
        <f>IF(YEAR(Table8[[#This Row],[Date]])=2024,B1119,0)+IF(ROW(F1118)=1,0,F1118)</f>
        <v>5831</v>
      </c>
      <c r="G1119">
        <f>MAX(Table8[Cumulative 2024])</f>
        <v>5831</v>
      </c>
      <c r="H1119">
        <f>IF(YEAR(Table8[[#This Row],[Date]])=2025,B1119,0)+IF(ROW(H1118)=1,0,H1118)</f>
        <v>1377</v>
      </c>
      <c r="I1119">
        <f>MAX(Table8[Cumulative 2025])</f>
        <v>1377</v>
      </c>
      <c r="J1119">
        <f>IF(YEAR(Table8[[#This Row],[Date]])=2026,B1119,0)+IF(ROW(J1118)=1,0,J1118)</f>
        <v>3102</v>
      </c>
      <c r="K1119">
        <f>MAX(Table8[Cumulative 2026])</f>
        <v>3102</v>
      </c>
    </row>
    <row r="1120" spans="1:59" x14ac:dyDescent="0.25">
      <c r="A1120" s="1">
        <v>46329</v>
      </c>
      <c r="B1120">
        <f>SUM(_xlfn.CHOOSEROWS(Table8[[The Golden Compass]:[end]],ROW()-1))</f>
        <v>0</v>
      </c>
      <c r="C1120">
        <f>Table8[[#This Row],[Cumulative 2023 Q4]]+Table8[[#This Row],[Cumulative 2024]]+Table8[[#This Row],[Cumulative 2025]]+Table8[[#This Row],[Cumulative 2026]]</f>
        <v>14505</v>
      </c>
      <c r="D1120">
        <f>IF(YEAR(Table8[[#This Row],[Date]])=2023,B1120,0)+IF(ROW(D1119)=1,0,D1119)</f>
        <v>4195</v>
      </c>
      <c r="E1120">
        <f>MAX(Table8[Cumulative 2023 Q4])</f>
        <v>4195</v>
      </c>
      <c r="F1120">
        <f>IF(YEAR(Table8[[#This Row],[Date]])=2024,B1120,0)+IF(ROW(F1119)=1,0,F1119)</f>
        <v>5831</v>
      </c>
      <c r="G1120">
        <f>MAX(Table8[Cumulative 2024])</f>
        <v>5831</v>
      </c>
      <c r="H1120">
        <f>IF(YEAR(Table8[[#This Row],[Date]])=2025,B1120,0)+IF(ROW(H1119)=1,0,H1119)</f>
        <v>1377</v>
      </c>
      <c r="I1120">
        <f>MAX(Table8[Cumulative 2025])</f>
        <v>1377</v>
      </c>
      <c r="J1120">
        <f>IF(YEAR(Table8[[#This Row],[Date]])=2026,B1120,0)+IF(ROW(J1119)=1,0,J1119)</f>
        <v>3102</v>
      </c>
      <c r="K1120">
        <f>MAX(Table8[Cumulative 2026])</f>
        <v>3102</v>
      </c>
    </row>
    <row r="1121" spans="1:11" x14ac:dyDescent="0.25">
      <c r="A1121" s="1">
        <v>46330</v>
      </c>
      <c r="B1121">
        <f>SUM(_xlfn.CHOOSEROWS(Table8[[The Golden Compass]:[end]],ROW()-1))</f>
        <v>0</v>
      </c>
      <c r="C1121">
        <f>Table8[[#This Row],[Cumulative 2023 Q4]]+Table8[[#This Row],[Cumulative 2024]]+Table8[[#This Row],[Cumulative 2025]]+Table8[[#This Row],[Cumulative 2026]]</f>
        <v>14505</v>
      </c>
      <c r="D1121">
        <f>IF(YEAR(Table8[[#This Row],[Date]])=2023,B1121,0)+IF(ROW(D1120)=1,0,D1120)</f>
        <v>4195</v>
      </c>
      <c r="E1121">
        <f>MAX(Table8[Cumulative 2023 Q4])</f>
        <v>4195</v>
      </c>
      <c r="F1121">
        <f>IF(YEAR(Table8[[#This Row],[Date]])=2024,B1121,0)+IF(ROW(F1120)=1,0,F1120)</f>
        <v>5831</v>
      </c>
      <c r="G1121">
        <f>MAX(Table8[Cumulative 2024])</f>
        <v>5831</v>
      </c>
      <c r="H1121">
        <f>IF(YEAR(Table8[[#This Row],[Date]])=2025,B1121,0)+IF(ROW(H1120)=1,0,H1120)</f>
        <v>1377</v>
      </c>
      <c r="I1121">
        <f>MAX(Table8[Cumulative 2025])</f>
        <v>1377</v>
      </c>
      <c r="J1121">
        <f>IF(YEAR(Table8[[#This Row],[Date]])=2026,B1121,0)+IF(ROW(J1120)=1,0,J1120)</f>
        <v>3102</v>
      </c>
      <c r="K1121">
        <f>MAX(Table8[Cumulative 2026])</f>
        <v>3102</v>
      </c>
    </row>
    <row r="1122" spans="1:11" x14ac:dyDescent="0.25">
      <c r="A1122" s="1">
        <v>46331</v>
      </c>
      <c r="B1122">
        <f>SUM(_xlfn.CHOOSEROWS(Table8[[The Golden Compass]:[end]],ROW()-1))</f>
        <v>0</v>
      </c>
      <c r="C1122">
        <f>Table8[[#This Row],[Cumulative 2023 Q4]]+Table8[[#This Row],[Cumulative 2024]]+Table8[[#This Row],[Cumulative 2025]]+Table8[[#This Row],[Cumulative 2026]]</f>
        <v>14505</v>
      </c>
      <c r="D1122">
        <f>IF(YEAR(Table8[[#This Row],[Date]])=2023,B1122,0)+IF(ROW(D1121)=1,0,D1121)</f>
        <v>4195</v>
      </c>
      <c r="E1122">
        <f>MAX(Table8[Cumulative 2023 Q4])</f>
        <v>4195</v>
      </c>
      <c r="F1122">
        <f>IF(YEAR(Table8[[#This Row],[Date]])=2024,B1122,0)+IF(ROW(F1121)=1,0,F1121)</f>
        <v>5831</v>
      </c>
      <c r="G1122">
        <f>MAX(Table8[Cumulative 2024])</f>
        <v>5831</v>
      </c>
      <c r="H1122">
        <f>IF(YEAR(Table8[[#This Row],[Date]])=2025,B1122,0)+IF(ROW(H1121)=1,0,H1121)</f>
        <v>1377</v>
      </c>
      <c r="I1122">
        <f>MAX(Table8[Cumulative 2025])</f>
        <v>1377</v>
      </c>
      <c r="J1122">
        <f>IF(YEAR(Table8[[#This Row],[Date]])=2026,B1122,0)+IF(ROW(J1121)=1,0,J1121)</f>
        <v>3102</v>
      </c>
      <c r="K1122">
        <f>MAX(Table8[Cumulative 2026])</f>
        <v>3102</v>
      </c>
    </row>
    <row r="1123" spans="1:11" x14ac:dyDescent="0.25">
      <c r="A1123" s="1">
        <v>46332</v>
      </c>
      <c r="B1123">
        <f>SUM(_xlfn.CHOOSEROWS(Table8[[The Golden Compass]:[end]],ROW()-1))</f>
        <v>0</v>
      </c>
      <c r="C1123">
        <f>Table8[[#This Row],[Cumulative 2023 Q4]]+Table8[[#This Row],[Cumulative 2024]]+Table8[[#This Row],[Cumulative 2025]]+Table8[[#This Row],[Cumulative 2026]]</f>
        <v>14505</v>
      </c>
      <c r="D1123">
        <f>IF(YEAR(Table8[[#This Row],[Date]])=2023,B1123,0)+IF(ROW(D1122)=1,0,D1122)</f>
        <v>4195</v>
      </c>
      <c r="E1123">
        <f>MAX(Table8[Cumulative 2023 Q4])</f>
        <v>4195</v>
      </c>
      <c r="F1123">
        <f>IF(YEAR(Table8[[#This Row],[Date]])=2024,B1123,0)+IF(ROW(F1122)=1,0,F1122)</f>
        <v>5831</v>
      </c>
      <c r="G1123">
        <f>MAX(Table8[Cumulative 2024])</f>
        <v>5831</v>
      </c>
      <c r="H1123">
        <f>IF(YEAR(Table8[[#This Row],[Date]])=2025,B1123,0)+IF(ROW(H1122)=1,0,H1122)</f>
        <v>1377</v>
      </c>
      <c r="I1123">
        <f>MAX(Table8[Cumulative 2025])</f>
        <v>1377</v>
      </c>
      <c r="J1123">
        <f>IF(YEAR(Table8[[#This Row],[Date]])=2026,B1123,0)+IF(ROW(J1122)=1,0,J1122)</f>
        <v>3102</v>
      </c>
      <c r="K1123">
        <f>MAX(Table8[Cumulative 2026])</f>
        <v>3102</v>
      </c>
    </row>
    <row r="1124" spans="1:11" x14ac:dyDescent="0.25">
      <c r="A1124" s="1">
        <v>46333</v>
      </c>
      <c r="B1124">
        <f>SUM(_xlfn.CHOOSEROWS(Table8[[The Golden Compass]:[end]],ROW()-1))</f>
        <v>0</v>
      </c>
      <c r="C1124">
        <f>Table8[[#This Row],[Cumulative 2023 Q4]]+Table8[[#This Row],[Cumulative 2024]]+Table8[[#This Row],[Cumulative 2025]]+Table8[[#This Row],[Cumulative 2026]]</f>
        <v>14505</v>
      </c>
      <c r="D1124">
        <f>IF(YEAR(Table8[[#This Row],[Date]])=2023,B1124,0)+IF(ROW(D1123)=1,0,D1123)</f>
        <v>4195</v>
      </c>
      <c r="E1124">
        <f>MAX(Table8[Cumulative 2023 Q4])</f>
        <v>4195</v>
      </c>
      <c r="F1124">
        <f>IF(YEAR(Table8[[#This Row],[Date]])=2024,B1124,0)+IF(ROW(F1123)=1,0,F1123)</f>
        <v>5831</v>
      </c>
      <c r="G1124">
        <f>MAX(Table8[Cumulative 2024])</f>
        <v>5831</v>
      </c>
      <c r="H1124">
        <f>IF(YEAR(Table8[[#This Row],[Date]])=2025,B1124,0)+IF(ROW(H1123)=1,0,H1123)</f>
        <v>1377</v>
      </c>
      <c r="I1124">
        <f>MAX(Table8[Cumulative 2025])</f>
        <v>1377</v>
      </c>
      <c r="J1124">
        <f>IF(YEAR(Table8[[#This Row],[Date]])=2026,B1124,0)+IF(ROW(J1123)=1,0,J1123)</f>
        <v>3102</v>
      </c>
      <c r="K1124">
        <f>MAX(Table8[Cumulative 2026])</f>
        <v>3102</v>
      </c>
    </row>
    <row r="1125" spans="1:11" x14ac:dyDescent="0.25">
      <c r="A1125" s="1">
        <v>46334</v>
      </c>
      <c r="B1125">
        <f>SUM(_xlfn.CHOOSEROWS(Table8[[The Golden Compass]:[end]],ROW()-1))</f>
        <v>0</v>
      </c>
      <c r="C1125">
        <f>Table8[[#This Row],[Cumulative 2023 Q4]]+Table8[[#This Row],[Cumulative 2024]]+Table8[[#This Row],[Cumulative 2025]]+Table8[[#This Row],[Cumulative 2026]]</f>
        <v>14505</v>
      </c>
      <c r="D1125">
        <f>IF(YEAR(Table8[[#This Row],[Date]])=2023,B1125,0)+IF(ROW(D1124)=1,0,D1124)</f>
        <v>4195</v>
      </c>
      <c r="E1125">
        <f>MAX(Table8[Cumulative 2023 Q4])</f>
        <v>4195</v>
      </c>
      <c r="F1125">
        <f>IF(YEAR(Table8[[#This Row],[Date]])=2024,B1125,0)+IF(ROW(F1124)=1,0,F1124)</f>
        <v>5831</v>
      </c>
      <c r="G1125">
        <f>MAX(Table8[Cumulative 2024])</f>
        <v>5831</v>
      </c>
      <c r="H1125">
        <f>IF(YEAR(Table8[[#This Row],[Date]])=2025,B1125,0)+IF(ROW(H1124)=1,0,H1124)</f>
        <v>1377</v>
      </c>
      <c r="I1125">
        <f>MAX(Table8[Cumulative 2025])</f>
        <v>1377</v>
      </c>
      <c r="J1125">
        <f>IF(YEAR(Table8[[#This Row],[Date]])=2026,B1125,0)+IF(ROW(J1124)=1,0,J1124)</f>
        <v>3102</v>
      </c>
      <c r="K1125">
        <f>MAX(Table8[Cumulative 2026])</f>
        <v>3102</v>
      </c>
    </row>
    <row r="1126" spans="1:11" x14ac:dyDescent="0.25">
      <c r="A1126" s="1">
        <v>46335</v>
      </c>
      <c r="B1126">
        <f>SUM(_xlfn.CHOOSEROWS(Table8[[The Golden Compass]:[end]],ROW()-1))</f>
        <v>0</v>
      </c>
      <c r="C1126">
        <f>Table8[[#This Row],[Cumulative 2023 Q4]]+Table8[[#This Row],[Cumulative 2024]]+Table8[[#This Row],[Cumulative 2025]]+Table8[[#This Row],[Cumulative 2026]]</f>
        <v>14505</v>
      </c>
      <c r="D1126">
        <f>IF(YEAR(Table8[[#This Row],[Date]])=2023,B1126,0)+IF(ROW(D1125)=1,0,D1125)</f>
        <v>4195</v>
      </c>
      <c r="E1126">
        <f>MAX(Table8[Cumulative 2023 Q4])</f>
        <v>4195</v>
      </c>
      <c r="F1126">
        <f>IF(YEAR(Table8[[#This Row],[Date]])=2024,B1126,0)+IF(ROW(F1125)=1,0,F1125)</f>
        <v>5831</v>
      </c>
      <c r="G1126">
        <f>MAX(Table8[Cumulative 2024])</f>
        <v>5831</v>
      </c>
      <c r="H1126">
        <f>IF(YEAR(Table8[[#This Row],[Date]])=2025,B1126,0)+IF(ROW(H1125)=1,0,H1125)</f>
        <v>1377</v>
      </c>
      <c r="I1126">
        <f>MAX(Table8[Cumulative 2025])</f>
        <v>1377</v>
      </c>
      <c r="J1126">
        <f>IF(YEAR(Table8[[#This Row],[Date]])=2026,B1126,0)+IF(ROW(J1125)=1,0,J1125)</f>
        <v>3102</v>
      </c>
      <c r="K1126">
        <f>MAX(Table8[Cumulative 2026])</f>
        <v>3102</v>
      </c>
    </row>
    <row r="1127" spans="1:11" x14ac:dyDescent="0.25">
      <c r="A1127" s="1">
        <v>46336</v>
      </c>
      <c r="B1127">
        <f>SUM(_xlfn.CHOOSEROWS(Table8[[The Golden Compass]:[end]],ROW()-1))</f>
        <v>0</v>
      </c>
      <c r="C1127">
        <f>Table8[[#This Row],[Cumulative 2023 Q4]]+Table8[[#This Row],[Cumulative 2024]]+Table8[[#This Row],[Cumulative 2025]]+Table8[[#This Row],[Cumulative 2026]]</f>
        <v>14505</v>
      </c>
      <c r="D1127">
        <f>IF(YEAR(Table8[[#This Row],[Date]])=2023,B1127,0)+IF(ROW(D1126)=1,0,D1126)</f>
        <v>4195</v>
      </c>
      <c r="E1127">
        <f>MAX(Table8[Cumulative 2023 Q4])</f>
        <v>4195</v>
      </c>
      <c r="F1127">
        <f>IF(YEAR(Table8[[#This Row],[Date]])=2024,B1127,0)+IF(ROW(F1126)=1,0,F1126)</f>
        <v>5831</v>
      </c>
      <c r="G1127">
        <f>MAX(Table8[Cumulative 2024])</f>
        <v>5831</v>
      </c>
      <c r="H1127">
        <f>IF(YEAR(Table8[[#This Row],[Date]])=2025,B1127,0)+IF(ROW(H1126)=1,0,H1126)</f>
        <v>1377</v>
      </c>
      <c r="I1127">
        <f>MAX(Table8[Cumulative 2025])</f>
        <v>1377</v>
      </c>
      <c r="J1127">
        <f>IF(YEAR(Table8[[#This Row],[Date]])=2026,B1127,0)+IF(ROW(J1126)=1,0,J1126)</f>
        <v>3102</v>
      </c>
      <c r="K1127">
        <f>MAX(Table8[Cumulative 2026])</f>
        <v>3102</v>
      </c>
    </row>
    <row r="1128" spans="1:11" x14ac:dyDescent="0.25">
      <c r="A1128" s="1">
        <v>46337</v>
      </c>
      <c r="B1128">
        <f>SUM(_xlfn.CHOOSEROWS(Table8[[The Golden Compass]:[end]],ROW()-1))</f>
        <v>0</v>
      </c>
      <c r="C1128">
        <f>Table8[[#This Row],[Cumulative 2023 Q4]]+Table8[[#This Row],[Cumulative 2024]]+Table8[[#This Row],[Cumulative 2025]]+Table8[[#This Row],[Cumulative 2026]]</f>
        <v>14505</v>
      </c>
      <c r="D1128">
        <f>IF(YEAR(Table8[[#This Row],[Date]])=2023,B1128,0)+IF(ROW(D1127)=1,0,D1127)</f>
        <v>4195</v>
      </c>
      <c r="E1128">
        <f>MAX(Table8[Cumulative 2023 Q4])</f>
        <v>4195</v>
      </c>
      <c r="F1128">
        <f>IF(YEAR(Table8[[#This Row],[Date]])=2024,B1128,0)+IF(ROW(F1127)=1,0,F1127)</f>
        <v>5831</v>
      </c>
      <c r="G1128">
        <f>MAX(Table8[Cumulative 2024])</f>
        <v>5831</v>
      </c>
      <c r="H1128">
        <f>IF(YEAR(Table8[[#This Row],[Date]])=2025,B1128,0)+IF(ROW(H1127)=1,0,H1127)</f>
        <v>1377</v>
      </c>
      <c r="I1128">
        <f>MAX(Table8[Cumulative 2025])</f>
        <v>1377</v>
      </c>
      <c r="J1128">
        <f>IF(YEAR(Table8[[#This Row],[Date]])=2026,B1128,0)+IF(ROW(J1127)=1,0,J1127)</f>
        <v>3102</v>
      </c>
      <c r="K1128">
        <f>MAX(Table8[Cumulative 2026])</f>
        <v>3102</v>
      </c>
    </row>
    <row r="1129" spans="1:11" x14ac:dyDescent="0.25">
      <c r="A1129" s="1">
        <v>46338</v>
      </c>
      <c r="B1129">
        <f>SUM(_xlfn.CHOOSEROWS(Table8[[The Golden Compass]:[end]],ROW()-1))</f>
        <v>0</v>
      </c>
      <c r="C1129">
        <f>Table8[[#This Row],[Cumulative 2023 Q4]]+Table8[[#This Row],[Cumulative 2024]]+Table8[[#This Row],[Cumulative 2025]]+Table8[[#This Row],[Cumulative 2026]]</f>
        <v>14505</v>
      </c>
      <c r="D1129">
        <f>IF(YEAR(Table8[[#This Row],[Date]])=2023,B1129,0)+IF(ROW(D1128)=1,0,D1128)</f>
        <v>4195</v>
      </c>
      <c r="E1129">
        <f>MAX(Table8[Cumulative 2023 Q4])</f>
        <v>4195</v>
      </c>
      <c r="F1129">
        <f>IF(YEAR(Table8[[#This Row],[Date]])=2024,B1129,0)+IF(ROW(F1128)=1,0,F1128)</f>
        <v>5831</v>
      </c>
      <c r="G1129">
        <f>MAX(Table8[Cumulative 2024])</f>
        <v>5831</v>
      </c>
      <c r="H1129">
        <f>IF(YEAR(Table8[[#This Row],[Date]])=2025,B1129,0)+IF(ROW(H1128)=1,0,H1128)</f>
        <v>1377</v>
      </c>
      <c r="I1129">
        <f>MAX(Table8[Cumulative 2025])</f>
        <v>1377</v>
      </c>
      <c r="J1129">
        <f>IF(YEAR(Table8[[#This Row],[Date]])=2026,B1129,0)+IF(ROW(J1128)=1,0,J1128)</f>
        <v>3102</v>
      </c>
      <c r="K1129">
        <f>MAX(Table8[Cumulative 2026])</f>
        <v>3102</v>
      </c>
    </row>
    <row r="1130" spans="1:11" x14ac:dyDescent="0.25">
      <c r="A1130" s="1">
        <v>46339</v>
      </c>
      <c r="B1130">
        <f>SUM(_xlfn.CHOOSEROWS(Table8[[The Golden Compass]:[end]],ROW()-1))</f>
        <v>0</v>
      </c>
      <c r="C1130">
        <f>Table8[[#This Row],[Cumulative 2023 Q4]]+Table8[[#This Row],[Cumulative 2024]]+Table8[[#This Row],[Cumulative 2025]]+Table8[[#This Row],[Cumulative 2026]]</f>
        <v>14505</v>
      </c>
      <c r="D1130">
        <f>IF(YEAR(Table8[[#This Row],[Date]])=2023,B1130,0)+IF(ROW(D1129)=1,0,D1129)</f>
        <v>4195</v>
      </c>
      <c r="E1130">
        <f>MAX(Table8[Cumulative 2023 Q4])</f>
        <v>4195</v>
      </c>
      <c r="F1130">
        <f>IF(YEAR(Table8[[#This Row],[Date]])=2024,B1130,0)+IF(ROW(F1129)=1,0,F1129)</f>
        <v>5831</v>
      </c>
      <c r="G1130">
        <f>MAX(Table8[Cumulative 2024])</f>
        <v>5831</v>
      </c>
      <c r="H1130">
        <f>IF(YEAR(Table8[[#This Row],[Date]])=2025,B1130,0)+IF(ROW(H1129)=1,0,H1129)</f>
        <v>1377</v>
      </c>
      <c r="I1130">
        <f>MAX(Table8[Cumulative 2025])</f>
        <v>1377</v>
      </c>
      <c r="J1130">
        <f>IF(YEAR(Table8[[#This Row],[Date]])=2026,B1130,0)+IF(ROW(J1129)=1,0,J1129)</f>
        <v>3102</v>
      </c>
      <c r="K1130">
        <f>MAX(Table8[Cumulative 2026])</f>
        <v>3102</v>
      </c>
    </row>
    <row r="1131" spans="1:11" x14ac:dyDescent="0.25">
      <c r="A1131" s="1">
        <v>46340</v>
      </c>
      <c r="B1131">
        <f>SUM(_xlfn.CHOOSEROWS(Table8[[The Golden Compass]:[end]],ROW()-1))</f>
        <v>0</v>
      </c>
      <c r="C1131">
        <f>Table8[[#This Row],[Cumulative 2023 Q4]]+Table8[[#This Row],[Cumulative 2024]]+Table8[[#This Row],[Cumulative 2025]]+Table8[[#This Row],[Cumulative 2026]]</f>
        <v>14505</v>
      </c>
      <c r="D1131">
        <f>IF(YEAR(Table8[[#This Row],[Date]])=2023,B1131,0)+IF(ROW(D1130)=1,0,D1130)</f>
        <v>4195</v>
      </c>
      <c r="E1131">
        <f>MAX(Table8[Cumulative 2023 Q4])</f>
        <v>4195</v>
      </c>
      <c r="F1131">
        <f>IF(YEAR(Table8[[#This Row],[Date]])=2024,B1131,0)+IF(ROW(F1130)=1,0,F1130)</f>
        <v>5831</v>
      </c>
      <c r="G1131">
        <f>MAX(Table8[Cumulative 2024])</f>
        <v>5831</v>
      </c>
      <c r="H1131">
        <f>IF(YEAR(Table8[[#This Row],[Date]])=2025,B1131,0)+IF(ROW(H1130)=1,0,H1130)</f>
        <v>1377</v>
      </c>
      <c r="I1131">
        <f>MAX(Table8[Cumulative 2025])</f>
        <v>1377</v>
      </c>
      <c r="J1131">
        <f>IF(YEAR(Table8[[#This Row],[Date]])=2026,B1131,0)+IF(ROW(J1130)=1,0,J1130)</f>
        <v>3102</v>
      </c>
      <c r="K1131">
        <f>MAX(Table8[Cumulative 2026])</f>
        <v>3102</v>
      </c>
    </row>
    <row r="1132" spans="1:11" x14ac:dyDescent="0.25">
      <c r="A1132" s="1">
        <v>46341</v>
      </c>
      <c r="B1132">
        <f>SUM(_xlfn.CHOOSEROWS(Table8[[The Golden Compass]:[end]],ROW()-1))</f>
        <v>0</v>
      </c>
      <c r="C1132">
        <f>Table8[[#This Row],[Cumulative 2023 Q4]]+Table8[[#This Row],[Cumulative 2024]]+Table8[[#This Row],[Cumulative 2025]]+Table8[[#This Row],[Cumulative 2026]]</f>
        <v>14505</v>
      </c>
      <c r="D1132">
        <f>IF(YEAR(Table8[[#This Row],[Date]])=2023,B1132,0)+IF(ROW(D1131)=1,0,D1131)</f>
        <v>4195</v>
      </c>
      <c r="E1132">
        <f>MAX(Table8[Cumulative 2023 Q4])</f>
        <v>4195</v>
      </c>
      <c r="F1132">
        <f>IF(YEAR(Table8[[#This Row],[Date]])=2024,B1132,0)+IF(ROW(F1131)=1,0,F1131)</f>
        <v>5831</v>
      </c>
      <c r="G1132">
        <f>MAX(Table8[Cumulative 2024])</f>
        <v>5831</v>
      </c>
      <c r="H1132">
        <f>IF(YEAR(Table8[[#This Row],[Date]])=2025,B1132,0)+IF(ROW(H1131)=1,0,H1131)</f>
        <v>1377</v>
      </c>
      <c r="I1132">
        <f>MAX(Table8[Cumulative 2025])</f>
        <v>1377</v>
      </c>
      <c r="J1132">
        <f>IF(YEAR(Table8[[#This Row],[Date]])=2026,B1132,0)+IF(ROW(J1131)=1,0,J1131)</f>
        <v>3102</v>
      </c>
      <c r="K1132">
        <f>MAX(Table8[Cumulative 2026])</f>
        <v>3102</v>
      </c>
    </row>
    <row r="1133" spans="1:11" x14ac:dyDescent="0.25">
      <c r="A1133" s="1">
        <v>46342</v>
      </c>
      <c r="B1133">
        <f>SUM(_xlfn.CHOOSEROWS(Table8[[The Golden Compass]:[end]],ROW()-1))</f>
        <v>0</v>
      </c>
      <c r="C1133">
        <f>Table8[[#This Row],[Cumulative 2023 Q4]]+Table8[[#This Row],[Cumulative 2024]]+Table8[[#This Row],[Cumulative 2025]]+Table8[[#This Row],[Cumulative 2026]]</f>
        <v>14505</v>
      </c>
      <c r="D1133">
        <f>IF(YEAR(Table8[[#This Row],[Date]])=2023,B1133,0)+IF(ROW(D1132)=1,0,D1132)</f>
        <v>4195</v>
      </c>
      <c r="E1133">
        <f>MAX(Table8[Cumulative 2023 Q4])</f>
        <v>4195</v>
      </c>
      <c r="F1133">
        <f>IF(YEAR(Table8[[#This Row],[Date]])=2024,B1133,0)+IF(ROW(F1132)=1,0,F1132)</f>
        <v>5831</v>
      </c>
      <c r="G1133">
        <f>MAX(Table8[Cumulative 2024])</f>
        <v>5831</v>
      </c>
      <c r="H1133">
        <f>IF(YEAR(Table8[[#This Row],[Date]])=2025,B1133,0)+IF(ROW(H1132)=1,0,H1132)</f>
        <v>1377</v>
      </c>
      <c r="I1133">
        <f>MAX(Table8[Cumulative 2025])</f>
        <v>1377</v>
      </c>
      <c r="J1133">
        <f>IF(YEAR(Table8[[#This Row],[Date]])=2026,B1133,0)+IF(ROW(J1132)=1,0,J1132)</f>
        <v>3102</v>
      </c>
      <c r="K1133">
        <f>MAX(Table8[Cumulative 2026])</f>
        <v>3102</v>
      </c>
    </row>
    <row r="1134" spans="1:11" x14ac:dyDescent="0.25">
      <c r="A1134" s="1">
        <v>46343</v>
      </c>
      <c r="B1134">
        <f>SUM(_xlfn.CHOOSEROWS(Table8[[The Golden Compass]:[end]],ROW()-1))</f>
        <v>0</v>
      </c>
      <c r="C1134">
        <f>Table8[[#This Row],[Cumulative 2023 Q4]]+Table8[[#This Row],[Cumulative 2024]]+Table8[[#This Row],[Cumulative 2025]]+Table8[[#This Row],[Cumulative 2026]]</f>
        <v>14505</v>
      </c>
      <c r="D1134">
        <f>IF(YEAR(Table8[[#This Row],[Date]])=2023,B1134,0)+IF(ROW(D1133)=1,0,D1133)</f>
        <v>4195</v>
      </c>
      <c r="E1134">
        <f>MAX(Table8[Cumulative 2023 Q4])</f>
        <v>4195</v>
      </c>
      <c r="F1134">
        <f>IF(YEAR(Table8[[#This Row],[Date]])=2024,B1134,0)+IF(ROW(F1133)=1,0,F1133)</f>
        <v>5831</v>
      </c>
      <c r="G1134">
        <f>MAX(Table8[Cumulative 2024])</f>
        <v>5831</v>
      </c>
      <c r="H1134">
        <f>IF(YEAR(Table8[[#This Row],[Date]])=2025,B1134,0)+IF(ROW(H1133)=1,0,H1133)</f>
        <v>1377</v>
      </c>
      <c r="I1134">
        <f>MAX(Table8[Cumulative 2025])</f>
        <v>1377</v>
      </c>
      <c r="J1134">
        <f>IF(YEAR(Table8[[#This Row],[Date]])=2026,B1134,0)+IF(ROW(J1133)=1,0,J1133)</f>
        <v>3102</v>
      </c>
      <c r="K1134">
        <f>MAX(Table8[Cumulative 2026])</f>
        <v>3102</v>
      </c>
    </row>
    <row r="1135" spans="1:11" x14ac:dyDescent="0.25">
      <c r="A1135" s="1">
        <v>46344</v>
      </c>
      <c r="B1135">
        <f>SUM(_xlfn.CHOOSEROWS(Table8[[The Golden Compass]:[end]],ROW()-1))</f>
        <v>0</v>
      </c>
      <c r="C1135">
        <f>Table8[[#This Row],[Cumulative 2023 Q4]]+Table8[[#This Row],[Cumulative 2024]]+Table8[[#This Row],[Cumulative 2025]]+Table8[[#This Row],[Cumulative 2026]]</f>
        <v>14505</v>
      </c>
      <c r="D1135">
        <f>IF(YEAR(Table8[[#This Row],[Date]])=2023,B1135,0)+IF(ROW(D1134)=1,0,D1134)</f>
        <v>4195</v>
      </c>
      <c r="E1135">
        <f>MAX(Table8[Cumulative 2023 Q4])</f>
        <v>4195</v>
      </c>
      <c r="F1135">
        <f>IF(YEAR(Table8[[#This Row],[Date]])=2024,B1135,0)+IF(ROW(F1134)=1,0,F1134)</f>
        <v>5831</v>
      </c>
      <c r="G1135">
        <f>MAX(Table8[Cumulative 2024])</f>
        <v>5831</v>
      </c>
      <c r="H1135">
        <f>IF(YEAR(Table8[[#This Row],[Date]])=2025,B1135,0)+IF(ROW(H1134)=1,0,H1134)</f>
        <v>1377</v>
      </c>
      <c r="I1135">
        <f>MAX(Table8[Cumulative 2025])</f>
        <v>1377</v>
      </c>
      <c r="J1135">
        <f>IF(YEAR(Table8[[#This Row],[Date]])=2026,B1135,0)+IF(ROW(J1134)=1,0,J1134)</f>
        <v>3102</v>
      </c>
      <c r="K1135">
        <f>MAX(Table8[Cumulative 2026])</f>
        <v>3102</v>
      </c>
    </row>
    <row r="1136" spans="1:11" x14ac:dyDescent="0.25">
      <c r="A1136" s="1">
        <v>46345</v>
      </c>
      <c r="B1136">
        <f>SUM(_xlfn.CHOOSEROWS(Table8[[The Golden Compass]:[end]],ROW()-1))</f>
        <v>0</v>
      </c>
      <c r="C1136">
        <f>Table8[[#This Row],[Cumulative 2023 Q4]]+Table8[[#This Row],[Cumulative 2024]]+Table8[[#This Row],[Cumulative 2025]]+Table8[[#This Row],[Cumulative 2026]]</f>
        <v>14505</v>
      </c>
      <c r="D1136">
        <f>IF(YEAR(Table8[[#This Row],[Date]])=2023,B1136,0)+IF(ROW(D1135)=1,0,D1135)</f>
        <v>4195</v>
      </c>
      <c r="E1136">
        <f>MAX(Table8[Cumulative 2023 Q4])</f>
        <v>4195</v>
      </c>
      <c r="F1136">
        <f>IF(YEAR(Table8[[#This Row],[Date]])=2024,B1136,0)+IF(ROW(F1135)=1,0,F1135)</f>
        <v>5831</v>
      </c>
      <c r="G1136">
        <f>MAX(Table8[Cumulative 2024])</f>
        <v>5831</v>
      </c>
      <c r="H1136">
        <f>IF(YEAR(Table8[[#This Row],[Date]])=2025,B1136,0)+IF(ROW(H1135)=1,0,H1135)</f>
        <v>1377</v>
      </c>
      <c r="I1136">
        <f>MAX(Table8[Cumulative 2025])</f>
        <v>1377</v>
      </c>
      <c r="J1136">
        <f>IF(YEAR(Table8[[#This Row],[Date]])=2026,B1136,0)+IF(ROW(J1135)=1,0,J1135)</f>
        <v>3102</v>
      </c>
      <c r="K1136">
        <f>MAX(Table8[Cumulative 2026])</f>
        <v>3102</v>
      </c>
    </row>
    <row r="1137" spans="1:11" x14ac:dyDescent="0.25">
      <c r="A1137" s="1">
        <v>46346</v>
      </c>
      <c r="B1137">
        <f>SUM(_xlfn.CHOOSEROWS(Table8[[The Golden Compass]:[end]],ROW()-1))</f>
        <v>0</v>
      </c>
      <c r="C1137">
        <f>Table8[[#This Row],[Cumulative 2023 Q4]]+Table8[[#This Row],[Cumulative 2024]]+Table8[[#This Row],[Cumulative 2025]]+Table8[[#This Row],[Cumulative 2026]]</f>
        <v>14505</v>
      </c>
      <c r="D1137">
        <f>IF(YEAR(Table8[[#This Row],[Date]])=2023,B1137,0)+IF(ROW(D1136)=1,0,D1136)</f>
        <v>4195</v>
      </c>
      <c r="E1137">
        <f>MAX(Table8[Cumulative 2023 Q4])</f>
        <v>4195</v>
      </c>
      <c r="F1137">
        <f>IF(YEAR(Table8[[#This Row],[Date]])=2024,B1137,0)+IF(ROW(F1136)=1,0,F1136)</f>
        <v>5831</v>
      </c>
      <c r="G1137">
        <f>MAX(Table8[Cumulative 2024])</f>
        <v>5831</v>
      </c>
      <c r="H1137">
        <f>IF(YEAR(Table8[[#This Row],[Date]])=2025,B1137,0)+IF(ROW(H1136)=1,0,H1136)</f>
        <v>1377</v>
      </c>
      <c r="I1137">
        <f>MAX(Table8[Cumulative 2025])</f>
        <v>1377</v>
      </c>
      <c r="J1137">
        <f>IF(YEAR(Table8[[#This Row],[Date]])=2026,B1137,0)+IF(ROW(J1136)=1,0,J1136)</f>
        <v>3102</v>
      </c>
      <c r="K1137">
        <f>MAX(Table8[Cumulative 2026])</f>
        <v>3102</v>
      </c>
    </row>
    <row r="1138" spans="1:11" x14ac:dyDescent="0.25">
      <c r="A1138" s="1">
        <v>46347</v>
      </c>
      <c r="B1138">
        <f>SUM(_xlfn.CHOOSEROWS(Table8[[The Golden Compass]:[end]],ROW()-1))</f>
        <v>0</v>
      </c>
      <c r="C1138">
        <f>Table8[[#This Row],[Cumulative 2023 Q4]]+Table8[[#This Row],[Cumulative 2024]]+Table8[[#This Row],[Cumulative 2025]]+Table8[[#This Row],[Cumulative 2026]]</f>
        <v>14505</v>
      </c>
      <c r="D1138">
        <f>IF(YEAR(Table8[[#This Row],[Date]])=2023,B1138,0)+IF(ROW(D1137)=1,0,D1137)</f>
        <v>4195</v>
      </c>
      <c r="E1138">
        <f>MAX(Table8[Cumulative 2023 Q4])</f>
        <v>4195</v>
      </c>
      <c r="F1138">
        <f>IF(YEAR(Table8[[#This Row],[Date]])=2024,B1138,0)+IF(ROW(F1137)=1,0,F1137)</f>
        <v>5831</v>
      </c>
      <c r="G1138">
        <f>MAX(Table8[Cumulative 2024])</f>
        <v>5831</v>
      </c>
      <c r="H1138">
        <f>IF(YEAR(Table8[[#This Row],[Date]])=2025,B1138,0)+IF(ROW(H1137)=1,0,H1137)</f>
        <v>1377</v>
      </c>
      <c r="I1138">
        <f>MAX(Table8[Cumulative 2025])</f>
        <v>1377</v>
      </c>
      <c r="J1138">
        <f>IF(YEAR(Table8[[#This Row],[Date]])=2026,B1138,0)+IF(ROW(J1137)=1,0,J1137)</f>
        <v>3102</v>
      </c>
      <c r="K1138">
        <f>MAX(Table8[Cumulative 2026])</f>
        <v>3102</v>
      </c>
    </row>
    <row r="1139" spans="1:11" x14ac:dyDescent="0.25">
      <c r="A1139" s="1">
        <v>46348</v>
      </c>
      <c r="B1139">
        <f>SUM(_xlfn.CHOOSEROWS(Table8[[The Golden Compass]:[end]],ROW()-1))</f>
        <v>0</v>
      </c>
      <c r="C1139">
        <f>Table8[[#This Row],[Cumulative 2023 Q4]]+Table8[[#This Row],[Cumulative 2024]]+Table8[[#This Row],[Cumulative 2025]]+Table8[[#This Row],[Cumulative 2026]]</f>
        <v>14505</v>
      </c>
      <c r="D1139">
        <f>IF(YEAR(Table8[[#This Row],[Date]])=2023,B1139,0)+IF(ROW(D1138)=1,0,D1138)</f>
        <v>4195</v>
      </c>
      <c r="E1139">
        <f>MAX(Table8[Cumulative 2023 Q4])</f>
        <v>4195</v>
      </c>
      <c r="F1139">
        <f>IF(YEAR(Table8[[#This Row],[Date]])=2024,B1139,0)+IF(ROW(F1138)=1,0,F1138)</f>
        <v>5831</v>
      </c>
      <c r="G1139">
        <f>MAX(Table8[Cumulative 2024])</f>
        <v>5831</v>
      </c>
      <c r="H1139">
        <f>IF(YEAR(Table8[[#This Row],[Date]])=2025,B1139,0)+IF(ROW(H1138)=1,0,H1138)</f>
        <v>1377</v>
      </c>
      <c r="I1139">
        <f>MAX(Table8[Cumulative 2025])</f>
        <v>1377</v>
      </c>
      <c r="J1139">
        <f>IF(YEAR(Table8[[#This Row],[Date]])=2026,B1139,0)+IF(ROW(J1138)=1,0,J1138)</f>
        <v>3102</v>
      </c>
      <c r="K1139">
        <f>MAX(Table8[Cumulative 2026])</f>
        <v>3102</v>
      </c>
    </row>
    <row r="1140" spans="1:11" x14ac:dyDescent="0.25">
      <c r="A1140" s="1">
        <v>46349</v>
      </c>
      <c r="B1140">
        <f>SUM(_xlfn.CHOOSEROWS(Table8[[The Golden Compass]:[end]],ROW()-1))</f>
        <v>0</v>
      </c>
      <c r="C1140">
        <f>Table8[[#This Row],[Cumulative 2023 Q4]]+Table8[[#This Row],[Cumulative 2024]]+Table8[[#This Row],[Cumulative 2025]]+Table8[[#This Row],[Cumulative 2026]]</f>
        <v>14505</v>
      </c>
      <c r="D1140">
        <f>IF(YEAR(Table8[[#This Row],[Date]])=2023,B1140,0)+IF(ROW(D1139)=1,0,D1139)</f>
        <v>4195</v>
      </c>
      <c r="E1140">
        <f>MAX(Table8[Cumulative 2023 Q4])</f>
        <v>4195</v>
      </c>
      <c r="F1140">
        <f>IF(YEAR(Table8[[#This Row],[Date]])=2024,B1140,0)+IF(ROW(F1139)=1,0,F1139)</f>
        <v>5831</v>
      </c>
      <c r="G1140">
        <f>MAX(Table8[Cumulative 2024])</f>
        <v>5831</v>
      </c>
      <c r="H1140">
        <f>IF(YEAR(Table8[[#This Row],[Date]])=2025,B1140,0)+IF(ROW(H1139)=1,0,H1139)</f>
        <v>1377</v>
      </c>
      <c r="I1140">
        <f>MAX(Table8[Cumulative 2025])</f>
        <v>1377</v>
      </c>
      <c r="J1140">
        <f>IF(YEAR(Table8[[#This Row],[Date]])=2026,B1140,0)+IF(ROW(J1139)=1,0,J1139)</f>
        <v>3102</v>
      </c>
      <c r="K1140">
        <f>MAX(Table8[Cumulative 2026])</f>
        <v>3102</v>
      </c>
    </row>
    <row r="1141" spans="1:11" x14ac:dyDescent="0.25">
      <c r="A1141" s="1">
        <v>46350</v>
      </c>
      <c r="B1141">
        <f>SUM(_xlfn.CHOOSEROWS(Table8[[The Golden Compass]:[end]],ROW()-1))</f>
        <v>0</v>
      </c>
      <c r="C1141">
        <f>Table8[[#This Row],[Cumulative 2023 Q4]]+Table8[[#This Row],[Cumulative 2024]]+Table8[[#This Row],[Cumulative 2025]]+Table8[[#This Row],[Cumulative 2026]]</f>
        <v>14505</v>
      </c>
      <c r="D1141">
        <f>IF(YEAR(Table8[[#This Row],[Date]])=2023,B1141,0)+IF(ROW(D1140)=1,0,D1140)</f>
        <v>4195</v>
      </c>
      <c r="E1141">
        <f>MAX(Table8[Cumulative 2023 Q4])</f>
        <v>4195</v>
      </c>
      <c r="F1141">
        <f>IF(YEAR(Table8[[#This Row],[Date]])=2024,B1141,0)+IF(ROW(F1140)=1,0,F1140)</f>
        <v>5831</v>
      </c>
      <c r="G1141">
        <f>MAX(Table8[Cumulative 2024])</f>
        <v>5831</v>
      </c>
      <c r="H1141">
        <f>IF(YEAR(Table8[[#This Row],[Date]])=2025,B1141,0)+IF(ROW(H1140)=1,0,H1140)</f>
        <v>1377</v>
      </c>
      <c r="I1141">
        <f>MAX(Table8[Cumulative 2025])</f>
        <v>1377</v>
      </c>
      <c r="J1141">
        <f>IF(YEAR(Table8[[#This Row],[Date]])=2026,B1141,0)+IF(ROW(J1140)=1,0,J1140)</f>
        <v>3102</v>
      </c>
      <c r="K1141">
        <f>MAX(Table8[Cumulative 2026])</f>
        <v>3102</v>
      </c>
    </row>
    <row r="1142" spans="1:11" x14ac:dyDescent="0.25">
      <c r="A1142" s="1">
        <v>46351</v>
      </c>
      <c r="B1142">
        <f>SUM(_xlfn.CHOOSEROWS(Table8[[The Golden Compass]:[end]],ROW()-1))</f>
        <v>0</v>
      </c>
      <c r="C1142">
        <f>Table8[[#This Row],[Cumulative 2023 Q4]]+Table8[[#This Row],[Cumulative 2024]]+Table8[[#This Row],[Cumulative 2025]]+Table8[[#This Row],[Cumulative 2026]]</f>
        <v>14505</v>
      </c>
      <c r="D1142">
        <f>IF(YEAR(Table8[[#This Row],[Date]])=2023,B1142,0)+IF(ROW(D1141)=1,0,D1141)</f>
        <v>4195</v>
      </c>
      <c r="E1142">
        <f>MAX(Table8[Cumulative 2023 Q4])</f>
        <v>4195</v>
      </c>
      <c r="F1142">
        <f>IF(YEAR(Table8[[#This Row],[Date]])=2024,B1142,0)+IF(ROW(F1141)=1,0,F1141)</f>
        <v>5831</v>
      </c>
      <c r="G1142">
        <f>MAX(Table8[Cumulative 2024])</f>
        <v>5831</v>
      </c>
      <c r="H1142">
        <f>IF(YEAR(Table8[[#This Row],[Date]])=2025,B1142,0)+IF(ROW(H1141)=1,0,H1141)</f>
        <v>1377</v>
      </c>
      <c r="I1142">
        <f>MAX(Table8[Cumulative 2025])</f>
        <v>1377</v>
      </c>
      <c r="J1142">
        <f>IF(YEAR(Table8[[#This Row],[Date]])=2026,B1142,0)+IF(ROW(J1141)=1,0,J1141)</f>
        <v>3102</v>
      </c>
      <c r="K1142">
        <f>MAX(Table8[Cumulative 2026])</f>
        <v>3102</v>
      </c>
    </row>
    <row r="1143" spans="1:11" x14ac:dyDescent="0.25">
      <c r="A1143" s="1">
        <v>46352</v>
      </c>
      <c r="B1143">
        <f>SUM(_xlfn.CHOOSEROWS(Table8[[The Golden Compass]:[end]],ROW()-1))</f>
        <v>0</v>
      </c>
      <c r="C1143">
        <f>Table8[[#This Row],[Cumulative 2023 Q4]]+Table8[[#This Row],[Cumulative 2024]]+Table8[[#This Row],[Cumulative 2025]]+Table8[[#This Row],[Cumulative 2026]]</f>
        <v>14505</v>
      </c>
      <c r="D1143">
        <f>IF(YEAR(Table8[[#This Row],[Date]])=2023,B1143,0)+IF(ROW(D1142)=1,0,D1142)</f>
        <v>4195</v>
      </c>
      <c r="E1143">
        <f>MAX(Table8[Cumulative 2023 Q4])</f>
        <v>4195</v>
      </c>
      <c r="F1143">
        <f>IF(YEAR(Table8[[#This Row],[Date]])=2024,B1143,0)+IF(ROW(F1142)=1,0,F1142)</f>
        <v>5831</v>
      </c>
      <c r="G1143">
        <f>MAX(Table8[Cumulative 2024])</f>
        <v>5831</v>
      </c>
      <c r="H1143">
        <f>IF(YEAR(Table8[[#This Row],[Date]])=2025,B1143,0)+IF(ROW(H1142)=1,0,H1142)</f>
        <v>1377</v>
      </c>
      <c r="I1143">
        <f>MAX(Table8[Cumulative 2025])</f>
        <v>1377</v>
      </c>
      <c r="J1143">
        <f>IF(YEAR(Table8[[#This Row],[Date]])=2026,B1143,0)+IF(ROW(J1142)=1,0,J1142)</f>
        <v>3102</v>
      </c>
      <c r="K1143">
        <f>MAX(Table8[Cumulative 2026])</f>
        <v>3102</v>
      </c>
    </row>
    <row r="1144" spans="1:11" x14ac:dyDescent="0.25">
      <c r="A1144" s="1">
        <v>46353</v>
      </c>
      <c r="B1144">
        <f>SUM(_xlfn.CHOOSEROWS(Table8[[The Golden Compass]:[end]],ROW()-1))</f>
        <v>0</v>
      </c>
      <c r="C1144">
        <f>Table8[[#This Row],[Cumulative 2023 Q4]]+Table8[[#This Row],[Cumulative 2024]]+Table8[[#This Row],[Cumulative 2025]]+Table8[[#This Row],[Cumulative 2026]]</f>
        <v>14505</v>
      </c>
      <c r="D1144">
        <f>IF(YEAR(Table8[[#This Row],[Date]])=2023,B1144,0)+IF(ROW(D1143)=1,0,D1143)</f>
        <v>4195</v>
      </c>
      <c r="E1144">
        <f>MAX(Table8[Cumulative 2023 Q4])</f>
        <v>4195</v>
      </c>
      <c r="F1144">
        <f>IF(YEAR(Table8[[#This Row],[Date]])=2024,B1144,0)+IF(ROW(F1143)=1,0,F1143)</f>
        <v>5831</v>
      </c>
      <c r="G1144">
        <f>MAX(Table8[Cumulative 2024])</f>
        <v>5831</v>
      </c>
      <c r="H1144">
        <f>IF(YEAR(Table8[[#This Row],[Date]])=2025,B1144,0)+IF(ROW(H1143)=1,0,H1143)</f>
        <v>1377</v>
      </c>
      <c r="I1144">
        <f>MAX(Table8[Cumulative 2025])</f>
        <v>1377</v>
      </c>
      <c r="J1144">
        <f>IF(YEAR(Table8[[#This Row],[Date]])=2026,B1144,0)+IF(ROW(J1143)=1,0,J1143)</f>
        <v>3102</v>
      </c>
      <c r="K1144">
        <f>MAX(Table8[Cumulative 2026])</f>
        <v>3102</v>
      </c>
    </row>
    <row r="1145" spans="1:11" x14ac:dyDescent="0.25">
      <c r="A1145" s="1">
        <v>46354</v>
      </c>
      <c r="B1145">
        <f>SUM(_xlfn.CHOOSEROWS(Table8[[The Golden Compass]:[end]],ROW()-1))</f>
        <v>0</v>
      </c>
      <c r="C1145">
        <f>Table8[[#This Row],[Cumulative 2023 Q4]]+Table8[[#This Row],[Cumulative 2024]]+Table8[[#This Row],[Cumulative 2025]]+Table8[[#This Row],[Cumulative 2026]]</f>
        <v>14505</v>
      </c>
      <c r="D1145">
        <f>IF(YEAR(Table8[[#This Row],[Date]])=2023,B1145,0)+IF(ROW(D1144)=1,0,D1144)</f>
        <v>4195</v>
      </c>
      <c r="E1145">
        <f>MAX(Table8[Cumulative 2023 Q4])</f>
        <v>4195</v>
      </c>
      <c r="F1145">
        <f>IF(YEAR(Table8[[#This Row],[Date]])=2024,B1145,0)+IF(ROW(F1144)=1,0,F1144)</f>
        <v>5831</v>
      </c>
      <c r="G1145">
        <f>MAX(Table8[Cumulative 2024])</f>
        <v>5831</v>
      </c>
      <c r="H1145">
        <f>IF(YEAR(Table8[[#This Row],[Date]])=2025,B1145,0)+IF(ROW(H1144)=1,0,H1144)</f>
        <v>1377</v>
      </c>
      <c r="I1145">
        <f>MAX(Table8[Cumulative 2025])</f>
        <v>1377</v>
      </c>
      <c r="J1145">
        <f>IF(YEAR(Table8[[#This Row],[Date]])=2026,B1145,0)+IF(ROW(J1144)=1,0,J1144)</f>
        <v>3102</v>
      </c>
      <c r="K1145">
        <f>MAX(Table8[Cumulative 2026])</f>
        <v>3102</v>
      </c>
    </row>
    <row r="1146" spans="1:11" x14ac:dyDescent="0.25">
      <c r="A1146" s="1">
        <v>46355</v>
      </c>
      <c r="B1146">
        <f>SUM(_xlfn.CHOOSEROWS(Table8[[The Golden Compass]:[end]],ROW()-1))</f>
        <v>0</v>
      </c>
      <c r="C1146">
        <f>Table8[[#This Row],[Cumulative 2023 Q4]]+Table8[[#This Row],[Cumulative 2024]]+Table8[[#This Row],[Cumulative 2025]]+Table8[[#This Row],[Cumulative 2026]]</f>
        <v>14505</v>
      </c>
      <c r="D1146">
        <f>IF(YEAR(Table8[[#This Row],[Date]])=2023,B1146,0)+IF(ROW(D1145)=1,0,D1145)</f>
        <v>4195</v>
      </c>
      <c r="E1146">
        <f>MAX(Table8[Cumulative 2023 Q4])</f>
        <v>4195</v>
      </c>
      <c r="F1146">
        <f>IF(YEAR(Table8[[#This Row],[Date]])=2024,B1146,0)+IF(ROW(F1145)=1,0,F1145)</f>
        <v>5831</v>
      </c>
      <c r="G1146">
        <f>MAX(Table8[Cumulative 2024])</f>
        <v>5831</v>
      </c>
      <c r="H1146">
        <f>IF(YEAR(Table8[[#This Row],[Date]])=2025,B1146,0)+IF(ROW(H1145)=1,0,H1145)</f>
        <v>1377</v>
      </c>
      <c r="I1146">
        <f>MAX(Table8[Cumulative 2025])</f>
        <v>1377</v>
      </c>
      <c r="J1146">
        <f>IF(YEAR(Table8[[#This Row],[Date]])=2026,B1146,0)+IF(ROW(J1145)=1,0,J1145)</f>
        <v>3102</v>
      </c>
      <c r="K1146">
        <f>MAX(Table8[Cumulative 2026])</f>
        <v>3102</v>
      </c>
    </row>
    <row r="1147" spans="1:11" x14ac:dyDescent="0.25">
      <c r="A1147" s="1">
        <v>46356</v>
      </c>
      <c r="B1147">
        <f>SUM(_xlfn.CHOOSEROWS(Table8[[The Golden Compass]:[end]],ROW()-1))</f>
        <v>0</v>
      </c>
      <c r="C1147">
        <f>Table8[[#This Row],[Cumulative 2023 Q4]]+Table8[[#This Row],[Cumulative 2024]]+Table8[[#This Row],[Cumulative 2025]]+Table8[[#This Row],[Cumulative 2026]]</f>
        <v>14505</v>
      </c>
      <c r="D1147">
        <f>IF(YEAR(Table8[[#This Row],[Date]])=2023,B1147,0)+IF(ROW(D1146)=1,0,D1146)</f>
        <v>4195</v>
      </c>
      <c r="E1147">
        <f>MAX(Table8[Cumulative 2023 Q4])</f>
        <v>4195</v>
      </c>
      <c r="F1147">
        <f>IF(YEAR(Table8[[#This Row],[Date]])=2024,B1147,0)+IF(ROW(F1146)=1,0,F1146)</f>
        <v>5831</v>
      </c>
      <c r="G1147">
        <f>MAX(Table8[Cumulative 2024])</f>
        <v>5831</v>
      </c>
      <c r="H1147">
        <f>IF(YEAR(Table8[[#This Row],[Date]])=2025,B1147,0)+IF(ROW(H1146)=1,0,H1146)</f>
        <v>1377</v>
      </c>
      <c r="I1147">
        <f>MAX(Table8[Cumulative 2025])</f>
        <v>1377</v>
      </c>
      <c r="J1147">
        <f>IF(YEAR(Table8[[#This Row],[Date]])=2026,B1147,0)+IF(ROW(J1146)=1,0,J1146)</f>
        <v>3102</v>
      </c>
      <c r="K1147">
        <f>MAX(Table8[Cumulative 2026])</f>
        <v>3102</v>
      </c>
    </row>
    <row r="1148" spans="1:11" x14ac:dyDescent="0.25">
      <c r="A1148" s="1">
        <v>46357</v>
      </c>
      <c r="B1148">
        <f>SUM(_xlfn.CHOOSEROWS(Table8[[The Golden Compass]:[end]],ROW()-1))</f>
        <v>0</v>
      </c>
      <c r="C1148">
        <f>Table8[[#This Row],[Cumulative 2023 Q4]]+Table8[[#This Row],[Cumulative 2024]]+Table8[[#This Row],[Cumulative 2025]]+Table8[[#This Row],[Cumulative 2026]]</f>
        <v>14505</v>
      </c>
      <c r="D1148">
        <f>IF(YEAR(Table8[[#This Row],[Date]])=2023,B1148,0)+IF(ROW(D1147)=1,0,D1147)</f>
        <v>4195</v>
      </c>
      <c r="E1148">
        <f>MAX(Table8[Cumulative 2023 Q4])</f>
        <v>4195</v>
      </c>
      <c r="F1148">
        <f>IF(YEAR(Table8[[#This Row],[Date]])=2024,B1148,0)+IF(ROW(F1147)=1,0,F1147)</f>
        <v>5831</v>
      </c>
      <c r="G1148">
        <f>MAX(Table8[Cumulative 2024])</f>
        <v>5831</v>
      </c>
      <c r="H1148">
        <f>IF(YEAR(Table8[[#This Row],[Date]])=2025,B1148,0)+IF(ROW(H1147)=1,0,H1147)</f>
        <v>1377</v>
      </c>
      <c r="I1148">
        <f>MAX(Table8[Cumulative 2025])</f>
        <v>1377</v>
      </c>
      <c r="J1148">
        <f>IF(YEAR(Table8[[#This Row],[Date]])=2026,B1148,0)+IF(ROW(J1147)=1,0,J1147)</f>
        <v>3102</v>
      </c>
      <c r="K1148">
        <f>MAX(Table8[Cumulative 2026])</f>
        <v>3102</v>
      </c>
    </row>
    <row r="1149" spans="1:11" x14ac:dyDescent="0.25">
      <c r="A1149" s="1">
        <v>46358</v>
      </c>
      <c r="B1149">
        <f>SUM(_xlfn.CHOOSEROWS(Table8[[The Golden Compass]:[end]],ROW()-1))</f>
        <v>0</v>
      </c>
      <c r="C1149">
        <f>Table8[[#This Row],[Cumulative 2023 Q4]]+Table8[[#This Row],[Cumulative 2024]]+Table8[[#This Row],[Cumulative 2025]]+Table8[[#This Row],[Cumulative 2026]]</f>
        <v>14505</v>
      </c>
      <c r="D1149">
        <f>IF(YEAR(Table8[[#This Row],[Date]])=2023,B1149,0)+IF(ROW(D1148)=1,0,D1148)</f>
        <v>4195</v>
      </c>
      <c r="E1149">
        <f>MAX(Table8[Cumulative 2023 Q4])</f>
        <v>4195</v>
      </c>
      <c r="F1149">
        <f>IF(YEAR(Table8[[#This Row],[Date]])=2024,B1149,0)+IF(ROW(F1148)=1,0,F1148)</f>
        <v>5831</v>
      </c>
      <c r="G1149">
        <f>MAX(Table8[Cumulative 2024])</f>
        <v>5831</v>
      </c>
      <c r="H1149">
        <f>IF(YEAR(Table8[[#This Row],[Date]])=2025,B1149,0)+IF(ROW(H1148)=1,0,H1148)</f>
        <v>1377</v>
      </c>
      <c r="I1149">
        <f>MAX(Table8[Cumulative 2025])</f>
        <v>1377</v>
      </c>
      <c r="J1149">
        <f>IF(YEAR(Table8[[#This Row],[Date]])=2026,B1149,0)+IF(ROW(J1148)=1,0,J1148)</f>
        <v>3102</v>
      </c>
      <c r="K1149">
        <f>MAX(Table8[Cumulative 2026])</f>
        <v>3102</v>
      </c>
    </row>
    <row r="1150" spans="1:11" x14ac:dyDescent="0.25">
      <c r="A1150" s="1">
        <v>46359</v>
      </c>
      <c r="B1150">
        <f>SUM(_xlfn.CHOOSEROWS(Table8[[The Golden Compass]:[end]],ROW()-1))</f>
        <v>0</v>
      </c>
      <c r="C1150">
        <f>Table8[[#This Row],[Cumulative 2023 Q4]]+Table8[[#This Row],[Cumulative 2024]]+Table8[[#This Row],[Cumulative 2025]]+Table8[[#This Row],[Cumulative 2026]]</f>
        <v>14505</v>
      </c>
      <c r="D1150">
        <f>IF(YEAR(Table8[[#This Row],[Date]])=2023,B1150,0)+IF(ROW(D1149)=1,0,D1149)</f>
        <v>4195</v>
      </c>
      <c r="E1150">
        <f>MAX(Table8[Cumulative 2023 Q4])</f>
        <v>4195</v>
      </c>
      <c r="F1150">
        <f>IF(YEAR(Table8[[#This Row],[Date]])=2024,B1150,0)+IF(ROW(F1149)=1,0,F1149)</f>
        <v>5831</v>
      </c>
      <c r="G1150">
        <f>MAX(Table8[Cumulative 2024])</f>
        <v>5831</v>
      </c>
      <c r="H1150">
        <f>IF(YEAR(Table8[[#This Row],[Date]])=2025,B1150,0)+IF(ROW(H1149)=1,0,H1149)</f>
        <v>1377</v>
      </c>
      <c r="I1150">
        <f>MAX(Table8[Cumulative 2025])</f>
        <v>1377</v>
      </c>
      <c r="J1150">
        <f>IF(YEAR(Table8[[#This Row],[Date]])=2026,B1150,0)+IF(ROW(J1149)=1,0,J1149)</f>
        <v>3102</v>
      </c>
      <c r="K1150">
        <f>MAX(Table8[Cumulative 2026])</f>
        <v>3102</v>
      </c>
    </row>
    <row r="1151" spans="1:11" x14ac:dyDescent="0.25">
      <c r="A1151" s="1">
        <v>46360</v>
      </c>
      <c r="B1151">
        <f>SUM(_xlfn.CHOOSEROWS(Table8[[The Golden Compass]:[end]],ROW()-1))</f>
        <v>0</v>
      </c>
      <c r="C1151">
        <f>Table8[[#This Row],[Cumulative 2023 Q4]]+Table8[[#This Row],[Cumulative 2024]]+Table8[[#This Row],[Cumulative 2025]]+Table8[[#This Row],[Cumulative 2026]]</f>
        <v>14505</v>
      </c>
      <c r="D1151">
        <f>IF(YEAR(Table8[[#This Row],[Date]])=2023,B1151,0)+IF(ROW(D1150)=1,0,D1150)</f>
        <v>4195</v>
      </c>
      <c r="E1151">
        <f>MAX(Table8[Cumulative 2023 Q4])</f>
        <v>4195</v>
      </c>
      <c r="F1151">
        <f>IF(YEAR(Table8[[#This Row],[Date]])=2024,B1151,0)+IF(ROW(F1150)=1,0,F1150)</f>
        <v>5831</v>
      </c>
      <c r="G1151">
        <f>MAX(Table8[Cumulative 2024])</f>
        <v>5831</v>
      </c>
      <c r="H1151">
        <f>IF(YEAR(Table8[[#This Row],[Date]])=2025,B1151,0)+IF(ROW(H1150)=1,0,H1150)</f>
        <v>1377</v>
      </c>
      <c r="I1151">
        <f>MAX(Table8[Cumulative 2025])</f>
        <v>1377</v>
      </c>
      <c r="J1151">
        <f>IF(YEAR(Table8[[#This Row],[Date]])=2026,B1151,0)+IF(ROW(J1150)=1,0,J1150)</f>
        <v>3102</v>
      </c>
      <c r="K1151">
        <f>MAX(Table8[Cumulative 2026])</f>
        <v>3102</v>
      </c>
    </row>
    <row r="1152" spans="1:11" x14ac:dyDescent="0.25">
      <c r="A1152" s="1">
        <v>46361</v>
      </c>
      <c r="B1152">
        <f>SUM(_xlfn.CHOOSEROWS(Table8[[The Golden Compass]:[end]],ROW()-1))</f>
        <v>0</v>
      </c>
      <c r="C1152">
        <f>Table8[[#This Row],[Cumulative 2023 Q4]]+Table8[[#This Row],[Cumulative 2024]]+Table8[[#This Row],[Cumulative 2025]]+Table8[[#This Row],[Cumulative 2026]]</f>
        <v>14505</v>
      </c>
      <c r="D1152">
        <f>IF(YEAR(Table8[[#This Row],[Date]])=2023,B1152,0)+IF(ROW(D1151)=1,0,D1151)</f>
        <v>4195</v>
      </c>
      <c r="E1152">
        <f>MAX(Table8[Cumulative 2023 Q4])</f>
        <v>4195</v>
      </c>
      <c r="F1152">
        <f>IF(YEAR(Table8[[#This Row],[Date]])=2024,B1152,0)+IF(ROW(F1151)=1,0,F1151)</f>
        <v>5831</v>
      </c>
      <c r="G1152">
        <f>MAX(Table8[Cumulative 2024])</f>
        <v>5831</v>
      </c>
      <c r="H1152">
        <f>IF(YEAR(Table8[[#This Row],[Date]])=2025,B1152,0)+IF(ROW(H1151)=1,0,H1151)</f>
        <v>1377</v>
      </c>
      <c r="I1152">
        <f>MAX(Table8[Cumulative 2025])</f>
        <v>1377</v>
      </c>
      <c r="J1152">
        <f>IF(YEAR(Table8[[#This Row],[Date]])=2026,B1152,0)+IF(ROW(J1151)=1,0,J1151)</f>
        <v>3102</v>
      </c>
      <c r="K1152">
        <f>MAX(Table8[Cumulative 2026])</f>
        <v>3102</v>
      </c>
    </row>
    <row r="1153" spans="1:11" x14ac:dyDescent="0.25">
      <c r="A1153" s="1">
        <v>46362</v>
      </c>
      <c r="B1153">
        <f>SUM(_xlfn.CHOOSEROWS(Table8[[The Golden Compass]:[end]],ROW()-1))</f>
        <v>0</v>
      </c>
      <c r="C1153">
        <f>Table8[[#This Row],[Cumulative 2023 Q4]]+Table8[[#This Row],[Cumulative 2024]]+Table8[[#This Row],[Cumulative 2025]]+Table8[[#This Row],[Cumulative 2026]]</f>
        <v>14505</v>
      </c>
      <c r="D1153">
        <f>IF(YEAR(Table8[[#This Row],[Date]])=2023,B1153,0)+IF(ROW(D1152)=1,0,D1152)</f>
        <v>4195</v>
      </c>
      <c r="E1153">
        <f>MAX(Table8[Cumulative 2023 Q4])</f>
        <v>4195</v>
      </c>
      <c r="F1153">
        <f>IF(YEAR(Table8[[#This Row],[Date]])=2024,B1153,0)+IF(ROW(F1152)=1,0,F1152)</f>
        <v>5831</v>
      </c>
      <c r="G1153">
        <f>MAX(Table8[Cumulative 2024])</f>
        <v>5831</v>
      </c>
      <c r="H1153">
        <f>IF(YEAR(Table8[[#This Row],[Date]])=2025,B1153,0)+IF(ROW(H1152)=1,0,H1152)</f>
        <v>1377</v>
      </c>
      <c r="I1153">
        <f>MAX(Table8[Cumulative 2025])</f>
        <v>1377</v>
      </c>
      <c r="J1153">
        <f>IF(YEAR(Table8[[#This Row],[Date]])=2026,B1153,0)+IF(ROW(J1152)=1,0,J1152)</f>
        <v>3102</v>
      </c>
      <c r="K1153">
        <f>MAX(Table8[Cumulative 2026])</f>
        <v>3102</v>
      </c>
    </row>
    <row r="1154" spans="1:11" x14ac:dyDescent="0.25">
      <c r="A1154" s="1">
        <v>46363</v>
      </c>
      <c r="B1154">
        <f>SUM(_xlfn.CHOOSEROWS(Table8[[The Golden Compass]:[end]],ROW()-1))</f>
        <v>0</v>
      </c>
      <c r="C1154">
        <f>Table8[[#This Row],[Cumulative 2023 Q4]]+Table8[[#This Row],[Cumulative 2024]]+Table8[[#This Row],[Cumulative 2025]]+Table8[[#This Row],[Cumulative 2026]]</f>
        <v>14505</v>
      </c>
      <c r="D1154">
        <f>IF(YEAR(Table8[[#This Row],[Date]])=2023,B1154,0)+IF(ROW(D1153)=1,0,D1153)</f>
        <v>4195</v>
      </c>
      <c r="E1154">
        <f>MAX(Table8[Cumulative 2023 Q4])</f>
        <v>4195</v>
      </c>
      <c r="F1154">
        <f>IF(YEAR(Table8[[#This Row],[Date]])=2024,B1154,0)+IF(ROW(F1153)=1,0,F1153)</f>
        <v>5831</v>
      </c>
      <c r="G1154">
        <f>MAX(Table8[Cumulative 2024])</f>
        <v>5831</v>
      </c>
      <c r="H1154">
        <f>IF(YEAR(Table8[[#This Row],[Date]])=2025,B1154,0)+IF(ROW(H1153)=1,0,H1153)</f>
        <v>1377</v>
      </c>
      <c r="I1154">
        <f>MAX(Table8[Cumulative 2025])</f>
        <v>1377</v>
      </c>
      <c r="J1154">
        <f>IF(YEAR(Table8[[#This Row],[Date]])=2026,B1154,0)+IF(ROW(J1153)=1,0,J1153)</f>
        <v>3102</v>
      </c>
      <c r="K1154">
        <f>MAX(Table8[Cumulative 2026])</f>
        <v>3102</v>
      </c>
    </row>
    <row r="1155" spans="1:11" x14ac:dyDescent="0.25">
      <c r="A1155" s="1">
        <v>46364</v>
      </c>
      <c r="B1155">
        <f>SUM(_xlfn.CHOOSEROWS(Table8[[The Golden Compass]:[end]],ROW()-1))</f>
        <v>0</v>
      </c>
      <c r="C1155">
        <f>Table8[[#This Row],[Cumulative 2023 Q4]]+Table8[[#This Row],[Cumulative 2024]]+Table8[[#This Row],[Cumulative 2025]]+Table8[[#This Row],[Cumulative 2026]]</f>
        <v>14505</v>
      </c>
      <c r="D1155">
        <f>IF(YEAR(Table8[[#This Row],[Date]])=2023,B1155,0)+IF(ROW(D1154)=1,0,D1154)</f>
        <v>4195</v>
      </c>
      <c r="E1155">
        <f>MAX(Table8[Cumulative 2023 Q4])</f>
        <v>4195</v>
      </c>
      <c r="F1155">
        <f>IF(YEAR(Table8[[#This Row],[Date]])=2024,B1155,0)+IF(ROW(F1154)=1,0,F1154)</f>
        <v>5831</v>
      </c>
      <c r="G1155">
        <f>MAX(Table8[Cumulative 2024])</f>
        <v>5831</v>
      </c>
      <c r="H1155">
        <f>IF(YEAR(Table8[[#This Row],[Date]])=2025,B1155,0)+IF(ROW(H1154)=1,0,H1154)</f>
        <v>1377</v>
      </c>
      <c r="I1155">
        <f>MAX(Table8[Cumulative 2025])</f>
        <v>1377</v>
      </c>
      <c r="J1155">
        <f>IF(YEAR(Table8[[#This Row],[Date]])=2026,B1155,0)+IF(ROW(J1154)=1,0,J1154)</f>
        <v>3102</v>
      </c>
      <c r="K1155">
        <f>MAX(Table8[Cumulative 2026])</f>
        <v>3102</v>
      </c>
    </row>
    <row r="1156" spans="1:11" x14ac:dyDescent="0.25">
      <c r="A1156" s="1">
        <v>46365</v>
      </c>
      <c r="B1156">
        <f>SUM(_xlfn.CHOOSEROWS(Table8[[The Golden Compass]:[end]],ROW()-1))</f>
        <v>0</v>
      </c>
      <c r="C1156">
        <f>Table8[[#This Row],[Cumulative 2023 Q4]]+Table8[[#This Row],[Cumulative 2024]]+Table8[[#This Row],[Cumulative 2025]]+Table8[[#This Row],[Cumulative 2026]]</f>
        <v>14505</v>
      </c>
      <c r="D1156">
        <f>IF(YEAR(Table8[[#This Row],[Date]])=2023,B1156,0)+IF(ROW(D1155)=1,0,D1155)</f>
        <v>4195</v>
      </c>
      <c r="E1156">
        <f>MAX(Table8[Cumulative 2023 Q4])</f>
        <v>4195</v>
      </c>
      <c r="F1156">
        <f>IF(YEAR(Table8[[#This Row],[Date]])=2024,B1156,0)+IF(ROW(F1155)=1,0,F1155)</f>
        <v>5831</v>
      </c>
      <c r="G1156">
        <f>MAX(Table8[Cumulative 2024])</f>
        <v>5831</v>
      </c>
      <c r="H1156">
        <f>IF(YEAR(Table8[[#This Row],[Date]])=2025,B1156,0)+IF(ROW(H1155)=1,0,H1155)</f>
        <v>1377</v>
      </c>
      <c r="I1156">
        <f>MAX(Table8[Cumulative 2025])</f>
        <v>1377</v>
      </c>
      <c r="J1156">
        <f>IF(YEAR(Table8[[#This Row],[Date]])=2026,B1156,0)+IF(ROW(J1155)=1,0,J1155)</f>
        <v>3102</v>
      </c>
      <c r="K1156">
        <f>MAX(Table8[Cumulative 2026])</f>
        <v>3102</v>
      </c>
    </row>
    <row r="1157" spans="1:11" x14ac:dyDescent="0.25">
      <c r="A1157" s="1">
        <v>46366</v>
      </c>
      <c r="B1157">
        <f>SUM(_xlfn.CHOOSEROWS(Table8[[The Golden Compass]:[end]],ROW()-1))</f>
        <v>0</v>
      </c>
      <c r="C1157">
        <f>Table8[[#This Row],[Cumulative 2023 Q4]]+Table8[[#This Row],[Cumulative 2024]]+Table8[[#This Row],[Cumulative 2025]]+Table8[[#This Row],[Cumulative 2026]]</f>
        <v>14505</v>
      </c>
      <c r="D1157">
        <f>IF(YEAR(Table8[[#This Row],[Date]])=2023,B1157,0)+IF(ROW(D1156)=1,0,D1156)</f>
        <v>4195</v>
      </c>
      <c r="E1157">
        <f>MAX(Table8[Cumulative 2023 Q4])</f>
        <v>4195</v>
      </c>
      <c r="F1157">
        <f>IF(YEAR(Table8[[#This Row],[Date]])=2024,B1157,0)+IF(ROW(F1156)=1,0,F1156)</f>
        <v>5831</v>
      </c>
      <c r="G1157">
        <f>MAX(Table8[Cumulative 2024])</f>
        <v>5831</v>
      </c>
      <c r="H1157">
        <f>IF(YEAR(Table8[[#This Row],[Date]])=2025,B1157,0)+IF(ROW(H1156)=1,0,H1156)</f>
        <v>1377</v>
      </c>
      <c r="I1157">
        <f>MAX(Table8[Cumulative 2025])</f>
        <v>1377</v>
      </c>
      <c r="J1157">
        <f>IF(YEAR(Table8[[#This Row],[Date]])=2026,B1157,0)+IF(ROW(J1156)=1,0,J1156)</f>
        <v>3102</v>
      </c>
      <c r="K1157">
        <f>MAX(Table8[Cumulative 2026])</f>
        <v>3102</v>
      </c>
    </row>
    <row r="1158" spans="1:11" x14ac:dyDescent="0.25">
      <c r="A1158" s="1">
        <v>46367</v>
      </c>
      <c r="B1158">
        <f>SUM(_xlfn.CHOOSEROWS(Table8[[The Golden Compass]:[end]],ROW()-1))</f>
        <v>0</v>
      </c>
      <c r="C1158">
        <f>Table8[[#This Row],[Cumulative 2023 Q4]]+Table8[[#This Row],[Cumulative 2024]]+Table8[[#This Row],[Cumulative 2025]]+Table8[[#This Row],[Cumulative 2026]]</f>
        <v>14505</v>
      </c>
      <c r="D1158">
        <f>IF(YEAR(Table8[[#This Row],[Date]])=2023,B1158,0)+IF(ROW(D1157)=1,0,D1157)</f>
        <v>4195</v>
      </c>
      <c r="E1158">
        <f>MAX(Table8[Cumulative 2023 Q4])</f>
        <v>4195</v>
      </c>
      <c r="F1158">
        <f>IF(YEAR(Table8[[#This Row],[Date]])=2024,B1158,0)+IF(ROW(F1157)=1,0,F1157)</f>
        <v>5831</v>
      </c>
      <c r="G1158">
        <f>MAX(Table8[Cumulative 2024])</f>
        <v>5831</v>
      </c>
      <c r="H1158">
        <f>IF(YEAR(Table8[[#This Row],[Date]])=2025,B1158,0)+IF(ROW(H1157)=1,0,H1157)</f>
        <v>1377</v>
      </c>
      <c r="I1158">
        <f>MAX(Table8[Cumulative 2025])</f>
        <v>1377</v>
      </c>
      <c r="J1158">
        <f>IF(YEAR(Table8[[#This Row],[Date]])=2026,B1158,0)+IF(ROW(J1157)=1,0,J1157)</f>
        <v>3102</v>
      </c>
      <c r="K1158">
        <f>MAX(Table8[Cumulative 2026])</f>
        <v>3102</v>
      </c>
    </row>
    <row r="1159" spans="1:11" x14ac:dyDescent="0.25">
      <c r="A1159" s="1">
        <v>46368</v>
      </c>
      <c r="B1159">
        <f>SUM(_xlfn.CHOOSEROWS(Table8[[The Golden Compass]:[end]],ROW()-1))</f>
        <v>0</v>
      </c>
      <c r="C1159">
        <f>Table8[[#This Row],[Cumulative 2023 Q4]]+Table8[[#This Row],[Cumulative 2024]]+Table8[[#This Row],[Cumulative 2025]]+Table8[[#This Row],[Cumulative 2026]]</f>
        <v>14505</v>
      </c>
      <c r="D1159">
        <f>IF(YEAR(Table8[[#This Row],[Date]])=2023,B1159,0)+IF(ROW(D1158)=1,0,D1158)</f>
        <v>4195</v>
      </c>
      <c r="E1159">
        <f>MAX(Table8[Cumulative 2023 Q4])</f>
        <v>4195</v>
      </c>
      <c r="F1159">
        <f>IF(YEAR(Table8[[#This Row],[Date]])=2024,B1159,0)+IF(ROW(F1158)=1,0,F1158)</f>
        <v>5831</v>
      </c>
      <c r="G1159">
        <f>MAX(Table8[Cumulative 2024])</f>
        <v>5831</v>
      </c>
      <c r="H1159">
        <f>IF(YEAR(Table8[[#This Row],[Date]])=2025,B1159,0)+IF(ROW(H1158)=1,0,H1158)</f>
        <v>1377</v>
      </c>
      <c r="I1159">
        <f>MAX(Table8[Cumulative 2025])</f>
        <v>1377</v>
      </c>
      <c r="J1159">
        <f>IF(YEAR(Table8[[#This Row],[Date]])=2026,B1159,0)+IF(ROW(J1158)=1,0,J1158)</f>
        <v>3102</v>
      </c>
      <c r="K1159">
        <f>MAX(Table8[Cumulative 2026])</f>
        <v>3102</v>
      </c>
    </row>
    <row r="1160" spans="1:11" x14ac:dyDescent="0.25">
      <c r="A1160" s="1">
        <v>46369</v>
      </c>
      <c r="B1160">
        <f>SUM(_xlfn.CHOOSEROWS(Table8[[The Golden Compass]:[end]],ROW()-1))</f>
        <v>0</v>
      </c>
      <c r="C1160">
        <f>Table8[[#This Row],[Cumulative 2023 Q4]]+Table8[[#This Row],[Cumulative 2024]]+Table8[[#This Row],[Cumulative 2025]]+Table8[[#This Row],[Cumulative 2026]]</f>
        <v>14505</v>
      </c>
      <c r="D1160">
        <f>IF(YEAR(Table8[[#This Row],[Date]])=2023,B1160,0)+IF(ROW(D1159)=1,0,D1159)</f>
        <v>4195</v>
      </c>
      <c r="E1160">
        <f>MAX(Table8[Cumulative 2023 Q4])</f>
        <v>4195</v>
      </c>
      <c r="F1160">
        <f>IF(YEAR(Table8[[#This Row],[Date]])=2024,B1160,0)+IF(ROW(F1159)=1,0,F1159)</f>
        <v>5831</v>
      </c>
      <c r="G1160">
        <f>MAX(Table8[Cumulative 2024])</f>
        <v>5831</v>
      </c>
      <c r="H1160">
        <f>IF(YEAR(Table8[[#This Row],[Date]])=2025,B1160,0)+IF(ROW(H1159)=1,0,H1159)</f>
        <v>1377</v>
      </c>
      <c r="I1160">
        <f>MAX(Table8[Cumulative 2025])</f>
        <v>1377</v>
      </c>
      <c r="J1160">
        <f>IF(YEAR(Table8[[#This Row],[Date]])=2026,B1160,0)+IF(ROW(J1159)=1,0,J1159)</f>
        <v>3102</v>
      </c>
      <c r="K1160">
        <f>MAX(Table8[Cumulative 2026])</f>
        <v>3102</v>
      </c>
    </row>
    <row r="1161" spans="1:11" x14ac:dyDescent="0.25">
      <c r="A1161" s="1">
        <v>46370</v>
      </c>
      <c r="B1161">
        <f>SUM(_xlfn.CHOOSEROWS(Table8[[The Golden Compass]:[end]],ROW()-1))</f>
        <v>0</v>
      </c>
      <c r="C1161">
        <f>Table8[[#This Row],[Cumulative 2023 Q4]]+Table8[[#This Row],[Cumulative 2024]]+Table8[[#This Row],[Cumulative 2025]]+Table8[[#This Row],[Cumulative 2026]]</f>
        <v>14505</v>
      </c>
      <c r="D1161">
        <f>IF(YEAR(Table8[[#This Row],[Date]])=2023,B1161,0)+IF(ROW(D1160)=1,0,D1160)</f>
        <v>4195</v>
      </c>
      <c r="E1161">
        <f>MAX(Table8[Cumulative 2023 Q4])</f>
        <v>4195</v>
      </c>
      <c r="F1161">
        <f>IF(YEAR(Table8[[#This Row],[Date]])=2024,B1161,0)+IF(ROW(F1160)=1,0,F1160)</f>
        <v>5831</v>
      </c>
      <c r="G1161">
        <f>MAX(Table8[Cumulative 2024])</f>
        <v>5831</v>
      </c>
      <c r="H1161">
        <f>IF(YEAR(Table8[[#This Row],[Date]])=2025,B1161,0)+IF(ROW(H1160)=1,0,H1160)</f>
        <v>1377</v>
      </c>
      <c r="I1161">
        <f>MAX(Table8[Cumulative 2025])</f>
        <v>1377</v>
      </c>
      <c r="J1161">
        <f>IF(YEAR(Table8[[#This Row],[Date]])=2026,B1161,0)+IF(ROW(J1160)=1,0,J1160)</f>
        <v>3102</v>
      </c>
      <c r="K1161">
        <f>MAX(Table8[Cumulative 2026])</f>
        <v>3102</v>
      </c>
    </row>
    <row r="1162" spans="1:11" x14ac:dyDescent="0.25">
      <c r="A1162" s="1">
        <v>46371</v>
      </c>
      <c r="B1162">
        <f>SUM(_xlfn.CHOOSEROWS(Table8[[The Golden Compass]:[end]],ROW()-1))</f>
        <v>0</v>
      </c>
      <c r="C1162">
        <f>Table8[[#This Row],[Cumulative 2023 Q4]]+Table8[[#This Row],[Cumulative 2024]]+Table8[[#This Row],[Cumulative 2025]]+Table8[[#This Row],[Cumulative 2026]]</f>
        <v>14505</v>
      </c>
      <c r="D1162">
        <f>IF(YEAR(Table8[[#This Row],[Date]])=2023,B1162,0)+IF(ROW(D1161)=1,0,D1161)</f>
        <v>4195</v>
      </c>
      <c r="E1162">
        <f>MAX(Table8[Cumulative 2023 Q4])</f>
        <v>4195</v>
      </c>
      <c r="F1162">
        <f>IF(YEAR(Table8[[#This Row],[Date]])=2024,B1162,0)+IF(ROW(F1161)=1,0,F1161)</f>
        <v>5831</v>
      </c>
      <c r="G1162">
        <f>MAX(Table8[Cumulative 2024])</f>
        <v>5831</v>
      </c>
      <c r="H1162">
        <f>IF(YEAR(Table8[[#This Row],[Date]])=2025,B1162,0)+IF(ROW(H1161)=1,0,H1161)</f>
        <v>1377</v>
      </c>
      <c r="I1162">
        <f>MAX(Table8[Cumulative 2025])</f>
        <v>1377</v>
      </c>
      <c r="J1162">
        <f>IF(YEAR(Table8[[#This Row],[Date]])=2026,B1162,0)+IF(ROW(J1161)=1,0,J1161)</f>
        <v>3102</v>
      </c>
      <c r="K1162">
        <f>MAX(Table8[Cumulative 2026])</f>
        <v>3102</v>
      </c>
    </row>
    <row r="1163" spans="1:11" x14ac:dyDescent="0.25">
      <c r="A1163" s="1">
        <v>46372</v>
      </c>
      <c r="B1163">
        <f>SUM(_xlfn.CHOOSEROWS(Table8[[The Golden Compass]:[end]],ROW()-1))</f>
        <v>0</v>
      </c>
      <c r="C1163">
        <f>Table8[[#This Row],[Cumulative 2023 Q4]]+Table8[[#This Row],[Cumulative 2024]]+Table8[[#This Row],[Cumulative 2025]]+Table8[[#This Row],[Cumulative 2026]]</f>
        <v>14505</v>
      </c>
      <c r="D1163">
        <f>IF(YEAR(Table8[[#This Row],[Date]])=2023,B1163,0)+IF(ROW(D1162)=1,0,D1162)</f>
        <v>4195</v>
      </c>
      <c r="E1163">
        <f>MAX(Table8[Cumulative 2023 Q4])</f>
        <v>4195</v>
      </c>
      <c r="F1163">
        <f>IF(YEAR(Table8[[#This Row],[Date]])=2024,B1163,0)+IF(ROW(F1162)=1,0,F1162)</f>
        <v>5831</v>
      </c>
      <c r="G1163">
        <f>MAX(Table8[Cumulative 2024])</f>
        <v>5831</v>
      </c>
      <c r="H1163">
        <f>IF(YEAR(Table8[[#This Row],[Date]])=2025,B1163,0)+IF(ROW(H1162)=1,0,H1162)</f>
        <v>1377</v>
      </c>
      <c r="I1163">
        <f>MAX(Table8[Cumulative 2025])</f>
        <v>1377</v>
      </c>
      <c r="J1163">
        <f>IF(YEAR(Table8[[#This Row],[Date]])=2026,B1163,0)+IF(ROW(J1162)=1,0,J1162)</f>
        <v>3102</v>
      </c>
      <c r="K1163">
        <f>MAX(Table8[Cumulative 2026])</f>
        <v>3102</v>
      </c>
    </row>
    <row r="1164" spans="1:11" x14ac:dyDescent="0.25">
      <c r="A1164" s="1">
        <v>46373</v>
      </c>
      <c r="B1164">
        <f>SUM(_xlfn.CHOOSEROWS(Table8[[The Golden Compass]:[end]],ROW()-1))</f>
        <v>0</v>
      </c>
      <c r="C1164">
        <f>Table8[[#This Row],[Cumulative 2023 Q4]]+Table8[[#This Row],[Cumulative 2024]]+Table8[[#This Row],[Cumulative 2025]]+Table8[[#This Row],[Cumulative 2026]]</f>
        <v>14505</v>
      </c>
      <c r="D1164">
        <f>IF(YEAR(Table8[[#This Row],[Date]])=2023,B1164,0)+IF(ROW(D1163)=1,0,D1163)</f>
        <v>4195</v>
      </c>
      <c r="E1164">
        <f>MAX(Table8[Cumulative 2023 Q4])</f>
        <v>4195</v>
      </c>
      <c r="F1164">
        <f>IF(YEAR(Table8[[#This Row],[Date]])=2024,B1164,0)+IF(ROW(F1163)=1,0,F1163)</f>
        <v>5831</v>
      </c>
      <c r="G1164">
        <f>MAX(Table8[Cumulative 2024])</f>
        <v>5831</v>
      </c>
      <c r="H1164">
        <f>IF(YEAR(Table8[[#This Row],[Date]])=2025,B1164,0)+IF(ROW(H1163)=1,0,H1163)</f>
        <v>1377</v>
      </c>
      <c r="I1164">
        <f>MAX(Table8[Cumulative 2025])</f>
        <v>1377</v>
      </c>
      <c r="J1164">
        <f>IF(YEAR(Table8[[#This Row],[Date]])=2026,B1164,0)+IF(ROW(J1163)=1,0,J1163)</f>
        <v>3102</v>
      </c>
      <c r="K1164">
        <f>MAX(Table8[Cumulative 2026])</f>
        <v>3102</v>
      </c>
    </row>
    <row r="1165" spans="1:11" x14ac:dyDescent="0.25">
      <c r="A1165" s="1">
        <v>46374</v>
      </c>
      <c r="B1165">
        <f>SUM(_xlfn.CHOOSEROWS(Table8[[The Golden Compass]:[end]],ROW()-1))</f>
        <v>0</v>
      </c>
      <c r="C1165">
        <f>Table8[[#This Row],[Cumulative 2023 Q4]]+Table8[[#This Row],[Cumulative 2024]]+Table8[[#This Row],[Cumulative 2025]]+Table8[[#This Row],[Cumulative 2026]]</f>
        <v>14505</v>
      </c>
      <c r="D1165">
        <f>IF(YEAR(Table8[[#This Row],[Date]])=2023,B1165,0)+IF(ROW(D1164)=1,0,D1164)</f>
        <v>4195</v>
      </c>
      <c r="E1165">
        <f>MAX(Table8[Cumulative 2023 Q4])</f>
        <v>4195</v>
      </c>
      <c r="F1165">
        <f>IF(YEAR(Table8[[#This Row],[Date]])=2024,B1165,0)+IF(ROW(F1164)=1,0,F1164)</f>
        <v>5831</v>
      </c>
      <c r="G1165">
        <f>MAX(Table8[Cumulative 2024])</f>
        <v>5831</v>
      </c>
      <c r="H1165">
        <f>IF(YEAR(Table8[[#This Row],[Date]])=2025,B1165,0)+IF(ROW(H1164)=1,0,H1164)</f>
        <v>1377</v>
      </c>
      <c r="I1165">
        <f>MAX(Table8[Cumulative 2025])</f>
        <v>1377</v>
      </c>
      <c r="J1165">
        <f>IF(YEAR(Table8[[#This Row],[Date]])=2026,B1165,0)+IF(ROW(J1164)=1,0,J1164)</f>
        <v>3102</v>
      </c>
      <c r="K1165">
        <f>MAX(Table8[Cumulative 2026])</f>
        <v>3102</v>
      </c>
    </row>
    <row r="1166" spans="1:11" x14ac:dyDescent="0.25">
      <c r="A1166" s="1">
        <v>46375</v>
      </c>
      <c r="B1166">
        <f>SUM(_xlfn.CHOOSEROWS(Table8[[The Golden Compass]:[end]],ROW()-1))</f>
        <v>0</v>
      </c>
      <c r="C1166">
        <f>Table8[[#This Row],[Cumulative 2023 Q4]]+Table8[[#This Row],[Cumulative 2024]]+Table8[[#This Row],[Cumulative 2025]]+Table8[[#This Row],[Cumulative 2026]]</f>
        <v>14505</v>
      </c>
      <c r="D1166">
        <f>IF(YEAR(Table8[[#This Row],[Date]])=2023,B1166,0)+IF(ROW(D1165)=1,0,D1165)</f>
        <v>4195</v>
      </c>
      <c r="E1166">
        <f>MAX(Table8[Cumulative 2023 Q4])</f>
        <v>4195</v>
      </c>
      <c r="F1166">
        <f>IF(YEAR(Table8[[#This Row],[Date]])=2024,B1166,0)+IF(ROW(F1165)=1,0,F1165)</f>
        <v>5831</v>
      </c>
      <c r="G1166">
        <f>MAX(Table8[Cumulative 2024])</f>
        <v>5831</v>
      </c>
      <c r="H1166">
        <f>IF(YEAR(Table8[[#This Row],[Date]])=2025,B1166,0)+IF(ROW(H1165)=1,0,H1165)</f>
        <v>1377</v>
      </c>
      <c r="I1166">
        <f>MAX(Table8[Cumulative 2025])</f>
        <v>1377</v>
      </c>
      <c r="J1166">
        <f>IF(YEAR(Table8[[#This Row],[Date]])=2026,B1166,0)+IF(ROW(J1165)=1,0,J1165)</f>
        <v>3102</v>
      </c>
      <c r="K1166">
        <f>MAX(Table8[Cumulative 2026])</f>
        <v>3102</v>
      </c>
    </row>
    <row r="1167" spans="1:11" x14ac:dyDescent="0.25">
      <c r="A1167" s="1">
        <v>46376</v>
      </c>
      <c r="B1167">
        <f>SUM(_xlfn.CHOOSEROWS(Table8[[The Golden Compass]:[end]],ROW()-1))</f>
        <v>0</v>
      </c>
      <c r="C1167">
        <f>Table8[[#This Row],[Cumulative 2023 Q4]]+Table8[[#This Row],[Cumulative 2024]]+Table8[[#This Row],[Cumulative 2025]]+Table8[[#This Row],[Cumulative 2026]]</f>
        <v>14505</v>
      </c>
      <c r="D1167">
        <f>IF(YEAR(Table8[[#This Row],[Date]])=2023,B1167,0)+IF(ROW(D1166)=1,0,D1166)</f>
        <v>4195</v>
      </c>
      <c r="E1167">
        <f>MAX(Table8[Cumulative 2023 Q4])</f>
        <v>4195</v>
      </c>
      <c r="F1167">
        <f>IF(YEAR(Table8[[#This Row],[Date]])=2024,B1167,0)+IF(ROW(F1166)=1,0,F1166)</f>
        <v>5831</v>
      </c>
      <c r="G1167">
        <f>MAX(Table8[Cumulative 2024])</f>
        <v>5831</v>
      </c>
      <c r="H1167">
        <f>IF(YEAR(Table8[[#This Row],[Date]])=2025,B1167,0)+IF(ROW(H1166)=1,0,H1166)</f>
        <v>1377</v>
      </c>
      <c r="I1167">
        <f>MAX(Table8[Cumulative 2025])</f>
        <v>1377</v>
      </c>
      <c r="J1167">
        <f>IF(YEAR(Table8[[#This Row],[Date]])=2026,B1167,0)+IF(ROW(J1166)=1,0,J1166)</f>
        <v>3102</v>
      </c>
      <c r="K1167">
        <f>MAX(Table8[Cumulative 2026])</f>
        <v>3102</v>
      </c>
    </row>
    <row r="1168" spans="1:11" x14ac:dyDescent="0.25">
      <c r="A1168" s="1">
        <v>46377</v>
      </c>
      <c r="B1168">
        <f>SUM(_xlfn.CHOOSEROWS(Table8[[The Golden Compass]:[end]],ROW()-1))</f>
        <v>0</v>
      </c>
      <c r="C1168">
        <f>Table8[[#This Row],[Cumulative 2023 Q4]]+Table8[[#This Row],[Cumulative 2024]]+Table8[[#This Row],[Cumulative 2025]]+Table8[[#This Row],[Cumulative 2026]]</f>
        <v>14505</v>
      </c>
      <c r="D1168">
        <f>IF(YEAR(Table8[[#This Row],[Date]])=2023,B1168,0)+IF(ROW(D1167)=1,0,D1167)</f>
        <v>4195</v>
      </c>
      <c r="E1168">
        <f>MAX(Table8[Cumulative 2023 Q4])</f>
        <v>4195</v>
      </c>
      <c r="F1168">
        <f>IF(YEAR(Table8[[#This Row],[Date]])=2024,B1168,0)+IF(ROW(F1167)=1,0,F1167)</f>
        <v>5831</v>
      </c>
      <c r="G1168">
        <f>MAX(Table8[Cumulative 2024])</f>
        <v>5831</v>
      </c>
      <c r="H1168">
        <f>IF(YEAR(Table8[[#This Row],[Date]])=2025,B1168,0)+IF(ROW(H1167)=1,0,H1167)</f>
        <v>1377</v>
      </c>
      <c r="I1168">
        <f>MAX(Table8[Cumulative 2025])</f>
        <v>1377</v>
      </c>
      <c r="J1168">
        <f>IF(YEAR(Table8[[#This Row],[Date]])=2026,B1168,0)+IF(ROW(J1167)=1,0,J1167)</f>
        <v>3102</v>
      </c>
      <c r="K1168">
        <f>MAX(Table8[Cumulative 2026])</f>
        <v>3102</v>
      </c>
    </row>
    <row r="1169" spans="1:11" x14ac:dyDescent="0.25">
      <c r="A1169" s="1">
        <v>46378</v>
      </c>
      <c r="B1169">
        <f>SUM(_xlfn.CHOOSEROWS(Table8[[The Golden Compass]:[end]],ROW()-1))</f>
        <v>0</v>
      </c>
      <c r="C1169">
        <f>Table8[[#This Row],[Cumulative 2023 Q4]]+Table8[[#This Row],[Cumulative 2024]]+Table8[[#This Row],[Cumulative 2025]]+Table8[[#This Row],[Cumulative 2026]]</f>
        <v>14505</v>
      </c>
      <c r="D1169">
        <f>IF(YEAR(Table8[[#This Row],[Date]])=2023,B1169,0)+IF(ROW(D1168)=1,0,D1168)</f>
        <v>4195</v>
      </c>
      <c r="E1169">
        <f>MAX(Table8[Cumulative 2023 Q4])</f>
        <v>4195</v>
      </c>
      <c r="F1169">
        <f>IF(YEAR(Table8[[#This Row],[Date]])=2024,B1169,0)+IF(ROW(F1168)=1,0,F1168)</f>
        <v>5831</v>
      </c>
      <c r="G1169">
        <f>MAX(Table8[Cumulative 2024])</f>
        <v>5831</v>
      </c>
      <c r="H1169">
        <f>IF(YEAR(Table8[[#This Row],[Date]])=2025,B1169,0)+IF(ROW(H1168)=1,0,H1168)</f>
        <v>1377</v>
      </c>
      <c r="I1169">
        <f>MAX(Table8[Cumulative 2025])</f>
        <v>1377</v>
      </c>
      <c r="J1169">
        <f>IF(YEAR(Table8[[#This Row],[Date]])=2026,B1169,0)+IF(ROW(J1168)=1,0,J1168)</f>
        <v>3102</v>
      </c>
      <c r="K1169">
        <f>MAX(Table8[Cumulative 2026])</f>
        <v>3102</v>
      </c>
    </row>
    <row r="1170" spans="1:11" x14ac:dyDescent="0.25">
      <c r="A1170" s="1">
        <v>46379</v>
      </c>
      <c r="B1170">
        <f>SUM(_xlfn.CHOOSEROWS(Table8[[The Golden Compass]:[end]],ROW()-1))</f>
        <v>0</v>
      </c>
      <c r="C1170">
        <f>Table8[[#This Row],[Cumulative 2023 Q4]]+Table8[[#This Row],[Cumulative 2024]]+Table8[[#This Row],[Cumulative 2025]]+Table8[[#This Row],[Cumulative 2026]]</f>
        <v>14505</v>
      </c>
      <c r="D1170">
        <f>IF(YEAR(Table8[[#This Row],[Date]])=2023,B1170,0)+IF(ROW(D1169)=1,0,D1169)</f>
        <v>4195</v>
      </c>
      <c r="E1170">
        <f>MAX(Table8[Cumulative 2023 Q4])</f>
        <v>4195</v>
      </c>
      <c r="F1170">
        <f>IF(YEAR(Table8[[#This Row],[Date]])=2024,B1170,0)+IF(ROW(F1169)=1,0,F1169)</f>
        <v>5831</v>
      </c>
      <c r="G1170">
        <f>MAX(Table8[Cumulative 2024])</f>
        <v>5831</v>
      </c>
      <c r="H1170">
        <f>IF(YEAR(Table8[[#This Row],[Date]])=2025,B1170,0)+IF(ROW(H1169)=1,0,H1169)</f>
        <v>1377</v>
      </c>
      <c r="I1170">
        <f>MAX(Table8[Cumulative 2025])</f>
        <v>1377</v>
      </c>
      <c r="J1170">
        <f>IF(YEAR(Table8[[#This Row],[Date]])=2026,B1170,0)+IF(ROW(J1169)=1,0,J1169)</f>
        <v>3102</v>
      </c>
      <c r="K1170">
        <f>MAX(Table8[Cumulative 2026])</f>
        <v>3102</v>
      </c>
    </row>
    <row r="1171" spans="1:11" x14ac:dyDescent="0.25">
      <c r="A1171" s="1">
        <v>46380</v>
      </c>
      <c r="B1171">
        <f>SUM(_xlfn.CHOOSEROWS(Table8[[The Golden Compass]:[end]],ROW()-1))</f>
        <v>0</v>
      </c>
      <c r="C1171">
        <f>Table8[[#This Row],[Cumulative 2023 Q4]]+Table8[[#This Row],[Cumulative 2024]]+Table8[[#This Row],[Cumulative 2025]]+Table8[[#This Row],[Cumulative 2026]]</f>
        <v>14505</v>
      </c>
      <c r="D1171">
        <f>IF(YEAR(Table8[[#This Row],[Date]])=2023,B1171,0)+IF(ROW(D1170)=1,0,D1170)</f>
        <v>4195</v>
      </c>
      <c r="E1171">
        <f>MAX(Table8[Cumulative 2023 Q4])</f>
        <v>4195</v>
      </c>
      <c r="F1171">
        <f>IF(YEAR(Table8[[#This Row],[Date]])=2024,B1171,0)+IF(ROW(F1170)=1,0,F1170)</f>
        <v>5831</v>
      </c>
      <c r="G1171">
        <f>MAX(Table8[Cumulative 2024])</f>
        <v>5831</v>
      </c>
      <c r="H1171">
        <f>IF(YEAR(Table8[[#This Row],[Date]])=2025,B1171,0)+IF(ROW(H1170)=1,0,H1170)</f>
        <v>1377</v>
      </c>
      <c r="I1171">
        <f>MAX(Table8[Cumulative 2025])</f>
        <v>1377</v>
      </c>
      <c r="J1171">
        <f>IF(YEAR(Table8[[#This Row],[Date]])=2026,B1171,0)+IF(ROW(J1170)=1,0,J1170)</f>
        <v>3102</v>
      </c>
      <c r="K1171">
        <f>MAX(Table8[Cumulative 2026])</f>
        <v>3102</v>
      </c>
    </row>
    <row r="1172" spans="1:11" x14ac:dyDescent="0.25">
      <c r="A1172" s="1">
        <v>46381</v>
      </c>
      <c r="B1172">
        <f>SUM(_xlfn.CHOOSEROWS(Table8[[The Golden Compass]:[end]],ROW()-1))</f>
        <v>0</v>
      </c>
      <c r="C1172">
        <f>Table8[[#This Row],[Cumulative 2023 Q4]]+Table8[[#This Row],[Cumulative 2024]]+Table8[[#This Row],[Cumulative 2025]]+Table8[[#This Row],[Cumulative 2026]]</f>
        <v>14505</v>
      </c>
      <c r="D1172">
        <f>IF(YEAR(Table8[[#This Row],[Date]])=2023,B1172,0)+IF(ROW(D1171)=1,0,D1171)</f>
        <v>4195</v>
      </c>
      <c r="E1172">
        <f>MAX(Table8[Cumulative 2023 Q4])</f>
        <v>4195</v>
      </c>
      <c r="F1172">
        <f>IF(YEAR(Table8[[#This Row],[Date]])=2024,B1172,0)+IF(ROW(F1171)=1,0,F1171)</f>
        <v>5831</v>
      </c>
      <c r="G1172">
        <f>MAX(Table8[Cumulative 2024])</f>
        <v>5831</v>
      </c>
      <c r="H1172">
        <f>IF(YEAR(Table8[[#This Row],[Date]])=2025,B1172,0)+IF(ROW(H1171)=1,0,H1171)</f>
        <v>1377</v>
      </c>
      <c r="I1172">
        <f>MAX(Table8[Cumulative 2025])</f>
        <v>1377</v>
      </c>
      <c r="J1172">
        <f>IF(YEAR(Table8[[#This Row],[Date]])=2026,B1172,0)+IF(ROW(J1171)=1,0,J1171)</f>
        <v>3102</v>
      </c>
      <c r="K1172">
        <f>MAX(Table8[Cumulative 2026])</f>
        <v>3102</v>
      </c>
    </row>
    <row r="1173" spans="1:11" x14ac:dyDescent="0.25">
      <c r="A1173" s="1">
        <v>46382</v>
      </c>
      <c r="B1173">
        <f>SUM(_xlfn.CHOOSEROWS(Table8[[The Golden Compass]:[end]],ROW()-1))</f>
        <v>0</v>
      </c>
      <c r="C1173">
        <f>Table8[[#This Row],[Cumulative 2023 Q4]]+Table8[[#This Row],[Cumulative 2024]]+Table8[[#This Row],[Cumulative 2025]]+Table8[[#This Row],[Cumulative 2026]]</f>
        <v>14505</v>
      </c>
      <c r="D1173">
        <f>IF(YEAR(Table8[[#This Row],[Date]])=2023,B1173,0)+IF(ROW(D1172)=1,0,D1172)</f>
        <v>4195</v>
      </c>
      <c r="E1173">
        <f>MAX(Table8[Cumulative 2023 Q4])</f>
        <v>4195</v>
      </c>
      <c r="F1173">
        <f>IF(YEAR(Table8[[#This Row],[Date]])=2024,B1173,0)+IF(ROW(F1172)=1,0,F1172)</f>
        <v>5831</v>
      </c>
      <c r="G1173">
        <f>MAX(Table8[Cumulative 2024])</f>
        <v>5831</v>
      </c>
      <c r="H1173">
        <f>IF(YEAR(Table8[[#This Row],[Date]])=2025,B1173,0)+IF(ROW(H1172)=1,0,H1172)</f>
        <v>1377</v>
      </c>
      <c r="I1173">
        <f>MAX(Table8[Cumulative 2025])</f>
        <v>1377</v>
      </c>
      <c r="J1173">
        <f>IF(YEAR(Table8[[#This Row],[Date]])=2026,B1173,0)+IF(ROW(J1172)=1,0,J1172)</f>
        <v>3102</v>
      </c>
      <c r="K1173">
        <f>MAX(Table8[Cumulative 2026])</f>
        <v>3102</v>
      </c>
    </row>
    <row r="1174" spans="1:11" x14ac:dyDescent="0.25">
      <c r="A1174" s="1">
        <v>46383</v>
      </c>
      <c r="B1174">
        <f>SUM(_xlfn.CHOOSEROWS(Table8[[The Golden Compass]:[end]],ROW()-1))</f>
        <v>0</v>
      </c>
      <c r="C1174">
        <f>Table8[[#This Row],[Cumulative 2023 Q4]]+Table8[[#This Row],[Cumulative 2024]]+Table8[[#This Row],[Cumulative 2025]]+Table8[[#This Row],[Cumulative 2026]]</f>
        <v>14505</v>
      </c>
      <c r="D1174">
        <f>IF(YEAR(Table8[[#This Row],[Date]])=2023,B1174,0)+IF(ROW(D1173)=1,0,D1173)</f>
        <v>4195</v>
      </c>
      <c r="E1174">
        <f>MAX(Table8[Cumulative 2023 Q4])</f>
        <v>4195</v>
      </c>
      <c r="F1174">
        <f>IF(YEAR(Table8[[#This Row],[Date]])=2024,B1174,0)+IF(ROW(F1173)=1,0,F1173)</f>
        <v>5831</v>
      </c>
      <c r="G1174">
        <f>MAX(Table8[Cumulative 2024])</f>
        <v>5831</v>
      </c>
      <c r="H1174">
        <f>IF(YEAR(Table8[[#This Row],[Date]])=2025,B1174,0)+IF(ROW(H1173)=1,0,H1173)</f>
        <v>1377</v>
      </c>
      <c r="I1174">
        <f>MAX(Table8[Cumulative 2025])</f>
        <v>1377</v>
      </c>
      <c r="J1174">
        <f>IF(YEAR(Table8[[#This Row],[Date]])=2026,B1174,0)+IF(ROW(J1173)=1,0,J1173)</f>
        <v>3102</v>
      </c>
      <c r="K1174">
        <f>MAX(Table8[Cumulative 2026])</f>
        <v>3102</v>
      </c>
    </row>
    <row r="1175" spans="1:11" x14ac:dyDescent="0.25">
      <c r="A1175" s="1">
        <v>46384</v>
      </c>
      <c r="B1175">
        <f>SUM(_xlfn.CHOOSEROWS(Table8[[The Golden Compass]:[end]],ROW()-1))</f>
        <v>0</v>
      </c>
      <c r="C1175">
        <f>Table8[[#This Row],[Cumulative 2023 Q4]]+Table8[[#This Row],[Cumulative 2024]]+Table8[[#This Row],[Cumulative 2025]]+Table8[[#This Row],[Cumulative 2026]]</f>
        <v>14505</v>
      </c>
      <c r="D1175">
        <f>IF(YEAR(Table8[[#This Row],[Date]])=2023,B1175,0)+IF(ROW(D1174)=1,0,D1174)</f>
        <v>4195</v>
      </c>
      <c r="E1175">
        <f>MAX(Table8[Cumulative 2023 Q4])</f>
        <v>4195</v>
      </c>
      <c r="F1175">
        <f>IF(YEAR(Table8[[#This Row],[Date]])=2024,B1175,0)+IF(ROW(F1174)=1,0,F1174)</f>
        <v>5831</v>
      </c>
      <c r="G1175">
        <f>MAX(Table8[Cumulative 2024])</f>
        <v>5831</v>
      </c>
      <c r="H1175">
        <f>IF(YEAR(Table8[[#This Row],[Date]])=2025,B1175,0)+IF(ROW(H1174)=1,0,H1174)</f>
        <v>1377</v>
      </c>
      <c r="I1175">
        <f>MAX(Table8[Cumulative 2025])</f>
        <v>1377</v>
      </c>
      <c r="J1175">
        <f>IF(YEAR(Table8[[#This Row],[Date]])=2026,B1175,0)+IF(ROW(J1174)=1,0,J1174)</f>
        <v>3102</v>
      </c>
      <c r="K1175">
        <f>MAX(Table8[Cumulative 2026])</f>
        <v>3102</v>
      </c>
    </row>
    <row r="1176" spans="1:11" x14ac:dyDescent="0.25">
      <c r="A1176" s="1">
        <v>46385</v>
      </c>
      <c r="B1176">
        <f>SUM(_xlfn.CHOOSEROWS(Table8[[The Golden Compass]:[end]],ROW()-1))</f>
        <v>0</v>
      </c>
      <c r="C1176">
        <f>Table8[[#This Row],[Cumulative 2023 Q4]]+Table8[[#This Row],[Cumulative 2024]]+Table8[[#This Row],[Cumulative 2025]]+Table8[[#This Row],[Cumulative 2026]]</f>
        <v>14505</v>
      </c>
      <c r="D1176">
        <f>IF(YEAR(Table8[[#This Row],[Date]])=2023,B1176,0)+IF(ROW(D1175)=1,0,D1175)</f>
        <v>4195</v>
      </c>
      <c r="E1176">
        <f>MAX(Table8[Cumulative 2023 Q4])</f>
        <v>4195</v>
      </c>
      <c r="F1176">
        <f>IF(YEAR(Table8[[#This Row],[Date]])=2024,B1176,0)+IF(ROW(F1175)=1,0,F1175)</f>
        <v>5831</v>
      </c>
      <c r="G1176">
        <f>MAX(Table8[Cumulative 2024])</f>
        <v>5831</v>
      </c>
      <c r="H1176">
        <f>IF(YEAR(Table8[[#This Row],[Date]])=2025,B1176,0)+IF(ROW(H1175)=1,0,H1175)</f>
        <v>1377</v>
      </c>
      <c r="I1176">
        <f>MAX(Table8[Cumulative 2025])</f>
        <v>1377</v>
      </c>
      <c r="J1176">
        <f>IF(YEAR(Table8[[#This Row],[Date]])=2026,B1176,0)+IF(ROW(J1175)=1,0,J1175)</f>
        <v>3102</v>
      </c>
      <c r="K1176">
        <f>MAX(Table8[Cumulative 2026])</f>
        <v>3102</v>
      </c>
    </row>
    <row r="1177" spans="1:11" x14ac:dyDescent="0.25">
      <c r="A1177" s="1">
        <v>46386</v>
      </c>
      <c r="B1177">
        <f>SUM(_xlfn.CHOOSEROWS(Table8[[The Golden Compass]:[end]],ROW()-1))</f>
        <v>0</v>
      </c>
      <c r="C1177">
        <f>Table8[[#This Row],[Cumulative 2023 Q4]]+Table8[[#This Row],[Cumulative 2024]]+Table8[[#This Row],[Cumulative 2025]]+Table8[[#This Row],[Cumulative 2026]]</f>
        <v>14505</v>
      </c>
      <c r="D1177">
        <f>IF(YEAR(Table8[[#This Row],[Date]])=2023,B1177,0)+IF(ROW(D1176)=1,0,D1176)</f>
        <v>4195</v>
      </c>
      <c r="E1177">
        <f>MAX(Table8[Cumulative 2023 Q4])</f>
        <v>4195</v>
      </c>
      <c r="F1177">
        <f>IF(YEAR(Table8[[#This Row],[Date]])=2024,B1177,0)+IF(ROW(F1176)=1,0,F1176)</f>
        <v>5831</v>
      </c>
      <c r="G1177">
        <f>MAX(Table8[Cumulative 2024])</f>
        <v>5831</v>
      </c>
      <c r="H1177">
        <f>IF(YEAR(Table8[[#This Row],[Date]])=2025,B1177,0)+IF(ROW(H1176)=1,0,H1176)</f>
        <v>1377</v>
      </c>
      <c r="I1177">
        <f>MAX(Table8[Cumulative 2025])</f>
        <v>1377</v>
      </c>
      <c r="J1177">
        <f>IF(YEAR(Table8[[#This Row],[Date]])=2026,B1177,0)+IF(ROW(J1176)=1,0,J1176)</f>
        <v>3102</v>
      </c>
      <c r="K1177">
        <f>MAX(Table8[Cumulative 2026])</f>
        <v>3102</v>
      </c>
    </row>
    <row r="1178" spans="1:11" x14ac:dyDescent="0.25">
      <c r="A1178" s="1">
        <v>46387</v>
      </c>
      <c r="B1178">
        <f>SUM(_xlfn.CHOOSEROWS(Table8[[The Golden Compass]:[end]],ROW()-1))</f>
        <v>0</v>
      </c>
      <c r="C1178">
        <f>Table8[[#This Row],[Cumulative 2023 Q4]]+Table8[[#This Row],[Cumulative 2024]]+Table8[[#This Row],[Cumulative 2025]]+Table8[[#This Row],[Cumulative 2026]]</f>
        <v>14505</v>
      </c>
      <c r="D1178">
        <f>IF(YEAR(Table8[[#This Row],[Date]])=2023,B1178,0)+IF(ROW(D1177)=1,0,D1177)</f>
        <v>4195</v>
      </c>
      <c r="E1178">
        <f>MAX(Table8[Cumulative 2023 Q4])</f>
        <v>4195</v>
      </c>
      <c r="F1178">
        <f>IF(YEAR(Table8[[#This Row],[Date]])=2024,B1178,0)+IF(ROW(F1177)=1,0,F1177)</f>
        <v>5831</v>
      </c>
      <c r="G1178">
        <f>MAX(Table8[Cumulative 2024])</f>
        <v>5831</v>
      </c>
      <c r="H1178">
        <f>IF(YEAR(Table8[[#This Row],[Date]])=2025,B1178,0)+IF(ROW(H1177)=1,0,H1177)</f>
        <v>1377</v>
      </c>
      <c r="I1178">
        <f>MAX(Table8[Cumulative 2025])</f>
        <v>1377</v>
      </c>
      <c r="J1178">
        <f>IF(YEAR(Table8[[#This Row],[Date]])=2026,B1178,0)+IF(ROW(J1177)=1,0,J1177)</f>
        <v>3102</v>
      </c>
      <c r="K1178">
        <f>MAX(Table8[Cumulative 2026])</f>
        <v>3102</v>
      </c>
    </row>
  </sheetData>
  <phoneticPr fontId="2" type="noConversion"/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238C-490A-46D6-B216-F456E0729C95}">
  <dimension ref="V1:AW367"/>
  <sheetViews>
    <sheetView workbookViewId="0"/>
  </sheetViews>
  <sheetFormatPr defaultRowHeight="15" x14ac:dyDescent="0.25"/>
  <cols>
    <col min="22" max="22" width="53.7109375" customWidth="1"/>
    <col min="23" max="23" width="10.5703125" bestFit="1" customWidth="1"/>
    <col min="24" max="24" width="10.42578125" bestFit="1" customWidth="1"/>
    <col min="25" max="25" width="14" bestFit="1" customWidth="1"/>
    <col min="26" max="26" width="12.42578125" bestFit="1" customWidth="1"/>
    <col min="27" max="27" width="12.85546875" bestFit="1" customWidth="1"/>
    <col min="28" max="28" width="8.42578125" bestFit="1" customWidth="1"/>
    <col min="29" max="29" width="9.42578125" bestFit="1" customWidth="1"/>
    <col min="39" max="39" width="6.85546875" bestFit="1" customWidth="1"/>
    <col min="40" max="40" width="4.28515625" bestFit="1" customWidth="1"/>
    <col min="41" max="41" width="5.85546875" bestFit="1" customWidth="1"/>
    <col min="42" max="42" width="4" bestFit="1" customWidth="1"/>
    <col min="43" max="43" width="5" bestFit="1" customWidth="1"/>
    <col min="44" max="44" width="4" bestFit="1" customWidth="1"/>
    <col min="45" max="45" width="5" bestFit="1" customWidth="1"/>
    <col min="46" max="46" width="4" bestFit="1" customWidth="1"/>
    <col min="47" max="47" width="5" bestFit="1" customWidth="1"/>
    <col min="48" max="49" width="6" bestFit="1" customWidth="1"/>
  </cols>
  <sheetData>
    <row r="1" spans="22:49" x14ac:dyDescent="0.25">
      <c r="V1" t="s">
        <v>71</v>
      </c>
      <c r="W1" t="s">
        <v>87</v>
      </c>
      <c r="X1" t="s">
        <v>72</v>
      </c>
      <c r="Y1" t="s">
        <v>73</v>
      </c>
      <c r="Z1" t="s">
        <v>74</v>
      </c>
      <c r="AA1" t="s">
        <v>96</v>
      </c>
      <c r="AB1" t="s">
        <v>97</v>
      </c>
      <c r="AC1" t="s">
        <v>98</v>
      </c>
      <c r="AF1" t="s">
        <v>76</v>
      </c>
      <c r="AG1" t="s">
        <v>77</v>
      </c>
      <c r="AH1" t="s">
        <v>78</v>
      </c>
      <c r="AI1" t="s">
        <v>82</v>
      </c>
      <c r="AK1" t="s">
        <v>60</v>
      </c>
      <c r="AL1" s="3" t="s">
        <v>100</v>
      </c>
      <c r="AM1" t="s">
        <v>68</v>
      </c>
      <c r="AN1" t="s">
        <v>69</v>
      </c>
      <c r="AO1" t="s">
        <v>70</v>
      </c>
      <c r="AP1" s="7">
        <v>2023</v>
      </c>
      <c r="AQ1" s="7"/>
      <c r="AR1" s="7">
        <v>2024</v>
      </c>
      <c r="AS1" s="7"/>
      <c r="AT1" s="7">
        <v>2025</v>
      </c>
      <c r="AU1" s="7"/>
      <c r="AV1" s="7">
        <v>2026</v>
      </c>
      <c r="AW1" s="7"/>
    </row>
    <row r="2" spans="22:49" x14ac:dyDescent="0.25">
      <c r="V2" t="s">
        <v>11</v>
      </c>
      <c r="W2">
        <f>_xlfn.IFNA(_xlfn.XMATCH(books[[#This Row],[Book]],Table8[[#Headers],[The Golden Compass]:[end]]),-1)</f>
        <v>1</v>
      </c>
      <c r="X2">
        <v>1</v>
      </c>
      <c r="Y2">
        <v>1</v>
      </c>
      <c r="Z2">
        <v>1</v>
      </c>
      <c r="AA2">
        <f>_xlfn.IFNA(SUM(INDEX(Table8[],,_xlfn.XMATCH(books[[#This Row],[Book]],Table8[#Headers]))),0)</f>
        <v>399</v>
      </c>
      <c r="AB2">
        <v>399</v>
      </c>
      <c r="AC2" s="2">
        <f>IF(ISBLANK(books[[#This Row],[pages]]),"",books[[#This Row],[pages read]]/books[[#This Row],[pages]])</f>
        <v>1</v>
      </c>
      <c r="AE2">
        <v>2023</v>
      </c>
      <c r="AF2">
        <v>2</v>
      </c>
      <c r="AG2">
        <v>82</v>
      </c>
      <c r="AH2" t="s">
        <v>79</v>
      </c>
      <c r="AI2" t="s">
        <v>83</v>
      </c>
      <c r="AK2" s="5">
        <v>46145</v>
      </c>
      <c r="AL2" t="s">
        <v>103</v>
      </c>
      <c r="AM2">
        <v>1</v>
      </c>
      <c r="AN2">
        <v>1</v>
      </c>
      <c r="AO2" t="str">
        <f>_xlfn.CONCAT(AM2,"/",AN2)</f>
        <v>1/1</v>
      </c>
      <c r="AP2" cm="1">
        <f t="array" ref="AP2">_xlfn._xlws.FILTER(Table8[[Day Total]:[Day Total]],(MONTH(Table8[[Date]:[Date]])=$AM2)*(DAY(Table8[[Date]:[Date]])=$AN2)*(YEAR(Table8[[Date]:[Date]])=AP$1),0)</f>
        <v>0</v>
      </c>
      <c r="AR2" cm="1">
        <f t="array" ref="AR2">_xlfn._xlws.FILTER(Table8[[Day Total]:[Day Total]],(MONTH(Table8[[Date]:[Date]])=$AM2)*(DAY(Table8[[Date]:[Date]])=$AN2)*(YEAR(Table8[[Date]:[Date]])=AR$1),0)</f>
        <v>102</v>
      </c>
      <c r="AS2">
        <f t="shared" ref="AS2:AS65" si="0">AS1+AR2</f>
        <v>102</v>
      </c>
      <c r="AT2" cm="1">
        <f t="array" ref="AT2">_xlfn._xlws.FILTER(Table8[[Day Total]:[Day Total]],(MONTH(Table8[[Date]:[Date]])=$AM2)*(DAY(Table8[[Date]:[Date]])=$AN2)*(YEAR(Table8[[Date]:[Date]])=AT$1),0)</f>
        <v>0</v>
      </c>
      <c r="AV2" cm="1">
        <f t="array" ref="AV2">_xlfn._xlws.FILTER(Table8[[Day Total]:[Day Total]],(MONTH(Table8[[Date]:[Date]])=$AM2)*(DAY(Table8[[Date]:[Date]])=$AN2)*(YEAR(Table8[[Date]:[Date]])=AV$1),0)</f>
        <v>0</v>
      </c>
    </row>
    <row r="3" spans="22:49" x14ac:dyDescent="0.25">
      <c r="V3" t="s">
        <v>12</v>
      </c>
      <c r="W3">
        <f>_xlfn.IFNA(_xlfn.XMATCH(books[[#This Row],[Book]],Table8[[#Headers],[The Golden Compass]:[end]]),-1)</f>
        <v>2</v>
      </c>
      <c r="X3">
        <v>2</v>
      </c>
      <c r="Y3">
        <v>2</v>
      </c>
      <c r="Z3">
        <v>2</v>
      </c>
      <c r="AA3">
        <f>_xlfn.IFNA(SUM(INDEX(Table8[],,_xlfn.XMATCH(books[[#This Row],[Book]],Table8[#Headers]))),0)</f>
        <v>520</v>
      </c>
      <c r="AB3">
        <v>520</v>
      </c>
      <c r="AC3" s="2">
        <f>IF(ISBLANK(books[[#This Row],[pages]]),"",books[[#This Row],[pages read]]/books[[#This Row],[pages]])</f>
        <v>1</v>
      </c>
      <c r="AE3">
        <v>2024</v>
      </c>
      <c r="AF3">
        <v>83</v>
      </c>
      <c r="AG3">
        <v>448</v>
      </c>
      <c r="AH3" t="s">
        <v>1</v>
      </c>
      <c r="AI3" t="s">
        <v>84</v>
      </c>
      <c r="AK3" s="5">
        <v>46146</v>
      </c>
      <c r="AM3">
        <v>1</v>
      </c>
      <c r="AN3">
        <v>2</v>
      </c>
      <c r="AO3" t="str">
        <f t="shared" ref="AO3:AO66" si="1">_xlfn.CONCAT(AM3,"/",AN3)</f>
        <v>1/2</v>
      </c>
      <c r="AP3" cm="1">
        <f t="array" ref="AP3">_xlfn._xlws.FILTER(Table8[[Day Total]:[Day Total]],(MONTH(Table8[[Date]:[Date]])=$AM3)*(DAY(Table8[[Date]:[Date]])=$AN3)*(YEAR(Table8[[Date]:[Date]])=AP$1),0)</f>
        <v>0</v>
      </c>
      <c r="AR3" cm="1">
        <f t="array" ref="AR3">_xlfn._xlws.FILTER(Table8[[Day Total]:[Day Total]],(MONTH(Table8[[Date]:[Date]])=$AM3)*(DAY(Table8[[Date]:[Date]])=$AN3)*(YEAR(Table8[[Date]:[Date]])=AR$1),0)</f>
        <v>153</v>
      </c>
      <c r="AS3">
        <f t="shared" si="0"/>
        <v>255</v>
      </c>
      <c r="AT3" cm="1">
        <f t="array" ref="AT3">_xlfn._xlws.FILTER(Table8[[Day Total]:[Day Total]],(MONTH(Table8[[Date]:[Date]])=$AM3)*(DAY(Table8[[Date]:[Date]])=$AN3)*(YEAR(Table8[[Date]:[Date]])=AT$1),0)</f>
        <v>0</v>
      </c>
      <c r="AV3" cm="1">
        <f t="array" ref="AV3">_xlfn._xlws.FILTER(Table8[[Day Total]:[Day Total]],(MONTH(Table8[[Date]:[Date]])=$AM3)*(DAY(Table8[[Date]:[Date]])=$AN3)*(YEAR(Table8[[Date]:[Date]])=AV$1),0)</f>
        <v>0</v>
      </c>
    </row>
    <row r="4" spans="22:49" x14ac:dyDescent="0.25">
      <c r="V4" t="s">
        <v>13</v>
      </c>
      <c r="W4">
        <f>_xlfn.IFNA(_xlfn.XMATCH(books[[#This Row],[Book]],Table8[[#Headers],[The Golden Compass]:[end]]),-1)</f>
        <v>3</v>
      </c>
      <c r="X4">
        <v>3</v>
      </c>
      <c r="Y4">
        <v>3</v>
      </c>
      <c r="Z4">
        <v>3</v>
      </c>
      <c r="AA4">
        <f>_xlfn.IFNA(SUM(INDEX(Table8[],,_xlfn.XMATCH(books[[#This Row],[Book]],Table8[#Headers]))),0)</f>
        <v>292</v>
      </c>
      <c r="AB4">
        <v>292</v>
      </c>
      <c r="AC4" s="2">
        <f>IF(ISBLANK(books[[#This Row],[pages]]),"",books[[#This Row],[pages read]]/books[[#This Row],[pages]])</f>
        <v>1</v>
      </c>
      <c r="AE4">
        <v>2025</v>
      </c>
      <c r="AF4">
        <v>449</v>
      </c>
      <c r="AG4">
        <v>813</v>
      </c>
      <c r="AH4" t="s">
        <v>80</v>
      </c>
      <c r="AI4" t="s">
        <v>85</v>
      </c>
      <c r="AK4" s="5">
        <v>46147</v>
      </c>
      <c r="AM4">
        <v>1</v>
      </c>
      <c r="AN4">
        <v>3</v>
      </c>
      <c r="AO4" t="str">
        <f t="shared" si="1"/>
        <v>1/3</v>
      </c>
      <c r="AP4" cm="1">
        <f t="array" ref="AP4">_xlfn._xlws.FILTER(Table8[[Day Total]:[Day Total]],(MONTH(Table8[[Date]:[Date]])=$AM4)*(DAY(Table8[[Date]:[Date]])=$AN4)*(YEAR(Table8[[Date]:[Date]])=AP$1),0)</f>
        <v>0</v>
      </c>
      <c r="AR4" cm="1">
        <f t="array" ref="AR4">_xlfn._xlws.FILTER(Table8[[Day Total]:[Day Total]],(MONTH(Table8[[Date]:[Date]])=$AM4)*(DAY(Table8[[Date]:[Date]])=$AN4)*(YEAR(Table8[[Date]:[Date]])=AR$1),0)</f>
        <v>139</v>
      </c>
      <c r="AS4">
        <f t="shared" si="0"/>
        <v>394</v>
      </c>
      <c r="AT4" cm="1">
        <f t="array" ref="AT4">_xlfn._xlws.FILTER(Table8[[Day Total]:[Day Total]],(MONTH(Table8[[Date]:[Date]])=$AM4)*(DAY(Table8[[Date]:[Date]])=$AN4)*(YEAR(Table8[[Date]:[Date]])=AT$1),0)</f>
        <v>0</v>
      </c>
      <c r="AV4" cm="1">
        <f t="array" ref="AV4">_xlfn._xlws.FILTER(Table8[[Day Total]:[Day Total]],(MONTH(Table8[[Date]:[Date]])=$AM4)*(DAY(Table8[[Date]:[Date]])=$AN4)*(YEAR(Table8[[Date]:[Date]])=AV$1),0)</f>
        <v>0</v>
      </c>
    </row>
    <row r="5" spans="22:49" x14ac:dyDescent="0.25">
      <c r="V5" t="s">
        <v>14</v>
      </c>
      <c r="W5">
        <f>_xlfn.IFNA(_xlfn.XMATCH(books[[#This Row],[Book]],Table8[[#Headers],[The Golden Compass]:[end]]),-1)</f>
        <v>4</v>
      </c>
      <c r="X5">
        <v>4</v>
      </c>
      <c r="Y5">
        <v>4</v>
      </c>
      <c r="Z5">
        <v>4</v>
      </c>
      <c r="AA5">
        <f>_xlfn.IFNA(SUM(INDEX(Table8[],,_xlfn.XMATCH(books[[#This Row],[Book]],Table8[#Headers]))),0)</f>
        <v>174</v>
      </c>
      <c r="AB5">
        <v>174</v>
      </c>
      <c r="AC5" s="2">
        <f>IF(ISBLANK(books[[#This Row],[pages]]),"",books[[#This Row],[pages read]]/books[[#This Row],[pages]])</f>
        <v>1</v>
      </c>
      <c r="AE5">
        <v>2026</v>
      </c>
      <c r="AF5">
        <v>814</v>
      </c>
      <c r="AG5">
        <v>1178</v>
      </c>
      <c r="AH5" t="s">
        <v>81</v>
      </c>
      <c r="AI5" t="s">
        <v>86</v>
      </c>
      <c r="AK5" s="5">
        <v>46149</v>
      </c>
      <c r="AM5">
        <v>1</v>
      </c>
      <c r="AN5">
        <v>4</v>
      </c>
      <c r="AO5" t="str">
        <f t="shared" si="1"/>
        <v>1/4</v>
      </c>
      <c r="AP5" cm="1">
        <f t="array" ref="AP5">_xlfn._xlws.FILTER(Table8[[Day Total]:[Day Total]],(MONTH(Table8[[Date]:[Date]])=$AM5)*(DAY(Table8[[Date]:[Date]])=$AN5)*(YEAR(Table8[[Date]:[Date]])=AP$1),0)</f>
        <v>0</v>
      </c>
      <c r="AR5" cm="1">
        <f t="array" ref="AR5">_xlfn._xlws.FILTER(Table8[[Day Total]:[Day Total]],(MONTH(Table8[[Date]:[Date]])=$AM5)*(DAY(Table8[[Date]:[Date]])=$AN5)*(YEAR(Table8[[Date]:[Date]])=AR$1),0)</f>
        <v>36</v>
      </c>
      <c r="AS5">
        <f t="shared" si="0"/>
        <v>430</v>
      </c>
      <c r="AT5" cm="1">
        <f t="array" ref="AT5">_xlfn._xlws.FILTER(Table8[[Day Total]:[Day Total]],(MONTH(Table8[[Date]:[Date]])=$AM5)*(DAY(Table8[[Date]:[Date]])=$AN5)*(YEAR(Table8[[Date]:[Date]])=AT$1),0)</f>
        <v>0</v>
      </c>
      <c r="AV5" cm="1">
        <f t="array" ref="AV5">_xlfn._xlws.FILTER(Table8[[Day Total]:[Day Total]],(MONTH(Table8[[Date]:[Date]])=$AM5)*(DAY(Table8[[Date]:[Date]])=$AN5)*(YEAR(Table8[[Date]:[Date]])=AV$1),0)</f>
        <v>0</v>
      </c>
      <c r="AW5">
        <v>0</v>
      </c>
    </row>
    <row r="6" spans="22:49" x14ac:dyDescent="0.25">
      <c r="V6" t="s">
        <v>15</v>
      </c>
      <c r="W6">
        <f>_xlfn.IFNA(_xlfn.XMATCH(books[[#This Row],[Book]],Table8[[#Headers],[The Golden Compass]:[end]]),-1)</f>
        <v>5</v>
      </c>
      <c r="X6">
        <v>5</v>
      </c>
      <c r="Y6">
        <v>5</v>
      </c>
      <c r="Z6">
        <v>5</v>
      </c>
      <c r="AA6">
        <f>_xlfn.IFNA(SUM(INDEX(Table8[],,_xlfn.XMATCH(books[[#This Row],[Book]],Table8[#Headers]))),0)</f>
        <v>222</v>
      </c>
      <c r="AB6">
        <v>222</v>
      </c>
      <c r="AC6" s="2">
        <f>IF(ISBLANK(books[[#This Row],[pages]]),"",books[[#This Row],[pages read]]/books[[#This Row],[pages]])</f>
        <v>1</v>
      </c>
      <c r="AE6">
        <v>2027</v>
      </c>
      <c r="AF6">
        <v>1179</v>
      </c>
      <c r="AG6">
        <v>1543</v>
      </c>
      <c r="AH6" t="s">
        <v>59</v>
      </c>
      <c r="AI6" t="s">
        <v>0</v>
      </c>
      <c r="AK6" s="5">
        <v>46150</v>
      </c>
      <c r="AM6">
        <v>1</v>
      </c>
      <c r="AN6">
        <v>5</v>
      </c>
      <c r="AO6" t="str">
        <f t="shared" si="1"/>
        <v>1/5</v>
      </c>
      <c r="AP6" cm="1">
        <f t="array" ref="AP6">_xlfn._xlws.FILTER(Table8[[Day Total]:[Day Total]],(MONTH(Table8[[Date]:[Date]])=$AM6)*(DAY(Table8[[Date]:[Date]])=$AN6)*(YEAR(Table8[[Date]:[Date]])=AP$1),0)</f>
        <v>0</v>
      </c>
      <c r="AR6" cm="1">
        <f t="array" ref="AR6">_xlfn._xlws.FILTER(Table8[[Day Total]:[Day Total]],(MONTH(Table8[[Date]:[Date]])=$AM6)*(DAY(Table8[[Date]:[Date]])=$AN6)*(YEAR(Table8[[Date]:[Date]])=AR$1),0)</f>
        <v>20</v>
      </c>
      <c r="AS6">
        <f t="shared" si="0"/>
        <v>450</v>
      </c>
      <c r="AT6" cm="1">
        <f t="array" ref="AT6">_xlfn._xlws.FILTER(Table8[[Day Total]:[Day Total]],(MONTH(Table8[[Date]:[Date]])=$AM6)*(DAY(Table8[[Date]:[Date]])=$AN6)*(YEAR(Table8[[Date]:[Date]])=AT$1),0)</f>
        <v>0</v>
      </c>
      <c r="AV6" cm="1">
        <f t="array" ref="AV6">_xlfn._xlws.FILTER(Table8[[Day Total]:[Day Total]],(MONTH(Table8[[Date]:[Date]])=$AM6)*(DAY(Table8[[Date]:[Date]])=$AN6)*(YEAR(Table8[[Date]:[Date]])=AV$1),0)</f>
        <v>47</v>
      </c>
      <c r="AW6">
        <f t="shared" ref="AW6:AW69" si="2">AW5+AV6</f>
        <v>47</v>
      </c>
    </row>
    <row r="7" spans="22:49" x14ac:dyDescent="0.25">
      <c r="V7" t="s">
        <v>16</v>
      </c>
      <c r="W7">
        <f>_xlfn.IFNA(_xlfn.XMATCH(books[[#This Row],[Book]],Table8[[#Headers],[The Golden Compass]:[end]]),-1)</f>
        <v>6</v>
      </c>
      <c r="X7">
        <v>6</v>
      </c>
      <c r="Y7">
        <v>6</v>
      </c>
      <c r="Z7">
        <v>6</v>
      </c>
      <c r="AA7">
        <f>_xlfn.IFNA(SUM(INDEX(Table8[],,_xlfn.XMATCH(books[[#This Row],[Book]],Table8[#Headers]))),0)</f>
        <v>253</v>
      </c>
      <c r="AB7">
        <v>253</v>
      </c>
      <c r="AC7" s="2">
        <f>IF(ISBLANK(books[[#This Row],[pages]]),"",books[[#This Row],[pages read]]/books[[#This Row],[pages]])</f>
        <v>1</v>
      </c>
      <c r="AK7" s="5">
        <v>46151</v>
      </c>
      <c r="AM7">
        <v>1</v>
      </c>
      <c r="AN7">
        <v>6</v>
      </c>
      <c r="AO7" t="str">
        <f t="shared" si="1"/>
        <v>1/6</v>
      </c>
      <c r="AP7" cm="1">
        <f t="array" ref="AP7">_xlfn._xlws.FILTER(Table8[[Day Total]:[Day Total]],(MONTH(Table8[[Date]:[Date]])=$AM7)*(DAY(Table8[[Date]:[Date]])=$AN7)*(YEAR(Table8[[Date]:[Date]])=AP$1),0)</f>
        <v>0</v>
      </c>
      <c r="AR7" cm="1">
        <f t="array" ref="AR7">_xlfn._xlws.FILTER(Table8[[Day Total]:[Day Total]],(MONTH(Table8[[Date]:[Date]])=$AM7)*(DAY(Table8[[Date]:[Date]])=$AN7)*(YEAR(Table8[[Date]:[Date]])=AR$1),0)</f>
        <v>0</v>
      </c>
      <c r="AS7">
        <f t="shared" si="0"/>
        <v>450</v>
      </c>
      <c r="AT7" cm="1">
        <f t="array" ref="AT7">_xlfn._xlws.FILTER(Table8[[Day Total]:[Day Total]],(MONTH(Table8[[Date]:[Date]])=$AM7)*(DAY(Table8[[Date]:[Date]])=$AN7)*(YEAR(Table8[[Date]:[Date]])=AT$1),0)</f>
        <v>0</v>
      </c>
      <c r="AV7" cm="1">
        <f t="array" ref="AV7">_xlfn._xlws.FILTER(Table8[[Day Total]:[Day Total]],(MONTH(Table8[[Date]:[Date]])=$AM7)*(DAY(Table8[[Date]:[Date]])=$AN7)*(YEAR(Table8[[Date]:[Date]])=AV$1),0)</f>
        <v>94</v>
      </c>
      <c r="AW7">
        <f t="shared" si="2"/>
        <v>141</v>
      </c>
    </row>
    <row r="8" spans="22:49" x14ac:dyDescent="0.25">
      <c r="V8" t="s">
        <v>17</v>
      </c>
      <c r="W8">
        <f>_xlfn.IFNA(_xlfn.XMATCH(books[[#This Row],[Book]],Table8[[#Headers],[The Golden Compass]:[end]]),-1)</f>
        <v>7</v>
      </c>
      <c r="X8">
        <v>7</v>
      </c>
      <c r="Y8">
        <v>7</v>
      </c>
      <c r="Z8">
        <v>7</v>
      </c>
      <c r="AA8">
        <f>_xlfn.IFNA(SUM(INDEX(Table8[],,_xlfn.XMATCH(books[[#This Row],[Book]],Table8[#Headers]))),0)</f>
        <v>236</v>
      </c>
      <c r="AB8">
        <v>236</v>
      </c>
      <c r="AC8" s="2">
        <f>IF(ISBLANK(books[[#This Row],[pages]]),"",books[[#This Row],[pages read]]/books[[#This Row],[pages]])</f>
        <v>1</v>
      </c>
      <c r="AK8" s="5">
        <v>46153</v>
      </c>
      <c r="AM8">
        <v>1</v>
      </c>
      <c r="AN8">
        <v>7</v>
      </c>
      <c r="AO8" t="str">
        <f t="shared" si="1"/>
        <v>1/7</v>
      </c>
      <c r="AP8" cm="1">
        <f t="array" ref="AP8">_xlfn._xlws.FILTER(Table8[[Day Total]:[Day Total]],(MONTH(Table8[[Date]:[Date]])=$AM8)*(DAY(Table8[[Date]:[Date]])=$AN8)*(YEAR(Table8[[Date]:[Date]])=AP$1),0)</f>
        <v>0</v>
      </c>
      <c r="AR8" cm="1">
        <f t="array" ref="AR8">_xlfn._xlws.FILTER(Table8[[Day Total]:[Day Total]],(MONTH(Table8[[Date]:[Date]])=$AM8)*(DAY(Table8[[Date]:[Date]])=$AN8)*(YEAR(Table8[[Date]:[Date]])=AR$1),0)</f>
        <v>0</v>
      </c>
      <c r="AS8">
        <f t="shared" si="0"/>
        <v>450</v>
      </c>
      <c r="AT8" cm="1">
        <f t="array" ref="AT8">_xlfn._xlws.FILTER(Table8[[Day Total]:[Day Total]],(MONTH(Table8[[Date]:[Date]])=$AM8)*(DAY(Table8[[Date]:[Date]])=$AN8)*(YEAR(Table8[[Date]:[Date]])=AT$1),0)</f>
        <v>0</v>
      </c>
      <c r="AV8" cm="1">
        <f t="array" ref="AV8">_xlfn._xlws.FILTER(Table8[[Day Total]:[Day Total]],(MONTH(Table8[[Date]:[Date]])=$AM8)*(DAY(Table8[[Date]:[Date]])=$AN8)*(YEAR(Table8[[Date]:[Date]])=AV$1),0)</f>
        <v>15</v>
      </c>
      <c r="AW8">
        <f t="shared" si="2"/>
        <v>156</v>
      </c>
    </row>
    <row r="9" spans="22:49" x14ac:dyDescent="0.25">
      <c r="V9" t="s">
        <v>18</v>
      </c>
      <c r="W9">
        <f>_xlfn.IFNA(_xlfn.XMATCH(books[[#This Row],[Book]],Table8[[#Headers],[The Golden Compass]:[end]]),-1)</f>
        <v>8</v>
      </c>
      <c r="X9">
        <v>8</v>
      </c>
      <c r="Y9">
        <v>8</v>
      </c>
      <c r="Z9">
        <v>8</v>
      </c>
      <c r="AA9">
        <f>_xlfn.IFNA(SUM(INDEX(Table8[],,_xlfn.XMATCH(books[[#This Row],[Book]],Table8[#Headers]))),0)</f>
        <v>202</v>
      </c>
      <c r="AB9">
        <v>202</v>
      </c>
      <c r="AC9" s="2">
        <f>IF(ISBLANK(books[[#This Row],[pages]]),"",books[[#This Row],[pages read]]/books[[#This Row],[pages]])</f>
        <v>1</v>
      </c>
      <c r="AF9" t="s">
        <v>113</v>
      </c>
      <c r="AG9" t="s">
        <v>99</v>
      </c>
      <c r="AH9" t="s">
        <v>114</v>
      </c>
      <c r="AK9" s="5">
        <v>46154</v>
      </c>
      <c r="AM9">
        <v>1</v>
      </c>
      <c r="AN9">
        <v>8</v>
      </c>
      <c r="AO9" t="str">
        <f t="shared" si="1"/>
        <v>1/8</v>
      </c>
      <c r="AP9" cm="1">
        <f t="array" ref="AP9">_xlfn._xlws.FILTER(Table8[[Day Total]:[Day Total]],(MONTH(Table8[[Date]:[Date]])=$AM9)*(DAY(Table8[[Date]:[Date]])=$AN9)*(YEAR(Table8[[Date]:[Date]])=AP$1),0)</f>
        <v>0</v>
      </c>
      <c r="AR9" cm="1">
        <f t="array" ref="AR9">_xlfn._xlws.FILTER(Table8[[Day Total]:[Day Total]],(MONTH(Table8[[Date]:[Date]])=$AM9)*(DAY(Table8[[Date]:[Date]])=$AN9)*(YEAR(Table8[[Date]:[Date]])=AR$1),0)</f>
        <v>27</v>
      </c>
      <c r="AS9">
        <f t="shared" si="0"/>
        <v>477</v>
      </c>
      <c r="AT9" cm="1">
        <f t="array" ref="AT9">_xlfn._xlws.FILTER(Table8[[Day Total]:[Day Total]],(MONTH(Table8[[Date]:[Date]])=$AM9)*(DAY(Table8[[Date]:[Date]])=$AN9)*(YEAR(Table8[[Date]:[Date]])=AT$1),0)</f>
        <v>0</v>
      </c>
      <c r="AV9" cm="1">
        <f t="array" ref="AV9">_xlfn._xlws.FILTER(Table8[[Day Total]:[Day Total]],(MONTH(Table8[[Date]:[Date]])=$AM9)*(DAY(Table8[[Date]:[Date]])=$AN9)*(YEAR(Table8[[Date]:[Date]])=AV$1),0)</f>
        <v>14</v>
      </c>
      <c r="AW9">
        <f t="shared" si="2"/>
        <v>170</v>
      </c>
    </row>
    <row r="10" spans="22:49" x14ac:dyDescent="0.25">
      <c r="V10" t="s">
        <v>19</v>
      </c>
      <c r="W10">
        <f>_xlfn.IFNA(_xlfn.XMATCH(books[[#This Row],[Book]],Table8[[#Headers],[The Golden Compass]:[end]]),-1)</f>
        <v>9</v>
      </c>
      <c r="X10">
        <v>9</v>
      </c>
      <c r="Y10">
        <v>9</v>
      </c>
      <c r="Z10">
        <v>9</v>
      </c>
      <c r="AA10">
        <f>_xlfn.IFNA(SUM(INDEX(Table8[],,_xlfn.XMATCH(books[[#This Row],[Book]],Table8[#Headers]))),0)</f>
        <v>189</v>
      </c>
      <c r="AB10">
        <v>189</v>
      </c>
      <c r="AC10" s="2">
        <f>IF(ISBLANK(books[[#This Row],[pages]]),"",books[[#This Row],[pages read]]/books[[#This Row],[pages]])</f>
        <v>1</v>
      </c>
      <c r="AE10" t="s">
        <v>102</v>
      </c>
      <c r="AF10">
        <f>COUNT(Table8[Day Total])</f>
        <v>1177</v>
      </c>
      <c r="AG10">
        <f>AF10-COUNTIF(Table8[Day Total],0)</f>
        <v>238</v>
      </c>
      <c r="AH10" s="2">
        <f>AG10/AF10</f>
        <v>0.20220900594732372</v>
      </c>
      <c r="AK10" s="5">
        <v>46157</v>
      </c>
      <c r="AM10">
        <v>1</v>
      </c>
      <c r="AN10">
        <v>9</v>
      </c>
      <c r="AO10" t="str">
        <f t="shared" si="1"/>
        <v>1/9</v>
      </c>
      <c r="AP10" cm="1">
        <f t="array" ref="AP10">_xlfn._xlws.FILTER(Table8[[Day Total]:[Day Total]],(MONTH(Table8[[Date]:[Date]])=$AM10)*(DAY(Table8[[Date]:[Date]])=$AN10)*(YEAR(Table8[[Date]:[Date]])=AP$1),0)</f>
        <v>0</v>
      </c>
      <c r="AR10" cm="1">
        <f t="array" ref="AR10">_xlfn._xlws.FILTER(Table8[[Day Total]:[Day Total]],(MONTH(Table8[[Date]:[Date]])=$AM10)*(DAY(Table8[[Date]:[Date]])=$AN10)*(YEAR(Table8[[Date]:[Date]])=AR$1),0)</f>
        <v>19</v>
      </c>
      <c r="AS10">
        <f t="shared" si="0"/>
        <v>496</v>
      </c>
      <c r="AT10" cm="1">
        <f t="array" ref="AT10">_xlfn._xlws.FILTER(Table8[[Day Total]:[Day Total]],(MONTH(Table8[[Date]:[Date]])=$AM10)*(DAY(Table8[[Date]:[Date]])=$AN10)*(YEAR(Table8[[Date]:[Date]])=AT$1),0)</f>
        <v>0</v>
      </c>
      <c r="AU10">
        <f t="shared" ref="AU10:AU73" si="3">AU9+AT10</f>
        <v>0</v>
      </c>
      <c r="AV10" cm="1">
        <f t="array" ref="AV10">_xlfn._xlws.FILTER(Table8[[Day Total]:[Day Total]],(MONTH(Table8[[Date]:[Date]])=$AM10)*(DAY(Table8[[Date]:[Date]])=$AN10)*(YEAR(Table8[[Date]:[Date]])=AV$1),0)</f>
        <v>0</v>
      </c>
      <c r="AW10">
        <f t="shared" si="2"/>
        <v>170</v>
      </c>
    </row>
    <row r="11" spans="22:49" x14ac:dyDescent="0.25">
      <c r="V11" t="s">
        <v>20</v>
      </c>
      <c r="W11">
        <f>_xlfn.IFNA(_xlfn.XMATCH(books[[#This Row],[Book]],Table8[[#Headers],[The Golden Compass]:[end]]),-1)</f>
        <v>10</v>
      </c>
      <c r="X11">
        <v>10</v>
      </c>
      <c r="Y11">
        <v>10</v>
      </c>
      <c r="Z11">
        <v>10</v>
      </c>
      <c r="AA11">
        <f>_xlfn.IFNA(SUM(INDEX(Table8[],,_xlfn.XMATCH(books[[#This Row],[Book]],Table8[#Headers]))),0)</f>
        <v>224</v>
      </c>
      <c r="AB11">
        <v>224</v>
      </c>
      <c r="AC11" s="2">
        <f>IF(ISBLANK(books[[#This Row],[pages]]),"",books[[#This Row],[pages read]]/books[[#This Row],[pages]])</f>
        <v>1</v>
      </c>
      <c r="AE11" s="3" t="s">
        <v>101</v>
      </c>
      <c r="AF11">
        <f>365*4+1</f>
        <v>1461</v>
      </c>
      <c r="AG11">
        <f>AF10-COUNTIF(Table8[Day Total],0)</f>
        <v>238</v>
      </c>
      <c r="AH11" s="2">
        <f>AG11/AF11</f>
        <v>0.16290212183436004</v>
      </c>
      <c r="AK11" s="5">
        <v>46158</v>
      </c>
      <c r="AM11">
        <v>1</v>
      </c>
      <c r="AN11">
        <v>10</v>
      </c>
      <c r="AO11" t="str">
        <f t="shared" si="1"/>
        <v>1/10</v>
      </c>
      <c r="AP11" cm="1">
        <f t="array" ref="AP11">_xlfn._xlws.FILTER(Table8[[Day Total]:[Day Total]],(MONTH(Table8[[Date]:[Date]])=$AM11)*(DAY(Table8[[Date]:[Date]])=$AN11)*(YEAR(Table8[[Date]:[Date]])=AP$1),0)</f>
        <v>0</v>
      </c>
      <c r="AR11" cm="1">
        <f t="array" ref="AR11">_xlfn._xlws.FILTER(Table8[[Day Total]:[Day Total]],(MONTH(Table8[[Date]:[Date]])=$AM11)*(DAY(Table8[[Date]:[Date]])=$AN11)*(YEAR(Table8[[Date]:[Date]])=AR$1),0)</f>
        <v>0</v>
      </c>
      <c r="AS11">
        <f t="shared" si="0"/>
        <v>496</v>
      </c>
      <c r="AT11" cm="1">
        <f t="array" ref="AT11">_xlfn._xlws.FILTER(Table8[[Day Total]:[Day Total]],(MONTH(Table8[[Date]:[Date]])=$AM11)*(DAY(Table8[[Date]:[Date]])=$AN11)*(YEAR(Table8[[Date]:[Date]])=AT$1),0)</f>
        <v>30</v>
      </c>
      <c r="AU11">
        <f t="shared" si="3"/>
        <v>30</v>
      </c>
      <c r="AV11" cm="1">
        <f t="array" ref="AV11">_xlfn._xlws.FILTER(Table8[[Day Total]:[Day Total]],(MONTH(Table8[[Date]:[Date]])=$AM11)*(DAY(Table8[[Date]:[Date]])=$AN11)*(YEAR(Table8[[Date]:[Date]])=AV$1),0)</f>
        <v>0</v>
      </c>
      <c r="AW11">
        <f t="shared" si="2"/>
        <v>170</v>
      </c>
    </row>
    <row r="12" spans="22:49" x14ac:dyDescent="0.25">
      <c r="V12" t="s">
        <v>21</v>
      </c>
      <c r="W12">
        <f>_xlfn.IFNA(_xlfn.XMATCH(books[[#This Row],[Book]],Table8[[#Headers],[The Golden Compass]:[end]]),-1)</f>
        <v>11</v>
      </c>
      <c r="X12">
        <v>11</v>
      </c>
      <c r="Y12">
        <v>11</v>
      </c>
      <c r="Z12">
        <v>11</v>
      </c>
      <c r="AA12">
        <f>_xlfn.IFNA(SUM(INDEX(Table8[],,_xlfn.XMATCH(books[[#This Row],[Book]],Table8[#Headers]))),0)</f>
        <v>130</v>
      </c>
      <c r="AB12">
        <v>130</v>
      </c>
      <c r="AC12" s="2">
        <f>IF(ISBLANK(books[[#This Row],[pages]]),"",books[[#This Row],[pages read]]/books[[#This Row],[pages]])</f>
        <v>1</v>
      </c>
      <c r="AE12" t="s">
        <v>112</v>
      </c>
      <c r="AF12">
        <f>31-11+30+31</f>
        <v>81</v>
      </c>
      <c r="AG12">
        <f>COUNTIFS(Table8[Date],"&lt;"&amp;DATE(2024,1,1),Table8[Day Total],"&lt;&gt;"&amp;0)</f>
        <v>49</v>
      </c>
      <c r="AH12" s="2">
        <f t="shared" ref="AH12:AH15" si="4">AG12/AF12</f>
        <v>0.60493827160493829</v>
      </c>
      <c r="AK12" s="5">
        <v>46160</v>
      </c>
      <c r="AM12">
        <v>1</v>
      </c>
      <c r="AN12">
        <v>11</v>
      </c>
      <c r="AO12" t="str">
        <f t="shared" si="1"/>
        <v>1/11</v>
      </c>
      <c r="AP12" cm="1">
        <f t="array" ref="AP12">_xlfn._xlws.FILTER(Table8[[Day Total]:[Day Total]],(MONTH(Table8[[Date]:[Date]])=$AM12)*(DAY(Table8[[Date]:[Date]])=$AN12)*(YEAR(Table8[[Date]:[Date]])=AP$1),0)</f>
        <v>0</v>
      </c>
      <c r="AR12" cm="1">
        <f t="array" ref="AR12">_xlfn._xlws.FILTER(Table8[[Day Total]:[Day Total]],(MONTH(Table8[[Date]:[Date]])=$AM12)*(DAY(Table8[[Date]:[Date]])=$AN12)*(YEAR(Table8[[Date]:[Date]])=AR$1),0)</f>
        <v>0</v>
      </c>
      <c r="AS12">
        <f t="shared" si="0"/>
        <v>496</v>
      </c>
      <c r="AT12" cm="1">
        <f t="array" ref="AT12">_xlfn._xlws.FILTER(Table8[[Day Total]:[Day Total]],(MONTH(Table8[[Date]:[Date]])=$AM12)*(DAY(Table8[[Date]:[Date]])=$AN12)*(YEAR(Table8[[Date]:[Date]])=AT$1),0)</f>
        <v>23</v>
      </c>
      <c r="AU12">
        <f t="shared" si="3"/>
        <v>53</v>
      </c>
      <c r="AV12" cm="1">
        <f t="array" ref="AV12">_xlfn._xlws.FILTER(Table8[[Day Total]:[Day Total]],(MONTH(Table8[[Date]:[Date]])=$AM12)*(DAY(Table8[[Date]:[Date]])=$AN12)*(YEAR(Table8[[Date]:[Date]])=AV$1),0)</f>
        <v>0</v>
      </c>
      <c r="AW12">
        <f t="shared" si="2"/>
        <v>170</v>
      </c>
    </row>
    <row r="13" spans="22:49" x14ac:dyDescent="0.25">
      <c r="V13" t="s">
        <v>22</v>
      </c>
      <c r="W13">
        <f>_xlfn.IFNA(_xlfn.XMATCH(books[[#This Row],[Book]],Table8[[#Headers],[The Golden Compass]:[end]]),-1)</f>
        <v>12</v>
      </c>
      <c r="X13">
        <v>12</v>
      </c>
      <c r="Y13">
        <v>12</v>
      </c>
      <c r="Z13">
        <v>12</v>
      </c>
      <c r="AA13">
        <f>_xlfn.IFNA(SUM(INDEX(Table8[],,_xlfn.XMATCH(books[[#This Row],[Book]],Table8[#Headers]))),0)</f>
        <v>140</v>
      </c>
      <c r="AB13">
        <v>140</v>
      </c>
      <c r="AC13" s="2">
        <f>IF(ISBLANK(books[[#This Row],[pages]]),"",books[[#This Row],[pages read]]/books[[#This Row],[pages]])</f>
        <v>1</v>
      </c>
      <c r="AE13" s="3">
        <v>2024</v>
      </c>
      <c r="AF13">
        <v>366</v>
      </c>
      <c r="AG13">
        <f>COUNTIFS(Table8[Date],"&lt;"&amp;DATE(AE13+1,1,1),Table8[Date],"&gt;"&amp;DATE(AE13-1,12,31),Table8[Day Total],"&lt;&gt;"&amp;0)</f>
        <v>113</v>
      </c>
      <c r="AH13" s="2">
        <f t="shared" si="4"/>
        <v>0.30874316939890711</v>
      </c>
      <c r="AK13" s="5">
        <v>46161</v>
      </c>
      <c r="AM13">
        <v>1</v>
      </c>
      <c r="AN13">
        <v>12</v>
      </c>
      <c r="AO13" t="str">
        <f t="shared" si="1"/>
        <v>1/12</v>
      </c>
      <c r="AP13" cm="1">
        <f t="array" ref="AP13">_xlfn._xlws.FILTER(Table8[[Day Total]:[Day Total]],(MONTH(Table8[[Date]:[Date]])=$AM13)*(DAY(Table8[[Date]:[Date]])=$AN13)*(YEAR(Table8[[Date]:[Date]])=AP$1),0)</f>
        <v>0</v>
      </c>
      <c r="AR13" cm="1">
        <f t="array" ref="AR13">_xlfn._xlws.FILTER(Table8[[Day Total]:[Day Total]],(MONTH(Table8[[Date]:[Date]])=$AM13)*(DAY(Table8[[Date]:[Date]])=$AN13)*(YEAR(Table8[[Date]:[Date]])=AR$1),0)</f>
        <v>36</v>
      </c>
      <c r="AS13">
        <f t="shared" si="0"/>
        <v>532</v>
      </c>
      <c r="AT13" cm="1">
        <f t="array" ref="AT13">_xlfn._xlws.FILTER(Table8[[Day Total]:[Day Total]],(MONTH(Table8[[Date]:[Date]])=$AM13)*(DAY(Table8[[Date]:[Date]])=$AN13)*(YEAR(Table8[[Date]:[Date]])=AT$1),0)</f>
        <v>32</v>
      </c>
      <c r="AU13">
        <f t="shared" si="3"/>
        <v>85</v>
      </c>
      <c r="AV13" cm="1">
        <f t="array" ref="AV13">_xlfn._xlws.FILTER(Table8[[Day Total]:[Day Total]],(MONTH(Table8[[Date]:[Date]])=$AM13)*(DAY(Table8[[Date]:[Date]])=$AN13)*(YEAR(Table8[[Date]:[Date]])=AV$1),0)</f>
        <v>4</v>
      </c>
      <c r="AW13">
        <f t="shared" si="2"/>
        <v>174</v>
      </c>
    </row>
    <row r="14" spans="22:49" x14ac:dyDescent="0.25">
      <c r="V14" t="s">
        <v>23</v>
      </c>
      <c r="W14">
        <f>_xlfn.IFNA(_xlfn.XMATCH(books[[#This Row],[Book]],Table8[[#Headers],[The Golden Compass]:[end]]),-1)</f>
        <v>13</v>
      </c>
      <c r="X14">
        <v>13</v>
      </c>
      <c r="Y14">
        <v>13</v>
      </c>
      <c r="Z14">
        <v>13</v>
      </c>
      <c r="AA14">
        <f>_xlfn.IFNA(SUM(INDEX(Table8[],,_xlfn.XMATCH(books[[#This Row],[Book]],Table8[#Headers]))),0)</f>
        <v>260</v>
      </c>
      <c r="AB14">
        <v>260</v>
      </c>
      <c r="AC14" s="2">
        <f>IF(ISBLANK(books[[#This Row],[pages]]),"",books[[#This Row],[pages read]]/books[[#This Row],[pages]])</f>
        <v>1</v>
      </c>
      <c r="AE14" s="3">
        <v>2025</v>
      </c>
      <c r="AF14">
        <v>365</v>
      </c>
      <c r="AG14">
        <f>COUNTIFS(Table8[Date],"&lt;"&amp;DATE(AE14+1,1,1),Table8[Date],"&gt;"&amp;DATE(AE14-1,12,31),Table8[Day Total],"&lt;&gt;"&amp;0)</f>
        <v>31</v>
      </c>
      <c r="AH14" s="2">
        <f t="shared" si="4"/>
        <v>8.4931506849315067E-2</v>
      </c>
      <c r="AK14" s="5">
        <v>46166</v>
      </c>
      <c r="AM14">
        <v>1</v>
      </c>
      <c r="AN14">
        <v>13</v>
      </c>
      <c r="AO14" t="str">
        <f t="shared" si="1"/>
        <v>1/13</v>
      </c>
      <c r="AP14" cm="1">
        <f t="array" ref="AP14">_xlfn._xlws.FILTER(Table8[[Day Total]:[Day Total]],(MONTH(Table8[[Date]:[Date]])=$AM14)*(DAY(Table8[[Date]:[Date]])=$AN14)*(YEAR(Table8[[Date]:[Date]])=AP$1),0)</f>
        <v>0</v>
      </c>
      <c r="AR14" cm="1">
        <f t="array" ref="AR14">_xlfn._xlws.FILTER(Table8[[Day Total]:[Day Total]],(MONTH(Table8[[Date]:[Date]])=$AM14)*(DAY(Table8[[Date]:[Date]])=$AN14)*(YEAR(Table8[[Date]:[Date]])=AR$1),0)</f>
        <v>0</v>
      </c>
      <c r="AS14">
        <f t="shared" si="0"/>
        <v>532</v>
      </c>
      <c r="AT14" cm="1">
        <f t="array" ref="AT14">_xlfn._xlws.FILTER(Table8[[Day Total]:[Day Total]],(MONTH(Table8[[Date]:[Date]])=$AM14)*(DAY(Table8[[Date]:[Date]])=$AN14)*(YEAR(Table8[[Date]:[Date]])=AT$1),0)</f>
        <v>0</v>
      </c>
      <c r="AU14">
        <f t="shared" si="3"/>
        <v>85</v>
      </c>
      <c r="AV14" cm="1">
        <f t="array" ref="AV14">_xlfn._xlws.FILTER(Table8[[Day Total]:[Day Total]],(MONTH(Table8[[Date]:[Date]])=$AM14)*(DAY(Table8[[Date]:[Date]])=$AN14)*(YEAR(Table8[[Date]:[Date]])=AV$1),0)</f>
        <v>12</v>
      </c>
      <c r="AW14">
        <f t="shared" si="2"/>
        <v>186</v>
      </c>
    </row>
    <row r="15" spans="22:49" x14ac:dyDescent="0.25">
      <c r="V15" t="s">
        <v>24</v>
      </c>
      <c r="W15">
        <f>_xlfn.IFNA(_xlfn.XMATCH(books[[#This Row],[Book]],Table8[[#Headers],[The Golden Compass]:[end]]),-1)</f>
        <v>14</v>
      </c>
      <c r="X15">
        <v>14</v>
      </c>
      <c r="Y15">
        <v>14</v>
      </c>
      <c r="Z15">
        <v>14</v>
      </c>
      <c r="AA15">
        <f>_xlfn.IFNA(SUM(INDEX(Table8[],,_xlfn.XMATCH(books[[#This Row],[Book]],Table8[#Headers]))),0)</f>
        <v>234</v>
      </c>
      <c r="AB15">
        <v>234</v>
      </c>
      <c r="AC15" s="2">
        <f>IF(ISBLANK(books[[#This Row],[pages]]),"",books[[#This Row],[pages read]]/books[[#This Row],[pages]])</f>
        <v>1</v>
      </c>
      <c r="AE15" s="3">
        <v>2026</v>
      </c>
      <c r="AF15">
        <v>365</v>
      </c>
      <c r="AG15">
        <f>COUNTIFS(Table8[Date],"&lt;"&amp;DATE(AE15+1,1,1),Table8[Date],"&gt;"&amp;DATE(AE15-1,12,31),Table8[Day Total],"&lt;&gt;"&amp;0)</f>
        <v>45</v>
      </c>
      <c r="AH15" s="2">
        <f t="shared" si="4"/>
        <v>0.12328767123287671</v>
      </c>
      <c r="AK15" s="5">
        <v>46167</v>
      </c>
      <c r="AM15">
        <v>1</v>
      </c>
      <c r="AN15">
        <v>14</v>
      </c>
      <c r="AO15" t="str">
        <f t="shared" si="1"/>
        <v>1/14</v>
      </c>
      <c r="AP15" cm="1">
        <f t="array" ref="AP15">_xlfn._xlws.FILTER(Table8[[Day Total]:[Day Total]],(MONTH(Table8[[Date]:[Date]])=$AM15)*(DAY(Table8[[Date]:[Date]])=$AN15)*(YEAR(Table8[[Date]:[Date]])=AP$1),0)</f>
        <v>0</v>
      </c>
      <c r="AR15" cm="1">
        <f t="array" ref="AR15">_xlfn._xlws.FILTER(Table8[[Day Total]:[Day Total]],(MONTH(Table8[[Date]:[Date]])=$AM15)*(DAY(Table8[[Date]:[Date]])=$AN15)*(YEAR(Table8[[Date]:[Date]])=AR$1),0)</f>
        <v>51</v>
      </c>
      <c r="AS15">
        <f t="shared" si="0"/>
        <v>583</v>
      </c>
      <c r="AT15" cm="1">
        <f t="array" ref="AT15">_xlfn._xlws.FILTER(Table8[[Day Total]:[Day Total]],(MONTH(Table8[[Date]:[Date]])=$AM15)*(DAY(Table8[[Date]:[Date]])=$AN15)*(YEAR(Table8[[Date]:[Date]])=AT$1),0)</f>
        <v>0</v>
      </c>
      <c r="AU15">
        <f t="shared" si="3"/>
        <v>85</v>
      </c>
      <c r="AV15" cm="1">
        <f t="array" ref="AV15">_xlfn._xlws.FILTER(Table8[[Day Total]:[Day Total]],(MONTH(Table8[[Date]:[Date]])=$AM15)*(DAY(Table8[[Date]:[Date]])=$AN15)*(YEAR(Table8[[Date]:[Date]])=AV$1),0)</f>
        <v>155</v>
      </c>
      <c r="AW15">
        <f t="shared" si="2"/>
        <v>341</v>
      </c>
    </row>
    <row r="16" spans="22:49" x14ac:dyDescent="0.25">
      <c r="V16" t="s">
        <v>25</v>
      </c>
      <c r="W16">
        <f>_xlfn.IFNA(_xlfn.XMATCH(books[[#This Row],[Book]],Table8[[#Headers],[The Golden Compass]:[end]]),-1)</f>
        <v>15</v>
      </c>
      <c r="X16">
        <v>15</v>
      </c>
      <c r="Y16">
        <v>15</v>
      </c>
      <c r="Z16">
        <v>15</v>
      </c>
      <c r="AA16">
        <f>_xlfn.IFNA(SUM(INDEX(Table8[],,_xlfn.XMATCH(books[[#This Row],[Book]],Table8[#Headers]))),0)</f>
        <v>419</v>
      </c>
      <c r="AB16">
        <v>419</v>
      </c>
      <c r="AC16" s="2">
        <f>IF(ISBLANK(books[[#This Row],[pages]]),"",books[[#This Row],[pages read]]/books[[#This Row],[pages]])</f>
        <v>1</v>
      </c>
      <c r="AK16" s="5">
        <v>46168</v>
      </c>
      <c r="AM16">
        <v>1</v>
      </c>
      <c r="AN16">
        <v>15</v>
      </c>
      <c r="AO16" t="str">
        <f t="shared" si="1"/>
        <v>1/15</v>
      </c>
      <c r="AP16" cm="1">
        <f t="array" ref="AP16">_xlfn._xlws.FILTER(Table8[[Day Total]:[Day Total]],(MONTH(Table8[[Date]:[Date]])=$AM16)*(DAY(Table8[[Date]:[Date]])=$AN16)*(YEAR(Table8[[Date]:[Date]])=AP$1),0)</f>
        <v>0</v>
      </c>
      <c r="AR16" cm="1">
        <f t="array" ref="AR16">_xlfn._xlws.FILTER(Table8[[Day Total]:[Day Total]],(MONTH(Table8[[Date]:[Date]])=$AM16)*(DAY(Table8[[Date]:[Date]])=$AN16)*(YEAR(Table8[[Date]:[Date]])=AR$1),0)</f>
        <v>37</v>
      </c>
      <c r="AS16">
        <f t="shared" si="0"/>
        <v>620</v>
      </c>
      <c r="AT16" cm="1">
        <f t="array" ref="AT16">_xlfn._xlws.FILTER(Table8[[Day Total]:[Day Total]],(MONTH(Table8[[Date]:[Date]])=$AM16)*(DAY(Table8[[Date]:[Date]])=$AN16)*(YEAR(Table8[[Date]:[Date]])=AT$1),0)</f>
        <v>0</v>
      </c>
      <c r="AU16">
        <f t="shared" si="3"/>
        <v>85</v>
      </c>
      <c r="AV16" cm="1">
        <f t="array" ref="AV16">_xlfn._xlws.FILTER(Table8[[Day Total]:[Day Total]],(MONTH(Table8[[Date]:[Date]])=$AM16)*(DAY(Table8[[Date]:[Date]])=$AN16)*(YEAR(Table8[[Date]:[Date]])=AV$1),0)</f>
        <v>0</v>
      </c>
      <c r="AW16">
        <f t="shared" si="2"/>
        <v>341</v>
      </c>
    </row>
    <row r="17" spans="22:49" x14ac:dyDescent="0.25">
      <c r="V17" t="s">
        <v>26</v>
      </c>
      <c r="W17">
        <f>_xlfn.IFNA(_xlfn.XMATCH(books[[#This Row],[Book]],Table8[[#Headers],[The Golden Compass]:[end]]),-1)</f>
        <v>16</v>
      </c>
      <c r="X17">
        <v>16</v>
      </c>
      <c r="Y17">
        <v>16</v>
      </c>
      <c r="Z17">
        <v>16</v>
      </c>
      <c r="AA17">
        <f>_xlfn.IFNA(SUM(INDEX(Table8[],,_xlfn.XMATCH(books[[#This Row],[Book]],Table8[#Headers]))),0)</f>
        <v>301</v>
      </c>
      <c r="AB17">
        <v>301</v>
      </c>
      <c r="AC17" s="2">
        <f>IF(ISBLANK(books[[#This Row],[pages]]),"",books[[#This Row],[pages read]]/books[[#This Row],[pages]])</f>
        <v>1</v>
      </c>
      <c r="AK17" s="5">
        <v>46170</v>
      </c>
      <c r="AM17">
        <v>1</v>
      </c>
      <c r="AN17">
        <v>16</v>
      </c>
      <c r="AO17" t="str">
        <f t="shared" si="1"/>
        <v>1/16</v>
      </c>
      <c r="AP17" cm="1">
        <f t="array" ref="AP17">_xlfn._xlws.FILTER(Table8[[Day Total]:[Day Total]],(MONTH(Table8[[Date]:[Date]])=$AM17)*(DAY(Table8[[Date]:[Date]])=$AN17)*(YEAR(Table8[[Date]:[Date]])=AP$1),0)</f>
        <v>0</v>
      </c>
      <c r="AR17" cm="1">
        <f t="array" ref="AR17">_xlfn._xlws.FILTER(Table8[[Day Total]:[Day Total]],(MONTH(Table8[[Date]:[Date]])=$AM17)*(DAY(Table8[[Date]:[Date]])=$AN17)*(YEAR(Table8[[Date]:[Date]])=AR$1),0)</f>
        <v>41</v>
      </c>
      <c r="AS17">
        <f t="shared" si="0"/>
        <v>661</v>
      </c>
      <c r="AT17" cm="1">
        <f t="array" ref="AT17">_xlfn._xlws.FILTER(Table8[[Day Total]:[Day Total]],(MONTH(Table8[[Date]:[Date]])=$AM17)*(DAY(Table8[[Date]:[Date]])=$AN17)*(YEAR(Table8[[Date]:[Date]])=AT$1),0)</f>
        <v>0</v>
      </c>
      <c r="AU17">
        <f t="shared" si="3"/>
        <v>85</v>
      </c>
      <c r="AV17" cm="1">
        <f t="array" ref="AV17">_xlfn._xlws.FILTER(Table8[[Day Total]:[Day Total]],(MONTH(Table8[[Date]:[Date]])=$AM17)*(DAY(Table8[[Date]:[Date]])=$AN17)*(YEAR(Table8[[Date]:[Date]])=AV$1),0)</f>
        <v>0</v>
      </c>
      <c r="AW17">
        <f t="shared" si="2"/>
        <v>341</v>
      </c>
    </row>
    <row r="18" spans="22:49" x14ac:dyDescent="0.25">
      <c r="V18" t="s">
        <v>27</v>
      </c>
      <c r="W18">
        <f>_xlfn.IFNA(_xlfn.XMATCH(books[[#This Row],[Book]],Table8[[#Headers],[The Golden Compass]:[end]]),-1)</f>
        <v>17</v>
      </c>
      <c r="X18">
        <v>17</v>
      </c>
      <c r="Y18">
        <v>17</v>
      </c>
      <c r="Z18">
        <v>17</v>
      </c>
      <c r="AA18">
        <f>_xlfn.IFNA(SUM(INDEX(Table8[],,_xlfn.XMATCH(books[[#This Row],[Book]],Table8[#Headers]))),0)</f>
        <v>384</v>
      </c>
      <c r="AB18">
        <v>384</v>
      </c>
      <c r="AC18" s="2">
        <f>IF(ISBLANK(books[[#This Row],[pages]]),"",books[[#This Row],[pages read]]/books[[#This Row],[pages]])</f>
        <v>1</v>
      </c>
      <c r="AK18" s="5">
        <v>46173</v>
      </c>
      <c r="AM18">
        <v>1</v>
      </c>
      <c r="AN18">
        <v>17</v>
      </c>
      <c r="AO18" t="str">
        <f t="shared" si="1"/>
        <v>1/17</v>
      </c>
      <c r="AP18" cm="1">
        <f t="array" ref="AP18">_xlfn._xlws.FILTER(Table8[[Day Total]:[Day Total]],(MONTH(Table8[[Date]:[Date]])=$AM18)*(DAY(Table8[[Date]:[Date]])=$AN18)*(YEAR(Table8[[Date]:[Date]])=AP$1),0)</f>
        <v>0</v>
      </c>
      <c r="AR18" cm="1">
        <f t="array" ref="AR18">_xlfn._xlws.FILTER(Table8[[Day Total]:[Day Total]],(MONTH(Table8[[Date]:[Date]])=$AM18)*(DAY(Table8[[Date]:[Date]])=$AN18)*(YEAR(Table8[[Date]:[Date]])=AR$1),0)</f>
        <v>88</v>
      </c>
      <c r="AS18">
        <f t="shared" si="0"/>
        <v>749</v>
      </c>
      <c r="AT18" cm="1">
        <f t="array" ref="AT18">_xlfn._xlws.FILTER(Table8[[Day Total]:[Day Total]],(MONTH(Table8[[Date]:[Date]])=$AM18)*(DAY(Table8[[Date]:[Date]])=$AN18)*(YEAR(Table8[[Date]:[Date]])=AT$1),0)</f>
        <v>0</v>
      </c>
      <c r="AU18">
        <f t="shared" si="3"/>
        <v>85</v>
      </c>
      <c r="AV18" cm="1">
        <f t="array" ref="AV18">_xlfn._xlws.FILTER(Table8[[Day Total]:[Day Total]],(MONTH(Table8[[Date]:[Date]])=$AM18)*(DAY(Table8[[Date]:[Date]])=$AN18)*(YEAR(Table8[[Date]:[Date]])=AV$1),0)</f>
        <v>0</v>
      </c>
      <c r="AW18">
        <f t="shared" si="2"/>
        <v>341</v>
      </c>
    </row>
    <row r="19" spans="22:49" x14ac:dyDescent="0.25">
      <c r="V19" t="s">
        <v>28</v>
      </c>
      <c r="W19">
        <f>_xlfn.IFNA(_xlfn.XMATCH(books[[#This Row],[Book]],Table8[[#Headers],[The Golden Compass]:[end]]),-1)</f>
        <v>18</v>
      </c>
      <c r="X19">
        <v>18</v>
      </c>
      <c r="Y19">
        <v>18</v>
      </c>
      <c r="Z19">
        <v>18</v>
      </c>
      <c r="AA19">
        <f>_xlfn.IFNA(SUM(INDEX(Table8[],,_xlfn.XMATCH(books[[#This Row],[Book]],Table8[#Headers]))),0)</f>
        <v>533</v>
      </c>
      <c r="AB19">
        <v>533</v>
      </c>
      <c r="AC19" s="2">
        <f>IF(ISBLANK(books[[#This Row],[pages]]),"",books[[#This Row],[pages read]]/books[[#This Row],[pages]])</f>
        <v>1</v>
      </c>
      <c r="AK19" s="5">
        <v>46178</v>
      </c>
      <c r="AM19">
        <v>1</v>
      </c>
      <c r="AN19">
        <v>18</v>
      </c>
      <c r="AO19" t="str">
        <f t="shared" si="1"/>
        <v>1/18</v>
      </c>
      <c r="AP19" cm="1">
        <f t="array" ref="AP19">_xlfn._xlws.FILTER(Table8[[Day Total]:[Day Total]],(MONTH(Table8[[Date]:[Date]])=$AM19)*(DAY(Table8[[Date]:[Date]])=$AN19)*(YEAR(Table8[[Date]:[Date]])=AP$1),0)</f>
        <v>0</v>
      </c>
      <c r="AR19" cm="1">
        <f t="array" ref="AR19">_xlfn._xlws.FILTER(Table8[[Day Total]:[Day Total]],(MONTH(Table8[[Date]:[Date]])=$AM19)*(DAY(Table8[[Date]:[Date]])=$AN19)*(YEAR(Table8[[Date]:[Date]])=AR$1),0)</f>
        <v>54</v>
      </c>
      <c r="AS19">
        <f t="shared" si="0"/>
        <v>803</v>
      </c>
      <c r="AT19" cm="1">
        <f t="array" ref="AT19">_xlfn._xlws.FILTER(Table8[[Day Total]:[Day Total]],(MONTH(Table8[[Date]:[Date]])=$AM19)*(DAY(Table8[[Date]:[Date]])=$AN19)*(YEAR(Table8[[Date]:[Date]])=AT$1),0)</f>
        <v>0</v>
      </c>
      <c r="AU19">
        <f t="shared" si="3"/>
        <v>85</v>
      </c>
      <c r="AV19" cm="1">
        <f t="array" ref="AV19">_xlfn._xlws.FILTER(Table8[[Day Total]:[Day Total]],(MONTH(Table8[[Date]:[Date]])=$AM19)*(DAY(Table8[[Date]:[Date]])=$AN19)*(YEAR(Table8[[Date]:[Date]])=AV$1),0)</f>
        <v>0</v>
      </c>
      <c r="AW19">
        <f t="shared" si="2"/>
        <v>341</v>
      </c>
    </row>
    <row r="20" spans="22:49" x14ac:dyDescent="0.25">
      <c r="V20" t="s">
        <v>29</v>
      </c>
      <c r="W20">
        <f>_xlfn.IFNA(_xlfn.XMATCH(books[[#This Row],[Book]],Table8[[#Headers],[The Golden Compass]:[end]]),-1)</f>
        <v>19</v>
      </c>
      <c r="X20">
        <v>19</v>
      </c>
      <c r="Y20">
        <v>19</v>
      </c>
      <c r="Z20">
        <v>19</v>
      </c>
      <c r="AA20">
        <f>_xlfn.IFNA(SUM(INDEX(Table8[],,_xlfn.XMATCH(books[[#This Row],[Book]],Table8[#Headers]))),0)</f>
        <v>402</v>
      </c>
      <c r="AB20">
        <v>402</v>
      </c>
      <c r="AC20" s="2">
        <f>IF(ISBLANK(books[[#This Row],[pages]]),"",books[[#This Row],[pages read]]/books[[#This Row],[pages]])</f>
        <v>1</v>
      </c>
      <c r="AK20" s="5">
        <v>46190</v>
      </c>
      <c r="AM20">
        <v>1</v>
      </c>
      <c r="AN20">
        <v>19</v>
      </c>
      <c r="AO20" t="str">
        <f t="shared" si="1"/>
        <v>1/19</v>
      </c>
      <c r="AP20" cm="1">
        <f t="array" ref="AP20">_xlfn._xlws.FILTER(Table8[[Day Total]:[Day Total]],(MONTH(Table8[[Date]:[Date]])=$AM20)*(DAY(Table8[[Date]:[Date]])=$AN20)*(YEAR(Table8[[Date]:[Date]])=AP$1),0)</f>
        <v>0</v>
      </c>
      <c r="AR20" cm="1">
        <f t="array" ref="AR20">_xlfn._xlws.FILTER(Table8[[Day Total]:[Day Total]],(MONTH(Table8[[Date]:[Date]])=$AM20)*(DAY(Table8[[Date]:[Date]])=$AN20)*(YEAR(Table8[[Date]:[Date]])=AR$1),0)</f>
        <v>0</v>
      </c>
      <c r="AS20">
        <f t="shared" si="0"/>
        <v>803</v>
      </c>
      <c r="AT20" cm="1">
        <f t="array" ref="AT20">_xlfn._xlws.FILTER(Table8[[Day Total]:[Day Total]],(MONTH(Table8[[Date]:[Date]])=$AM20)*(DAY(Table8[[Date]:[Date]])=$AN20)*(YEAR(Table8[[Date]:[Date]])=AT$1),0)</f>
        <v>0</v>
      </c>
      <c r="AU20">
        <f t="shared" si="3"/>
        <v>85</v>
      </c>
      <c r="AV20" cm="1">
        <f t="array" ref="AV20">_xlfn._xlws.FILTER(Table8[[Day Total]:[Day Total]],(MONTH(Table8[[Date]:[Date]])=$AM20)*(DAY(Table8[[Date]:[Date]])=$AN20)*(YEAR(Table8[[Date]:[Date]])=AV$1),0)</f>
        <v>0</v>
      </c>
      <c r="AW20">
        <f t="shared" si="2"/>
        <v>341</v>
      </c>
    </row>
    <row r="21" spans="22:49" x14ac:dyDescent="0.25">
      <c r="V21" t="s">
        <v>30</v>
      </c>
      <c r="W21">
        <f>_xlfn.IFNA(_xlfn.XMATCH(books[[#This Row],[Book]],Table8[[#Headers],[The Golden Compass]:[end]]),-1)</f>
        <v>20</v>
      </c>
      <c r="X21">
        <v>20</v>
      </c>
      <c r="Y21">
        <v>20</v>
      </c>
      <c r="Z21">
        <v>20</v>
      </c>
      <c r="AA21">
        <f>_xlfn.IFNA(SUM(INDEX(Table8[],,_xlfn.XMATCH(books[[#This Row],[Book]],Table8[#Headers]))),0)</f>
        <v>215</v>
      </c>
      <c r="AB21">
        <v>215</v>
      </c>
      <c r="AC21" s="2">
        <f>IF(ISBLANK(books[[#This Row],[pages]]),"",books[[#This Row],[pages read]]/books[[#This Row],[pages]])</f>
        <v>1</v>
      </c>
      <c r="AK21" s="5">
        <v>46191</v>
      </c>
      <c r="AM21">
        <v>1</v>
      </c>
      <c r="AN21">
        <v>20</v>
      </c>
      <c r="AO21" t="str">
        <f t="shared" si="1"/>
        <v>1/20</v>
      </c>
      <c r="AP21" cm="1">
        <f t="array" ref="AP21">_xlfn._xlws.FILTER(Table8[[Day Total]:[Day Total]],(MONTH(Table8[[Date]:[Date]])=$AM21)*(DAY(Table8[[Date]:[Date]])=$AN21)*(YEAR(Table8[[Date]:[Date]])=AP$1),0)</f>
        <v>0</v>
      </c>
      <c r="AR21" cm="1">
        <f t="array" ref="AR21">_xlfn._xlws.FILTER(Table8[[Day Total]:[Day Total]],(MONTH(Table8[[Date]:[Date]])=$AM21)*(DAY(Table8[[Date]:[Date]])=$AN21)*(YEAR(Table8[[Date]:[Date]])=AR$1),0)</f>
        <v>0</v>
      </c>
      <c r="AS21">
        <f t="shared" si="0"/>
        <v>803</v>
      </c>
      <c r="AT21" cm="1">
        <f t="array" ref="AT21">_xlfn._xlws.FILTER(Table8[[Day Total]:[Day Total]],(MONTH(Table8[[Date]:[Date]])=$AM21)*(DAY(Table8[[Date]:[Date]])=$AN21)*(YEAR(Table8[[Date]:[Date]])=AT$1),0)</f>
        <v>0</v>
      </c>
      <c r="AU21">
        <f t="shared" si="3"/>
        <v>85</v>
      </c>
      <c r="AV21" cm="1">
        <f t="array" ref="AV21">_xlfn._xlws.FILTER(Table8[[Day Total]:[Day Total]],(MONTH(Table8[[Date]:[Date]])=$AM21)*(DAY(Table8[[Date]:[Date]])=$AN21)*(YEAR(Table8[[Date]:[Date]])=AV$1),0)</f>
        <v>0</v>
      </c>
      <c r="AW21">
        <f t="shared" si="2"/>
        <v>341</v>
      </c>
    </row>
    <row r="22" spans="22:49" x14ac:dyDescent="0.25">
      <c r="V22" t="s">
        <v>31</v>
      </c>
      <c r="W22">
        <f>_xlfn.IFNA(_xlfn.XMATCH(books[[#This Row],[Book]],Table8[[#Headers],[The Golden Compass]:[end]]),-1)</f>
        <v>21</v>
      </c>
      <c r="X22">
        <v>21</v>
      </c>
      <c r="Y22">
        <v>21</v>
      </c>
      <c r="Z22">
        <v>21</v>
      </c>
      <c r="AA22">
        <f>_xlfn.IFNA(SUM(INDEX(Table8[],,_xlfn.XMATCH(books[[#This Row],[Book]],Table8[#Headers]))),0)</f>
        <v>250</v>
      </c>
      <c r="AB22">
        <v>250</v>
      </c>
      <c r="AC22" s="2">
        <f>IF(ISBLANK(books[[#This Row],[pages]]),"",books[[#This Row],[pages read]]/books[[#This Row],[pages]])</f>
        <v>1</v>
      </c>
      <c r="AK22" s="5">
        <v>46197</v>
      </c>
      <c r="AM22">
        <v>1</v>
      </c>
      <c r="AN22">
        <v>21</v>
      </c>
      <c r="AO22" t="str">
        <f t="shared" si="1"/>
        <v>1/21</v>
      </c>
      <c r="AP22" cm="1">
        <f t="array" ref="AP22">_xlfn._xlws.FILTER(Table8[[Day Total]:[Day Total]],(MONTH(Table8[[Date]:[Date]])=$AM22)*(DAY(Table8[[Date]:[Date]])=$AN22)*(YEAR(Table8[[Date]:[Date]])=AP$1),0)</f>
        <v>0</v>
      </c>
      <c r="AR22" cm="1">
        <f t="array" ref="AR22">_xlfn._xlws.FILTER(Table8[[Day Total]:[Day Total]],(MONTH(Table8[[Date]:[Date]])=$AM22)*(DAY(Table8[[Date]:[Date]])=$AN22)*(YEAR(Table8[[Date]:[Date]])=AR$1),0)</f>
        <v>114</v>
      </c>
      <c r="AS22">
        <f t="shared" si="0"/>
        <v>917</v>
      </c>
      <c r="AT22" cm="1">
        <f t="array" ref="AT22">_xlfn._xlws.FILTER(Table8[[Day Total]:[Day Total]],(MONTH(Table8[[Date]:[Date]])=$AM22)*(DAY(Table8[[Date]:[Date]])=$AN22)*(YEAR(Table8[[Date]:[Date]])=AT$1),0)</f>
        <v>0</v>
      </c>
      <c r="AU22">
        <f t="shared" si="3"/>
        <v>85</v>
      </c>
      <c r="AV22" cm="1">
        <f t="array" ref="AV22">_xlfn._xlws.FILTER(Table8[[Day Total]:[Day Total]],(MONTH(Table8[[Date]:[Date]])=$AM22)*(DAY(Table8[[Date]:[Date]])=$AN22)*(YEAR(Table8[[Date]:[Date]])=AV$1),0)</f>
        <v>0</v>
      </c>
      <c r="AW22">
        <f t="shared" si="2"/>
        <v>341</v>
      </c>
    </row>
    <row r="23" spans="22:49" x14ac:dyDescent="0.25">
      <c r="V23" t="s">
        <v>32</v>
      </c>
      <c r="W23">
        <f>_xlfn.IFNA(_xlfn.XMATCH(books[[#This Row],[Book]],Table8[[#Headers],[The Golden Compass]:[end]]),-1)</f>
        <v>22</v>
      </c>
      <c r="X23">
        <v>22</v>
      </c>
      <c r="Y23">
        <v>22</v>
      </c>
      <c r="Z23">
        <v>22</v>
      </c>
      <c r="AA23">
        <f>_xlfn.IFNA(SUM(INDEX(Table8[],,_xlfn.XMATCH(books[[#This Row],[Book]],Table8[#Headers]))),0)</f>
        <v>240</v>
      </c>
      <c r="AB23">
        <v>240</v>
      </c>
      <c r="AC23" s="2">
        <f>IF(ISBLANK(books[[#This Row],[pages]]),"",books[[#This Row],[pages read]]/books[[#This Row],[pages]])</f>
        <v>1</v>
      </c>
      <c r="AK23" s="5">
        <v>46198</v>
      </c>
      <c r="AM23">
        <v>1</v>
      </c>
      <c r="AN23">
        <v>22</v>
      </c>
      <c r="AO23" t="str">
        <f t="shared" si="1"/>
        <v>1/22</v>
      </c>
      <c r="AP23" cm="1">
        <f t="array" ref="AP23">_xlfn._xlws.FILTER(Table8[[Day Total]:[Day Total]],(MONTH(Table8[[Date]:[Date]])=$AM23)*(DAY(Table8[[Date]:[Date]])=$AN23)*(YEAR(Table8[[Date]:[Date]])=AP$1),0)</f>
        <v>0</v>
      </c>
      <c r="AR23" cm="1">
        <f t="array" ref="AR23">_xlfn._xlws.FILTER(Table8[[Day Total]:[Day Total]],(MONTH(Table8[[Date]:[Date]])=$AM23)*(DAY(Table8[[Date]:[Date]])=$AN23)*(YEAR(Table8[[Date]:[Date]])=AR$1),0)</f>
        <v>0</v>
      </c>
      <c r="AS23">
        <f t="shared" si="0"/>
        <v>917</v>
      </c>
      <c r="AT23" cm="1">
        <f t="array" ref="AT23">_xlfn._xlws.FILTER(Table8[[Day Total]:[Day Total]],(MONTH(Table8[[Date]:[Date]])=$AM23)*(DAY(Table8[[Date]:[Date]])=$AN23)*(YEAR(Table8[[Date]:[Date]])=AT$1),0)</f>
        <v>0</v>
      </c>
      <c r="AU23">
        <f t="shared" si="3"/>
        <v>85</v>
      </c>
      <c r="AV23" cm="1">
        <f t="array" ref="AV23">_xlfn._xlws.FILTER(Table8[[Day Total]:[Day Total]],(MONTH(Table8[[Date]:[Date]])=$AM23)*(DAY(Table8[[Date]:[Date]])=$AN23)*(YEAR(Table8[[Date]:[Date]])=AV$1),0)</f>
        <v>0</v>
      </c>
      <c r="AW23">
        <f t="shared" si="2"/>
        <v>341</v>
      </c>
    </row>
    <row r="24" spans="22:49" x14ac:dyDescent="0.25">
      <c r="V24" t="s">
        <v>33</v>
      </c>
      <c r="W24">
        <f>_xlfn.IFNA(_xlfn.XMATCH(books[[#This Row],[Book]],Table8[[#Headers],[The Golden Compass]:[end]]),-1)</f>
        <v>23</v>
      </c>
      <c r="X24">
        <v>23</v>
      </c>
      <c r="Y24">
        <v>23</v>
      </c>
      <c r="Z24">
        <v>23</v>
      </c>
      <c r="AA24">
        <f>_xlfn.IFNA(SUM(INDEX(Table8[],,_xlfn.XMATCH(books[[#This Row],[Book]],Table8[#Headers]))),0)</f>
        <v>626</v>
      </c>
      <c r="AB24">
        <v>626</v>
      </c>
      <c r="AC24" s="2">
        <f>IF(ISBLANK(books[[#This Row],[pages]]),"",books[[#This Row],[pages read]]/books[[#This Row],[pages]])</f>
        <v>1</v>
      </c>
      <c r="AK24" s="5">
        <v>46202</v>
      </c>
      <c r="AM24">
        <v>1</v>
      </c>
      <c r="AN24">
        <v>23</v>
      </c>
      <c r="AO24" t="str">
        <f t="shared" si="1"/>
        <v>1/23</v>
      </c>
      <c r="AP24" cm="1">
        <f t="array" ref="AP24">_xlfn._xlws.FILTER(Table8[[Day Total]:[Day Total]],(MONTH(Table8[[Date]:[Date]])=$AM24)*(DAY(Table8[[Date]:[Date]])=$AN24)*(YEAR(Table8[[Date]:[Date]])=AP$1),0)</f>
        <v>0</v>
      </c>
      <c r="AR24" cm="1">
        <f t="array" ref="AR24">_xlfn._xlws.FILTER(Table8[[Day Total]:[Day Total]],(MONTH(Table8[[Date]:[Date]])=$AM24)*(DAY(Table8[[Date]:[Date]])=$AN24)*(YEAR(Table8[[Date]:[Date]])=AR$1),0)</f>
        <v>0</v>
      </c>
      <c r="AS24">
        <f t="shared" si="0"/>
        <v>917</v>
      </c>
      <c r="AT24" cm="1">
        <f t="array" ref="AT24">_xlfn._xlws.FILTER(Table8[[Day Total]:[Day Total]],(MONTH(Table8[[Date]:[Date]])=$AM24)*(DAY(Table8[[Date]:[Date]])=$AN24)*(YEAR(Table8[[Date]:[Date]])=AT$1),0)</f>
        <v>22</v>
      </c>
      <c r="AU24">
        <f t="shared" si="3"/>
        <v>107</v>
      </c>
      <c r="AV24" cm="1">
        <f t="array" ref="AV24">_xlfn._xlws.FILTER(Table8[[Day Total]:[Day Total]],(MONTH(Table8[[Date]:[Date]])=$AM24)*(DAY(Table8[[Date]:[Date]])=$AN24)*(YEAR(Table8[[Date]:[Date]])=AV$1),0)</f>
        <v>0</v>
      </c>
      <c r="AW24">
        <f t="shared" si="2"/>
        <v>341</v>
      </c>
    </row>
    <row r="25" spans="22:49" x14ac:dyDescent="0.25">
      <c r="V25" t="s">
        <v>34</v>
      </c>
      <c r="W25">
        <f>_xlfn.IFNA(_xlfn.XMATCH(books[[#This Row],[Book]],Table8[[#Headers],[The Golden Compass]:[end]]),-1)</f>
        <v>24</v>
      </c>
      <c r="X25">
        <v>24</v>
      </c>
      <c r="Y25">
        <v>24</v>
      </c>
      <c r="Z25">
        <v>24</v>
      </c>
      <c r="AA25">
        <f>_xlfn.IFNA(SUM(INDEX(Table8[],,_xlfn.XMATCH(books[[#This Row],[Book]],Table8[#Headers]))),0)</f>
        <v>128</v>
      </c>
      <c r="AB25">
        <v>128</v>
      </c>
      <c r="AC25" s="2">
        <f>IF(ISBLANK(books[[#This Row],[pages]]),"",books[[#This Row],[pages read]]/books[[#This Row],[pages]])</f>
        <v>1</v>
      </c>
      <c r="AK25" s="5">
        <v>46203</v>
      </c>
      <c r="AM25">
        <v>1</v>
      </c>
      <c r="AN25">
        <v>24</v>
      </c>
      <c r="AO25" t="str">
        <f t="shared" si="1"/>
        <v>1/24</v>
      </c>
      <c r="AP25" cm="1">
        <f t="array" ref="AP25">_xlfn._xlws.FILTER(Table8[[Day Total]:[Day Total]],(MONTH(Table8[[Date]:[Date]])=$AM25)*(DAY(Table8[[Date]:[Date]])=$AN25)*(YEAR(Table8[[Date]:[Date]])=AP$1),0)</f>
        <v>0</v>
      </c>
      <c r="AR25" cm="1">
        <f t="array" ref="AR25">_xlfn._xlws.FILTER(Table8[[Day Total]:[Day Total]],(MONTH(Table8[[Date]:[Date]])=$AM25)*(DAY(Table8[[Date]:[Date]])=$AN25)*(YEAR(Table8[[Date]:[Date]])=AR$1),0)</f>
        <v>0</v>
      </c>
      <c r="AS25">
        <f t="shared" si="0"/>
        <v>917</v>
      </c>
      <c r="AT25" cm="1">
        <f t="array" ref="AT25">_xlfn._xlws.FILTER(Table8[[Day Total]:[Day Total]],(MONTH(Table8[[Date]:[Date]])=$AM25)*(DAY(Table8[[Date]:[Date]])=$AN25)*(YEAR(Table8[[Date]:[Date]])=AT$1),0)</f>
        <v>15</v>
      </c>
      <c r="AU25">
        <f t="shared" si="3"/>
        <v>122</v>
      </c>
      <c r="AV25" cm="1">
        <f t="array" ref="AV25">_xlfn._xlws.FILTER(Table8[[Day Total]:[Day Total]],(MONTH(Table8[[Date]:[Date]])=$AM25)*(DAY(Table8[[Date]:[Date]])=$AN25)*(YEAR(Table8[[Date]:[Date]])=AV$1),0)</f>
        <v>0</v>
      </c>
      <c r="AW25">
        <f t="shared" si="2"/>
        <v>341</v>
      </c>
    </row>
    <row r="26" spans="22:49" x14ac:dyDescent="0.25">
      <c r="V26" t="s">
        <v>35</v>
      </c>
      <c r="W26">
        <f>_xlfn.IFNA(_xlfn.XMATCH(books[[#This Row],[Book]],Table8[[#Headers],[The Golden Compass]:[end]]),-1)</f>
        <v>25</v>
      </c>
      <c r="X26">
        <v>25</v>
      </c>
      <c r="Y26">
        <v>25</v>
      </c>
      <c r="Z26">
        <v>25</v>
      </c>
      <c r="AA26">
        <f>_xlfn.IFNA(SUM(INDEX(Table8[],,_xlfn.XMATCH(books[[#This Row],[Book]],Table8[#Headers]))),0)</f>
        <v>135</v>
      </c>
      <c r="AB26">
        <v>135</v>
      </c>
      <c r="AC26" s="2">
        <f>IF(ISBLANK(books[[#This Row],[pages]]),"",books[[#This Row],[pages read]]/books[[#This Row],[pages]])</f>
        <v>1</v>
      </c>
      <c r="AK26" s="5">
        <v>46204</v>
      </c>
      <c r="AM26">
        <v>1</v>
      </c>
      <c r="AN26">
        <v>25</v>
      </c>
      <c r="AO26" t="str">
        <f t="shared" si="1"/>
        <v>1/25</v>
      </c>
      <c r="AP26" cm="1">
        <f t="array" ref="AP26">_xlfn._xlws.FILTER(Table8[[Day Total]:[Day Total]],(MONTH(Table8[[Date]:[Date]])=$AM26)*(DAY(Table8[[Date]:[Date]])=$AN26)*(YEAR(Table8[[Date]:[Date]])=AP$1),0)</f>
        <v>0</v>
      </c>
      <c r="AR26" cm="1">
        <f t="array" ref="AR26">_xlfn._xlws.FILTER(Table8[[Day Total]:[Day Total]],(MONTH(Table8[[Date]:[Date]])=$AM26)*(DAY(Table8[[Date]:[Date]])=$AN26)*(YEAR(Table8[[Date]:[Date]])=AR$1),0)</f>
        <v>0</v>
      </c>
      <c r="AS26">
        <f t="shared" si="0"/>
        <v>917</v>
      </c>
      <c r="AT26" cm="1">
        <f t="array" ref="AT26">_xlfn._xlws.FILTER(Table8[[Day Total]:[Day Total]],(MONTH(Table8[[Date]:[Date]])=$AM26)*(DAY(Table8[[Date]:[Date]])=$AN26)*(YEAR(Table8[[Date]:[Date]])=AT$1),0)</f>
        <v>0</v>
      </c>
      <c r="AU26">
        <f t="shared" si="3"/>
        <v>122</v>
      </c>
      <c r="AV26" cm="1">
        <f t="array" ref="AV26">_xlfn._xlws.FILTER(Table8[[Day Total]:[Day Total]],(MONTH(Table8[[Date]:[Date]])=$AM26)*(DAY(Table8[[Date]:[Date]])=$AN26)*(YEAR(Table8[[Date]:[Date]])=AV$1),0)</f>
        <v>0</v>
      </c>
      <c r="AW26">
        <f t="shared" si="2"/>
        <v>341</v>
      </c>
    </row>
    <row r="27" spans="22:49" x14ac:dyDescent="0.25">
      <c r="V27" t="s">
        <v>36</v>
      </c>
      <c r="W27">
        <f>_xlfn.IFNA(_xlfn.XMATCH(books[[#This Row],[Book]],Table8[[#Headers],[The Golden Compass]:[end]]),-1)</f>
        <v>26</v>
      </c>
      <c r="X27">
        <v>26</v>
      </c>
      <c r="Y27">
        <v>26</v>
      </c>
      <c r="Z27">
        <v>26</v>
      </c>
      <c r="AA27">
        <f>_xlfn.IFNA(SUM(INDEX(Table8[],,_xlfn.XMATCH(books[[#This Row],[Book]],Table8[#Headers]))),0)</f>
        <v>173</v>
      </c>
      <c r="AB27">
        <v>173</v>
      </c>
      <c r="AC27" s="2">
        <f>IF(ISBLANK(books[[#This Row],[pages]]),"",books[[#This Row],[pages read]]/books[[#This Row],[pages]])</f>
        <v>1</v>
      </c>
      <c r="AK27" s="5">
        <v>46211</v>
      </c>
      <c r="AM27">
        <v>1</v>
      </c>
      <c r="AN27">
        <v>26</v>
      </c>
      <c r="AO27" t="str">
        <f t="shared" si="1"/>
        <v>1/26</v>
      </c>
      <c r="AP27" cm="1">
        <f t="array" ref="AP27">_xlfn._xlws.FILTER(Table8[[Day Total]:[Day Total]],(MONTH(Table8[[Date]:[Date]])=$AM27)*(DAY(Table8[[Date]:[Date]])=$AN27)*(YEAR(Table8[[Date]:[Date]])=AP$1),0)</f>
        <v>0</v>
      </c>
      <c r="AR27" cm="1">
        <f t="array" ref="AR27">_xlfn._xlws.FILTER(Table8[[Day Total]:[Day Total]],(MONTH(Table8[[Date]:[Date]])=$AM27)*(DAY(Table8[[Date]:[Date]])=$AN27)*(YEAR(Table8[[Date]:[Date]])=AR$1),0)</f>
        <v>18</v>
      </c>
      <c r="AS27">
        <f t="shared" si="0"/>
        <v>935</v>
      </c>
      <c r="AT27" cm="1">
        <f t="array" ref="AT27">_xlfn._xlws.FILTER(Table8[[Day Total]:[Day Total]],(MONTH(Table8[[Date]:[Date]])=$AM27)*(DAY(Table8[[Date]:[Date]])=$AN27)*(YEAR(Table8[[Date]:[Date]])=AT$1),0)</f>
        <v>34</v>
      </c>
      <c r="AU27">
        <f t="shared" si="3"/>
        <v>156</v>
      </c>
      <c r="AV27" cm="1">
        <f t="array" ref="AV27">_xlfn._xlws.FILTER(Table8[[Day Total]:[Day Total]],(MONTH(Table8[[Date]:[Date]])=$AM27)*(DAY(Table8[[Date]:[Date]])=$AN27)*(YEAR(Table8[[Date]:[Date]])=AV$1),0)</f>
        <v>0</v>
      </c>
      <c r="AW27">
        <f t="shared" si="2"/>
        <v>341</v>
      </c>
    </row>
    <row r="28" spans="22:49" x14ac:dyDescent="0.25">
      <c r="V28" t="s">
        <v>37</v>
      </c>
      <c r="W28">
        <f>_xlfn.IFNA(_xlfn.XMATCH(books[[#This Row],[Book]],Table8[[#Headers],[The Golden Compass]:[end]]),-1)</f>
        <v>27</v>
      </c>
      <c r="X28">
        <v>27</v>
      </c>
      <c r="Y28">
        <v>27</v>
      </c>
      <c r="Z28">
        <v>27</v>
      </c>
      <c r="AA28">
        <f>_xlfn.IFNA(SUM(INDEX(Table8[],,_xlfn.XMATCH(books[[#This Row],[Book]],Table8[#Headers]))),0)</f>
        <v>204</v>
      </c>
      <c r="AB28">
        <v>204</v>
      </c>
      <c r="AC28" s="2">
        <f>IF(ISBLANK(books[[#This Row],[pages]]),"",books[[#This Row],[pages read]]/books[[#This Row],[pages]])</f>
        <v>1</v>
      </c>
      <c r="AK28" s="5">
        <v>46221</v>
      </c>
      <c r="AM28">
        <v>1</v>
      </c>
      <c r="AN28">
        <v>27</v>
      </c>
      <c r="AO28" t="str">
        <f t="shared" si="1"/>
        <v>1/27</v>
      </c>
      <c r="AP28" cm="1">
        <f t="array" ref="AP28">_xlfn._xlws.FILTER(Table8[[Day Total]:[Day Total]],(MONTH(Table8[[Date]:[Date]])=$AM28)*(DAY(Table8[[Date]:[Date]])=$AN28)*(YEAR(Table8[[Date]:[Date]])=AP$1),0)</f>
        <v>0</v>
      </c>
      <c r="AR28" cm="1">
        <f t="array" ref="AR28">_xlfn._xlws.FILTER(Table8[[Day Total]:[Day Total]],(MONTH(Table8[[Date]:[Date]])=$AM28)*(DAY(Table8[[Date]:[Date]])=$AN28)*(YEAR(Table8[[Date]:[Date]])=AR$1),0)</f>
        <v>0</v>
      </c>
      <c r="AS28">
        <f t="shared" si="0"/>
        <v>935</v>
      </c>
      <c r="AT28" cm="1">
        <f t="array" ref="AT28">_xlfn._xlws.FILTER(Table8[[Day Total]:[Day Total]],(MONTH(Table8[[Date]:[Date]])=$AM28)*(DAY(Table8[[Date]:[Date]])=$AN28)*(YEAR(Table8[[Date]:[Date]])=AT$1),0)</f>
        <v>0</v>
      </c>
      <c r="AU28">
        <f t="shared" si="3"/>
        <v>156</v>
      </c>
      <c r="AV28" cm="1">
        <f t="array" ref="AV28">_xlfn._xlws.FILTER(Table8[[Day Total]:[Day Total]],(MONTH(Table8[[Date]:[Date]])=$AM28)*(DAY(Table8[[Date]:[Date]])=$AN28)*(YEAR(Table8[[Date]:[Date]])=AV$1),0)</f>
        <v>0</v>
      </c>
      <c r="AW28">
        <f t="shared" si="2"/>
        <v>341</v>
      </c>
    </row>
    <row r="29" spans="22:49" x14ac:dyDescent="0.25">
      <c r="V29" t="s">
        <v>38</v>
      </c>
      <c r="W29">
        <f>_xlfn.IFNA(_xlfn.XMATCH(books[[#This Row],[Book]],Table8[[#Headers],[The Golden Compass]:[end]]),-1)</f>
        <v>28</v>
      </c>
      <c r="X29">
        <v>28</v>
      </c>
      <c r="Y29">
        <v>28</v>
      </c>
      <c r="Z29">
        <v>28</v>
      </c>
      <c r="AA29">
        <f>_xlfn.IFNA(SUM(INDEX(Table8[],,_xlfn.XMATCH(books[[#This Row],[Book]],Table8[#Headers]))),0)</f>
        <v>174</v>
      </c>
      <c r="AB29">
        <v>174</v>
      </c>
      <c r="AC29" s="2">
        <f>IF(ISBLANK(books[[#This Row],[pages]]),"",books[[#This Row],[pages read]]/books[[#This Row],[pages]])</f>
        <v>1</v>
      </c>
      <c r="AK29" s="5">
        <v>46222</v>
      </c>
      <c r="AM29">
        <v>1</v>
      </c>
      <c r="AN29">
        <v>28</v>
      </c>
      <c r="AO29" t="str">
        <f t="shared" si="1"/>
        <v>1/28</v>
      </c>
      <c r="AP29" cm="1">
        <f t="array" ref="AP29">_xlfn._xlws.FILTER(Table8[[Day Total]:[Day Total]],(MONTH(Table8[[Date]:[Date]])=$AM29)*(DAY(Table8[[Date]:[Date]])=$AN29)*(YEAR(Table8[[Date]:[Date]])=AP$1),0)</f>
        <v>0</v>
      </c>
      <c r="AR29" cm="1">
        <f t="array" ref="AR29">_xlfn._xlws.FILTER(Table8[[Day Total]:[Day Total]],(MONTH(Table8[[Date]:[Date]])=$AM29)*(DAY(Table8[[Date]:[Date]])=$AN29)*(YEAR(Table8[[Date]:[Date]])=AR$1),0)</f>
        <v>16</v>
      </c>
      <c r="AS29">
        <f t="shared" si="0"/>
        <v>951</v>
      </c>
      <c r="AT29" cm="1">
        <f t="array" ref="AT29">_xlfn._xlws.FILTER(Table8[[Day Total]:[Day Total]],(MONTH(Table8[[Date]:[Date]])=$AM29)*(DAY(Table8[[Date]:[Date]])=$AN29)*(YEAR(Table8[[Date]:[Date]])=AT$1),0)</f>
        <v>0</v>
      </c>
      <c r="AU29">
        <f t="shared" si="3"/>
        <v>156</v>
      </c>
      <c r="AV29" cm="1">
        <f t="array" ref="AV29">_xlfn._xlws.FILTER(Table8[[Day Total]:[Day Total]],(MONTH(Table8[[Date]:[Date]])=$AM29)*(DAY(Table8[[Date]:[Date]])=$AN29)*(YEAR(Table8[[Date]:[Date]])=AV$1),0)</f>
        <v>0</v>
      </c>
      <c r="AW29">
        <f t="shared" si="2"/>
        <v>341</v>
      </c>
    </row>
    <row r="30" spans="22:49" x14ac:dyDescent="0.25">
      <c r="V30" t="s">
        <v>39</v>
      </c>
      <c r="W30">
        <f>_xlfn.IFNA(_xlfn.XMATCH(books[[#This Row],[Book]],Table8[[#Headers],[The Golden Compass]:[end]]),-1)</f>
        <v>29</v>
      </c>
      <c r="X30">
        <v>29</v>
      </c>
      <c r="Y30">
        <v>29</v>
      </c>
      <c r="Z30">
        <v>29</v>
      </c>
      <c r="AA30">
        <f>_xlfn.IFNA(SUM(INDEX(Table8[],,_xlfn.XMATCH(books[[#This Row],[Book]],Table8[#Headers]))),0)</f>
        <v>213</v>
      </c>
      <c r="AB30">
        <v>213</v>
      </c>
      <c r="AC30" s="2">
        <f>IF(ISBLANK(books[[#This Row],[pages]]),"",books[[#This Row],[pages read]]/books[[#This Row],[pages]])</f>
        <v>1</v>
      </c>
      <c r="AK30" s="5">
        <v>46223</v>
      </c>
      <c r="AM30">
        <v>1</v>
      </c>
      <c r="AN30">
        <v>29</v>
      </c>
      <c r="AO30" t="str">
        <f t="shared" si="1"/>
        <v>1/29</v>
      </c>
      <c r="AP30" cm="1">
        <f t="array" ref="AP30">_xlfn._xlws.FILTER(Table8[[Day Total]:[Day Total]],(MONTH(Table8[[Date]:[Date]])=$AM30)*(DAY(Table8[[Date]:[Date]])=$AN30)*(YEAR(Table8[[Date]:[Date]])=AP$1),0)</f>
        <v>0</v>
      </c>
      <c r="AR30" cm="1">
        <f t="array" ref="AR30">_xlfn._xlws.FILTER(Table8[[Day Total]:[Day Total]],(MONTH(Table8[[Date]:[Date]])=$AM30)*(DAY(Table8[[Date]:[Date]])=$AN30)*(YEAR(Table8[[Date]:[Date]])=AR$1),0)</f>
        <v>72</v>
      </c>
      <c r="AS30">
        <f t="shared" si="0"/>
        <v>1023</v>
      </c>
      <c r="AT30" cm="1">
        <f t="array" ref="AT30">_xlfn._xlws.FILTER(Table8[[Day Total]:[Day Total]],(MONTH(Table8[[Date]:[Date]])=$AM30)*(DAY(Table8[[Date]:[Date]])=$AN30)*(YEAR(Table8[[Date]:[Date]])=AT$1),0)</f>
        <v>0</v>
      </c>
      <c r="AU30">
        <f t="shared" si="3"/>
        <v>156</v>
      </c>
      <c r="AV30" cm="1">
        <f t="array" ref="AV30">_xlfn._xlws.FILTER(Table8[[Day Total]:[Day Total]],(MONTH(Table8[[Date]:[Date]])=$AM30)*(DAY(Table8[[Date]:[Date]])=$AN30)*(YEAR(Table8[[Date]:[Date]])=AV$1),0)</f>
        <v>0</v>
      </c>
      <c r="AW30">
        <f t="shared" si="2"/>
        <v>341</v>
      </c>
    </row>
    <row r="31" spans="22:49" x14ac:dyDescent="0.25">
      <c r="V31" t="s">
        <v>40</v>
      </c>
      <c r="W31">
        <f>_xlfn.IFNA(_xlfn.XMATCH(books[[#This Row],[Book]],Table8[[#Headers],[The Golden Compass]:[end]]),-1)</f>
        <v>30</v>
      </c>
      <c r="X31">
        <v>30</v>
      </c>
      <c r="Y31">
        <v>30</v>
      </c>
      <c r="Z31">
        <v>30</v>
      </c>
      <c r="AA31">
        <f>_xlfn.IFNA(SUM(INDEX(Table8[],,_xlfn.XMATCH(books[[#This Row],[Book]],Table8[#Headers]))),0)</f>
        <v>271</v>
      </c>
      <c r="AB31">
        <v>271</v>
      </c>
      <c r="AC31" s="2">
        <f>IF(ISBLANK(books[[#This Row],[pages]]),"",books[[#This Row],[pages read]]/books[[#This Row],[pages]])</f>
        <v>1</v>
      </c>
      <c r="AK31" s="5">
        <v>46225</v>
      </c>
      <c r="AM31">
        <v>1</v>
      </c>
      <c r="AN31">
        <v>30</v>
      </c>
      <c r="AO31" t="str">
        <f t="shared" si="1"/>
        <v>1/30</v>
      </c>
      <c r="AP31" cm="1">
        <f t="array" ref="AP31">_xlfn._xlws.FILTER(Table8[[Day Total]:[Day Total]],(MONTH(Table8[[Date]:[Date]])=$AM31)*(DAY(Table8[[Date]:[Date]])=$AN31)*(YEAR(Table8[[Date]:[Date]])=AP$1),0)</f>
        <v>0</v>
      </c>
      <c r="AR31" cm="1">
        <f t="array" ref="AR31">_xlfn._xlws.FILTER(Table8[[Day Total]:[Day Total]],(MONTH(Table8[[Date]:[Date]])=$AM31)*(DAY(Table8[[Date]:[Date]])=$AN31)*(YEAR(Table8[[Date]:[Date]])=AR$1),0)</f>
        <v>78</v>
      </c>
      <c r="AS31">
        <f t="shared" si="0"/>
        <v>1101</v>
      </c>
      <c r="AT31" cm="1">
        <f t="array" ref="AT31">_xlfn._xlws.FILTER(Table8[[Day Total]:[Day Total]],(MONTH(Table8[[Date]:[Date]])=$AM31)*(DAY(Table8[[Date]:[Date]])=$AN31)*(YEAR(Table8[[Date]:[Date]])=AT$1),0)</f>
        <v>0</v>
      </c>
      <c r="AU31">
        <f t="shared" si="3"/>
        <v>156</v>
      </c>
      <c r="AV31" cm="1">
        <f t="array" ref="AV31">_xlfn._xlws.FILTER(Table8[[Day Total]:[Day Total]],(MONTH(Table8[[Date]:[Date]])=$AM31)*(DAY(Table8[[Date]:[Date]])=$AN31)*(YEAR(Table8[[Date]:[Date]])=AV$1),0)</f>
        <v>0</v>
      </c>
      <c r="AW31">
        <f t="shared" si="2"/>
        <v>341</v>
      </c>
    </row>
    <row r="32" spans="22:49" x14ac:dyDescent="0.25">
      <c r="V32" t="s">
        <v>41</v>
      </c>
      <c r="W32">
        <f>_xlfn.IFNA(_xlfn.XMATCH(books[[#This Row],[Book]],Table8[[#Headers],[The Golden Compass]:[end]]),-1)</f>
        <v>31</v>
      </c>
      <c r="X32">
        <v>31</v>
      </c>
      <c r="Y32">
        <v>31</v>
      </c>
      <c r="Z32">
        <v>31</v>
      </c>
      <c r="AA32">
        <f>_xlfn.IFNA(SUM(INDEX(Table8[],,_xlfn.XMATCH(books[[#This Row],[Book]],Table8[#Headers]))),0)</f>
        <v>212</v>
      </c>
      <c r="AB32">
        <v>212</v>
      </c>
      <c r="AC32" s="2">
        <f>IF(ISBLANK(books[[#This Row],[pages]]),"",books[[#This Row],[pages read]]/books[[#This Row],[pages]])</f>
        <v>1</v>
      </c>
      <c r="AK32" s="5">
        <v>46227</v>
      </c>
      <c r="AM32">
        <v>1</v>
      </c>
      <c r="AN32">
        <v>31</v>
      </c>
      <c r="AO32" t="str">
        <f t="shared" si="1"/>
        <v>1/31</v>
      </c>
      <c r="AP32" cm="1">
        <f t="array" ref="AP32">_xlfn._xlws.FILTER(Table8[[Day Total]:[Day Total]],(MONTH(Table8[[Date]:[Date]])=$AM32)*(DAY(Table8[[Date]:[Date]])=$AN32)*(YEAR(Table8[[Date]:[Date]])=AP$1),0)</f>
        <v>0</v>
      </c>
      <c r="AR32" cm="1">
        <f t="array" ref="AR32">_xlfn._xlws.FILTER(Table8[[Day Total]:[Day Total]],(MONTH(Table8[[Date]:[Date]])=$AM32)*(DAY(Table8[[Date]:[Date]])=$AN32)*(YEAR(Table8[[Date]:[Date]])=AR$1),0)</f>
        <v>218</v>
      </c>
      <c r="AS32">
        <f t="shared" si="0"/>
        <v>1319</v>
      </c>
      <c r="AT32" cm="1">
        <f t="array" ref="AT32">_xlfn._xlws.FILTER(Table8[[Day Total]:[Day Total]],(MONTH(Table8[[Date]:[Date]])=$AM32)*(DAY(Table8[[Date]:[Date]])=$AN32)*(YEAR(Table8[[Date]:[Date]])=AT$1),0)</f>
        <v>0</v>
      </c>
      <c r="AU32">
        <f t="shared" si="3"/>
        <v>156</v>
      </c>
      <c r="AV32" cm="1">
        <f t="array" ref="AV32">_xlfn._xlws.FILTER(Table8[[Day Total]:[Day Total]],(MONTH(Table8[[Date]:[Date]])=$AM32)*(DAY(Table8[[Date]:[Date]])=$AN32)*(YEAR(Table8[[Date]:[Date]])=AV$1),0)</f>
        <v>0</v>
      </c>
      <c r="AW32">
        <f t="shared" si="2"/>
        <v>341</v>
      </c>
    </row>
    <row r="33" spans="22:49" x14ac:dyDescent="0.25">
      <c r="V33" t="s">
        <v>42</v>
      </c>
      <c r="W33">
        <f>_xlfn.IFNA(_xlfn.XMATCH(books[[#This Row],[Book]],Table8[[#Headers],[The Golden Compass]:[end]]),-1)</f>
        <v>32</v>
      </c>
      <c r="X33">
        <v>32</v>
      </c>
      <c r="Y33">
        <v>32</v>
      </c>
      <c r="Z33">
        <v>32</v>
      </c>
      <c r="AA33">
        <f>_xlfn.IFNA(SUM(INDEX(Table8[],,_xlfn.XMATCH(books[[#This Row],[Book]],Table8[#Headers]))),0)</f>
        <v>322</v>
      </c>
      <c r="AB33">
        <v>322</v>
      </c>
      <c r="AC33" s="2">
        <f>IF(ISBLANK(books[[#This Row],[pages]]),"",books[[#This Row],[pages read]]/books[[#This Row],[pages]])</f>
        <v>1</v>
      </c>
      <c r="AK33" s="5">
        <v>46229</v>
      </c>
      <c r="AL33" t="s">
        <v>104</v>
      </c>
      <c r="AM33">
        <v>2</v>
      </c>
      <c r="AN33">
        <v>1</v>
      </c>
      <c r="AO33" t="str">
        <f t="shared" si="1"/>
        <v>2/1</v>
      </c>
      <c r="AP33" cm="1">
        <f t="array" ref="AP33">_xlfn._xlws.FILTER(Table8[[Day Total]:[Day Total]],(MONTH(Table8[[Date]:[Date]])=$AM33)*(DAY(Table8[[Date]:[Date]])=$AN33)*(YEAR(Table8[[Date]:[Date]])=AP$1),0)</f>
        <v>0</v>
      </c>
      <c r="AR33" cm="1">
        <f t="array" ref="AR33">_xlfn._xlws.FILTER(Table8[[Day Total]:[Day Total]],(MONTH(Table8[[Date]:[Date]])=$AM33)*(DAY(Table8[[Date]:[Date]])=$AN33)*(YEAR(Table8[[Date]:[Date]])=AR$1),0)</f>
        <v>0</v>
      </c>
      <c r="AS33">
        <f t="shared" si="0"/>
        <v>1319</v>
      </c>
      <c r="AT33" cm="1">
        <f t="array" ref="AT33">_xlfn._xlws.FILTER(Table8[[Day Total]:[Day Total]],(MONTH(Table8[[Date]:[Date]])=$AM33)*(DAY(Table8[[Date]:[Date]])=$AN33)*(YEAR(Table8[[Date]:[Date]])=AT$1),0)</f>
        <v>0</v>
      </c>
      <c r="AU33">
        <f t="shared" si="3"/>
        <v>156</v>
      </c>
      <c r="AV33" cm="1">
        <f t="array" ref="AV33">_xlfn._xlws.FILTER(Table8[[Day Total]:[Day Total]],(MONTH(Table8[[Date]:[Date]])=$AM33)*(DAY(Table8[[Date]:[Date]])=$AN33)*(YEAR(Table8[[Date]:[Date]])=AV$1),0)</f>
        <v>0</v>
      </c>
      <c r="AW33">
        <f t="shared" si="2"/>
        <v>341</v>
      </c>
    </row>
    <row r="34" spans="22:49" x14ac:dyDescent="0.25">
      <c r="V34" t="s">
        <v>43</v>
      </c>
      <c r="W34">
        <f>_xlfn.IFNA(_xlfn.XMATCH(books[[#This Row],[Book]],Table8[[#Headers],[The Golden Compass]:[end]]),-1)</f>
        <v>33</v>
      </c>
      <c r="X34">
        <v>33</v>
      </c>
      <c r="Y34">
        <v>33</v>
      </c>
      <c r="Z34">
        <v>33</v>
      </c>
      <c r="AA34">
        <f>_xlfn.IFNA(SUM(INDEX(Table8[],,_xlfn.XMATCH(books[[#This Row],[Book]],Table8[#Headers]))),0)</f>
        <v>198</v>
      </c>
      <c r="AB34">
        <v>198</v>
      </c>
      <c r="AC34" s="2">
        <f>IF(ISBLANK(books[[#This Row],[pages]]),"",books[[#This Row],[pages read]]/books[[#This Row],[pages]])</f>
        <v>1</v>
      </c>
      <c r="AK34" s="5">
        <v>46230</v>
      </c>
      <c r="AM34">
        <v>2</v>
      </c>
      <c r="AN34">
        <v>2</v>
      </c>
      <c r="AO34" t="str">
        <f t="shared" si="1"/>
        <v>2/2</v>
      </c>
      <c r="AP34" cm="1">
        <f t="array" ref="AP34">_xlfn._xlws.FILTER(Table8[[Day Total]:[Day Total]],(MONTH(Table8[[Date]:[Date]])=$AM34)*(DAY(Table8[[Date]:[Date]])=$AN34)*(YEAR(Table8[[Date]:[Date]])=AP$1),0)</f>
        <v>0</v>
      </c>
      <c r="AR34" cm="1">
        <f t="array" ref="AR34">_xlfn._xlws.FILTER(Table8[[Day Total]:[Day Total]],(MONTH(Table8[[Date]:[Date]])=$AM34)*(DAY(Table8[[Date]:[Date]])=$AN34)*(YEAR(Table8[[Date]:[Date]])=AR$1),0)</f>
        <v>0</v>
      </c>
      <c r="AS34">
        <f t="shared" si="0"/>
        <v>1319</v>
      </c>
      <c r="AT34" cm="1">
        <f t="array" ref="AT34">_xlfn._xlws.FILTER(Table8[[Day Total]:[Day Total]],(MONTH(Table8[[Date]:[Date]])=$AM34)*(DAY(Table8[[Date]:[Date]])=$AN34)*(YEAR(Table8[[Date]:[Date]])=AT$1),0)</f>
        <v>0</v>
      </c>
      <c r="AU34">
        <f t="shared" si="3"/>
        <v>156</v>
      </c>
      <c r="AV34" cm="1">
        <f t="array" ref="AV34">_xlfn._xlws.FILTER(Table8[[Day Total]:[Day Total]],(MONTH(Table8[[Date]:[Date]])=$AM34)*(DAY(Table8[[Date]:[Date]])=$AN34)*(YEAR(Table8[[Date]:[Date]])=AV$1),0)</f>
        <v>0</v>
      </c>
      <c r="AW34">
        <f t="shared" si="2"/>
        <v>341</v>
      </c>
    </row>
    <row r="35" spans="22:49" x14ac:dyDescent="0.25">
      <c r="V35" t="s">
        <v>44</v>
      </c>
      <c r="W35">
        <f>_xlfn.IFNA(_xlfn.XMATCH(books[[#This Row],[Book]],Table8[[#Headers],[The Golden Compass]:[end]]),-1)</f>
        <v>34</v>
      </c>
      <c r="X35">
        <v>34</v>
      </c>
      <c r="Y35">
        <v>34</v>
      </c>
      <c r="Z35">
        <v>34</v>
      </c>
      <c r="AA35">
        <f>_xlfn.IFNA(SUM(INDEX(Table8[],,_xlfn.XMATCH(books[[#This Row],[Book]],Table8[#Headers]))),0)</f>
        <v>342</v>
      </c>
      <c r="AB35">
        <v>342</v>
      </c>
      <c r="AC35" s="2">
        <f>IF(ISBLANK(books[[#This Row],[pages]]),"",books[[#This Row],[pages read]]/books[[#This Row],[pages]])</f>
        <v>1</v>
      </c>
      <c r="AK35" s="5">
        <v>46231</v>
      </c>
      <c r="AM35">
        <v>2</v>
      </c>
      <c r="AN35">
        <v>3</v>
      </c>
      <c r="AO35" t="str">
        <f t="shared" si="1"/>
        <v>2/3</v>
      </c>
      <c r="AP35" cm="1">
        <f t="array" ref="AP35">_xlfn._xlws.FILTER(Table8[[Day Total]:[Day Total]],(MONTH(Table8[[Date]:[Date]])=$AM35)*(DAY(Table8[[Date]:[Date]])=$AN35)*(YEAR(Table8[[Date]:[Date]])=AP$1),0)</f>
        <v>0</v>
      </c>
      <c r="AR35" cm="1">
        <f t="array" ref="AR35">_xlfn._xlws.FILTER(Table8[[Day Total]:[Day Total]],(MONTH(Table8[[Date]:[Date]])=$AM35)*(DAY(Table8[[Date]:[Date]])=$AN35)*(YEAR(Table8[[Date]:[Date]])=AR$1),0)</f>
        <v>37</v>
      </c>
      <c r="AS35">
        <f t="shared" si="0"/>
        <v>1356</v>
      </c>
      <c r="AT35" cm="1">
        <f t="array" ref="AT35">_xlfn._xlws.FILTER(Table8[[Day Total]:[Day Total]],(MONTH(Table8[[Date]:[Date]])=$AM35)*(DAY(Table8[[Date]:[Date]])=$AN35)*(YEAR(Table8[[Date]:[Date]])=AT$1),0)</f>
        <v>0</v>
      </c>
      <c r="AU35">
        <f t="shared" si="3"/>
        <v>156</v>
      </c>
      <c r="AV35" cm="1">
        <f t="array" ref="AV35">_xlfn._xlws.FILTER(Table8[[Day Total]:[Day Total]],(MONTH(Table8[[Date]:[Date]])=$AM35)*(DAY(Table8[[Date]:[Date]])=$AN35)*(YEAR(Table8[[Date]:[Date]])=AV$1),0)</f>
        <v>0</v>
      </c>
      <c r="AW35">
        <f t="shared" si="2"/>
        <v>341</v>
      </c>
    </row>
    <row r="36" spans="22:49" x14ac:dyDescent="0.25">
      <c r="V36" t="s">
        <v>45</v>
      </c>
      <c r="W36">
        <f>_xlfn.IFNA(_xlfn.XMATCH(books[[#This Row],[Book]],Table8[[#Headers],[The Golden Compass]:[end]]),-1)</f>
        <v>35</v>
      </c>
      <c r="X36">
        <v>35</v>
      </c>
      <c r="Y36">
        <v>35</v>
      </c>
      <c r="Z36">
        <v>35</v>
      </c>
      <c r="AA36">
        <f>_xlfn.IFNA(SUM(INDEX(Table8[],,_xlfn.XMATCH(books[[#This Row],[Book]],Table8[#Headers]))),0)</f>
        <v>272</v>
      </c>
      <c r="AB36">
        <v>272</v>
      </c>
      <c r="AC36" s="2">
        <f>IF(ISBLANK(books[[#This Row],[pages]]),"",books[[#This Row],[pages read]]/books[[#This Row],[pages]])</f>
        <v>1</v>
      </c>
      <c r="AK36" s="5">
        <v>46232</v>
      </c>
      <c r="AM36">
        <v>2</v>
      </c>
      <c r="AN36">
        <v>4</v>
      </c>
      <c r="AO36" t="str">
        <f t="shared" si="1"/>
        <v>2/4</v>
      </c>
      <c r="AP36" cm="1">
        <f t="array" ref="AP36">_xlfn._xlws.FILTER(Table8[[Day Total]:[Day Total]],(MONTH(Table8[[Date]:[Date]])=$AM36)*(DAY(Table8[[Date]:[Date]])=$AN36)*(YEAR(Table8[[Date]:[Date]])=AP$1),0)</f>
        <v>0</v>
      </c>
      <c r="AR36" cm="1">
        <f t="array" ref="AR36">_xlfn._xlws.FILTER(Table8[[Day Total]:[Day Total]],(MONTH(Table8[[Date]:[Date]])=$AM36)*(DAY(Table8[[Date]:[Date]])=$AN36)*(YEAR(Table8[[Date]:[Date]])=AR$1),0)</f>
        <v>0</v>
      </c>
      <c r="AS36">
        <f t="shared" si="0"/>
        <v>1356</v>
      </c>
      <c r="AT36" cm="1">
        <f t="array" ref="AT36">_xlfn._xlws.FILTER(Table8[[Day Total]:[Day Total]],(MONTH(Table8[[Date]:[Date]])=$AM36)*(DAY(Table8[[Date]:[Date]])=$AN36)*(YEAR(Table8[[Date]:[Date]])=AT$1),0)</f>
        <v>0</v>
      </c>
      <c r="AU36">
        <f t="shared" si="3"/>
        <v>156</v>
      </c>
      <c r="AV36" cm="1">
        <f t="array" ref="AV36">_xlfn._xlws.FILTER(Table8[[Day Total]:[Day Total]],(MONTH(Table8[[Date]:[Date]])=$AM36)*(DAY(Table8[[Date]:[Date]])=$AN36)*(YEAR(Table8[[Date]:[Date]])=AV$1),0)</f>
        <v>0</v>
      </c>
      <c r="AW36">
        <f t="shared" si="2"/>
        <v>341</v>
      </c>
    </row>
    <row r="37" spans="22:49" x14ac:dyDescent="0.25">
      <c r="V37" t="s">
        <v>46</v>
      </c>
      <c r="W37">
        <f>_xlfn.IFNA(_xlfn.XMATCH(books[[#This Row],[Book]],Table8[[#Headers],[The Golden Compass]:[end]]),-1)</f>
        <v>36</v>
      </c>
      <c r="X37">
        <v>36</v>
      </c>
      <c r="Y37">
        <v>36</v>
      </c>
      <c r="Z37">
        <v>36</v>
      </c>
      <c r="AA37">
        <f>_xlfn.IFNA(SUM(INDEX(Table8[],,_xlfn.XMATCH(books[[#This Row],[Book]],Table8[#Headers]))),0)</f>
        <v>114</v>
      </c>
      <c r="AB37">
        <v>114</v>
      </c>
      <c r="AC37" s="2">
        <f>IF(ISBLANK(books[[#This Row],[pages]]),"",books[[#This Row],[pages read]]/books[[#This Row],[pages]])</f>
        <v>1</v>
      </c>
      <c r="AK37" s="5">
        <v>46233</v>
      </c>
      <c r="AM37">
        <v>2</v>
      </c>
      <c r="AN37">
        <v>5</v>
      </c>
      <c r="AO37" t="str">
        <f t="shared" si="1"/>
        <v>2/5</v>
      </c>
      <c r="AP37" cm="1">
        <f t="array" ref="AP37">_xlfn._xlws.FILTER(Table8[[Day Total]:[Day Total]],(MONTH(Table8[[Date]:[Date]])=$AM37)*(DAY(Table8[[Date]:[Date]])=$AN37)*(YEAR(Table8[[Date]:[Date]])=AP$1),0)</f>
        <v>0</v>
      </c>
      <c r="AR37" cm="1">
        <f t="array" ref="AR37">_xlfn._xlws.FILTER(Table8[[Day Total]:[Day Total]],(MONTH(Table8[[Date]:[Date]])=$AM37)*(DAY(Table8[[Date]:[Date]])=$AN37)*(YEAR(Table8[[Date]:[Date]])=AR$1),0)</f>
        <v>207</v>
      </c>
      <c r="AS37">
        <f t="shared" si="0"/>
        <v>1563</v>
      </c>
      <c r="AT37" cm="1">
        <f t="array" ref="AT37">_xlfn._xlws.FILTER(Table8[[Day Total]:[Day Total]],(MONTH(Table8[[Date]:[Date]])=$AM37)*(DAY(Table8[[Date]:[Date]])=$AN37)*(YEAR(Table8[[Date]:[Date]])=AT$1),0)</f>
        <v>0</v>
      </c>
      <c r="AU37">
        <f t="shared" si="3"/>
        <v>156</v>
      </c>
      <c r="AV37" cm="1">
        <f t="array" ref="AV37">_xlfn._xlws.FILTER(Table8[[Day Total]:[Day Total]],(MONTH(Table8[[Date]:[Date]])=$AM37)*(DAY(Table8[[Date]:[Date]])=$AN37)*(YEAR(Table8[[Date]:[Date]])=AV$1),0)</f>
        <v>0</v>
      </c>
      <c r="AW37">
        <f t="shared" si="2"/>
        <v>341</v>
      </c>
    </row>
    <row r="38" spans="22:49" x14ac:dyDescent="0.25">
      <c r="V38" t="s">
        <v>47</v>
      </c>
      <c r="W38">
        <f>_xlfn.IFNA(_xlfn.XMATCH(books[[#This Row],[Book]],Table8[[#Headers],[The Golden Compass]:[end]]),-1)</f>
        <v>37</v>
      </c>
      <c r="X38">
        <v>37</v>
      </c>
      <c r="Y38">
        <v>37</v>
      </c>
      <c r="Z38">
        <v>37</v>
      </c>
      <c r="AA38">
        <f>_xlfn.IFNA(SUM(INDEX(Table8[],,_xlfn.XMATCH(books[[#This Row],[Book]],Table8[#Headers]))),0)</f>
        <v>320</v>
      </c>
      <c r="AB38">
        <v>320</v>
      </c>
      <c r="AC38" s="2">
        <f>IF(ISBLANK(books[[#This Row],[pages]]),"",books[[#This Row],[pages read]]/books[[#This Row],[pages]])</f>
        <v>1</v>
      </c>
      <c r="AK38" s="5">
        <v>46235</v>
      </c>
      <c r="AM38">
        <v>2</v>
      </c>
      <c r="AN38">
        <v>6</v>
      </c>
      <c r="AO38" t="str">
        <f t="shared" si="1"/>
        <v>2/6</v>
      </c>
      <c r="AP38" cm="1">
        <f t="array" ref="AP38">_xlfn._xlws.FILTER(Table8[[Day Total]:[Day Total]],(MONTH(Table8[[Date]:[Date]])=$AM38)*(DAY(Table8[[Date]:[Date]])=$AN38)*(YEAR(Table8[[Date]:[Date]])=AP$1),0)</f>
        <v>0</v>
      </c>
      <c r="AR38" cm="1">
        <f t="array" ref="AR38">_xlfn._xlws.FILTER(Table8[[Day Total]:[Day Total]],(MONTH(Table8[[Date]:[Date]])=$AM38)*(DAY(Table8[[Date]:[Date]])=$AN38)*(YEAR(Table8[[Date]:[Date]])=AR$1),0)</f>
        <v>0</v>
      </c>
      <c r="AS38">
        <f t="shared" si="0"/>
        <v>1563</v>
      </c>
      <c r="AT38" cm="1">
        <f t="array" ref="AT38">_xlfn._xlws.FILTER(Table8[[Day Total]:[Day Total]],(MONTH(Table8[[Date]:[Date]])=$AM38)*(DAY(Table8[[Date]:[Date]])=$AN38)*(YEAR(Table8[[Date]:[Date]])=AT$1),0)</f>
        <v>0</v>
      </c>
      <c r="AU38">
        <f t="shared" si="3"/>
        <v>156</v>
      </c>
      <c r="AV38" cm="1">
        <f t="array" ref="AV38">_xlfn._xlws.FILTER(Table8[[Day Total]:[Day Total]],(MONTH(Table8[[Date]:[Date]])=$AM38)*(DAY(Table8[[Date]:[Date]])=$AN38)*(YEAR(Table8[[Date]:[Date]])=AV$1),0)</f>
        <v>0</v>
      </c>
      <c r="AW38">
        <f t="shared" si="2"/>
        <v>341</v>
      </c>
    </row>
    <row r="39" spans="22:49" x14ac:dyDescent="0.25">
      <c r="V39" t="s">
        <v>48</v>
      </c>
      <c r="W39">
        <f>_xlfn.IFNA(_xlfn.XMATCH(books[[#This Row],[Book]],Table8[[#Headers],[The Golden Compass]:[end]]),-1)</f>
        <v>38</v>
      </c>
      <c r="X39">
        <v>38</v>
      </c>
      <c r="Y39">
        <v>38</v>
      </c>
      <c r="Z39">
        <v>38</v>
      </c>
      <c r="AA39">
        <f>_xlfn.IFNA(SUM(INDEX(Table8[],,_xlfn.XMATCH(books[[#This Row],[Book]],Table8[#Headers]))),0)</f>
        <v>204</v>
      </c>
      <c r="AB39">
        <v>204</v>
      </c>
      <c r="AC39" s="2">
        <f>IF(ISBLANK(books[[#This Row],[pages]]),"",books[[#This Row],[pages read]]/books[[#This Row],[pages]])</f>
        <v>1</v>
      </c>
      <c r="AK39" s="5">
        <v>46236</v>
      </c>
      <c r="AM39">
        <v>2</v>
      </c>
      <c r="AN39">
        <v>7</v>
      </c>
      <c r="AO39" t="str">
        <f t="shared" si="1"/>
        <v>2/7</v>
      </c>
      <c r="AP39" cm="1">
        <f t="array" ref="AP39">_xlfn._xlws.FILTER(Table8[[Day Total]:[Day Total]],(MONTH(Table8[[Date]:[Date]])=$AM39)*(DAY(Table8[[Date]:[Date]])=$AN39)*(YEAR(Table8[[Date]:[Date]])=AP$1),0)</f>
        <v>0</v>
      </c>
      <c r="AR39" cm="1">
        <f t="array" ref="AR39">_xlfn._xlws.FILTER(Table8[[Day Total]:[Day Total]],(MONTH(Table8[[Date]:[Date]])=$AM39)*(DAY(Table8[[Date]:[Date]])=$AN39)*(YEAR(Table8[[Date]:[Date]])=AR$1),0)</f>
        <v>42</v>
      </c>
      <c r="AS39">
        <f t="shared" si="0"/>
        <v>1605</v>
      </c>
      <c r="AT39" cm="1">
        <f t="array" ref="AT39">_xlfn._xlws.FILTER(Table8[[Day Total]:[Day Total]],(MONTH(Table8[[Date]:[Date]])=$AM39)*(DAY(Table8[[Date]:[Date]])=$AN39)*(YEAR(Table8[[Date]:[Date]])=AT$1),0)</f>
        <v>33</v>
      </c>
      <c r="AU39">
        <f t="shared" si="3"/>
        <v>189</v>
      </c>
      <c r="AV39" cm="1">
        <f t="array" ref="AV39">_xlfn._xlws.FILTER(Table8[[Day Total]:[Day Total]],(MONTH(Table8[[Date]:[Date]])=$AM39)*(DAY(Table8[[Date]:[Date]])=$AN39)*(YEAR(Table8[[Date]:[Date]])=AV$1),0)</f>
        <v>0</v>
      </c>
      <c r="AW39">
        <f t="shared" si="2"/>
        <v>341</v>
      </c>
    </row>
    <row r="40" spans="22:49" x14ac:dyDescent="0.25">
      <c r="V40" t="s">
        <v>49</v>
      </c>
      <c r="W40">
        <f>_xlfn.IFNA(_xlfn.XMATCH(books[[#This Row],[Book]],Table8[[#Headers],[The Golden Compass]:[end]]),-1)</f>
        <v>39</v>
      </c>
      <c r="X40">
        <v>39</v>
      </c>
      <c r="Y40">
        <v>39</v>
      </c>
      <c r="Z40">
        <v>39</v>
      </c>
      <c r="AA40">
        <f>_xlfn.IFNA(SUM(INDEX(Table8[],,_xlfn.XMATCH(books[[#This Row],[Book]],Table8[#Headers]))),0)</f>
        <v>699</v>
      </c>
      <c r="AB40">
        <v>699</v>
      </c>
      <c r="AC40" s="2">
        <f>IF(ISBLANK(books[[#This Row],[pages]]),"",books[[#This Row],[pages read]]/books[[#This Row],[pages]])</f>
        <v>1</v>
      </c>
      <c r="AK40" s="5">
        <v>46237</v>
      </c>
      <c r="AM40">
        <v>2</v>
      </c>
      <c r="AN40">
        <v>8</v>
      </c>
      <c r="AO40" t="str">
        <f t="shared" si="1"/>
        <v>2/8</v>
      </c>
      <c r="AP40" cm="1">
        <f t="array" ref="AP40">_xlfn._xlws.FILTER(Table8[[Day Total]:[Day Total]],(MONTH(Table8[[Date]:[Date]])=$AM40)*(DAY(Table8[[Date]:[Date]])=$AN40)*(YEAR(Table8[[Date]:[Date]])=AP$1),0)</f>
        <v>0</v>
      </c>
      <c r="AR40" cm="1">
        <f t="array" ref="AR40">_xlfn._xlws.FILTER(Table8[[Day Total]:[Day Total]],(MONTH(Table8[[Date]:[Date]])=$AM40)*(DAY(Table8[[Date]:[Date]])=$AN40)*(YEAR(Table8[[Date]:[Date]])=AR$1),0)</f>
        <v>0</v>
      </c>
      <c r="AS40">
        <f t="shared" si="0"/>
        <v>1605</v>
      </c>
      <c r="AT40" cm="1">
        <f t="array" ref="AT40">_xlfn._xlws.FILTER(Table8[[Day Total]:[Day Total]],(MONTH(Table8[[Date]:[Date]])=$AM40)*(DAY(Table8[[Date]:[Date]])=$AN40)*(YEAR(Table8[[Date]:[Date]])=AT$1),0)</f>
        <v>88</v>
      </c>
      <c r="AU40">
        <f t="shared" si="3"/>
        <v>277</v>
      </c>
      <c r="AV40" cm="1">
        <f t="array" ref="AV40">_xlfn._xlws.FILTER(Table8[[Day Total]:[Day Total]],(MONTH(Table8[[Date]:[Date]])=$AM40)*(DAY(Table8[[Date]:[Date]])=$AN40)*(YEAR(Table8[[Date]:[Date]])=AV$1),0)</f>
        <v>0</v>
      </c>
      <c r="AW40">
        <f t="shared" si="2"/>
        <v>341</v>
      </c>
    </row>
    <row r="41" spans="22:49" x14ac:dyDescent="0.25">
      <c r="V41" t="s">
        <v>50</v>
      </c>
      <c r="W41">
        <f>_xlfn.IFNA(_xlfn.XMATCH(books[[#This Row],[Book]],Table8[[#Headers],[The Golden Compass]:[end]]),-1)</f>
        <v>40</v>
      </c>
      <c r="X41">
        <v>40</v>
      </c>
      <c r="Y41">
        <v>40</v>
      </c>
      <c r="Z41">
        <v>40</v>
      </c>
      <c r="AA41">
        <f>_xlfn.IFNA(SUM(INDEX(Table8[],,_xlfn.XMATCH(books[[#This Row],[Book]],Table8[#Headers]))),0)</f>
        <v>355</v>
      </c>
      <c r="AB41">
        <v>355</v>
      </c>
      <c r="AC41" s="2">
        <f>IF(ISBLANK(books[[#This Row],[pages]]),"",books[[#This Row],[pages read]]/books[[#This Row],[pages]])</f>
        <v>1</v>
      </c>
      <c r="AK41" s="5">
        <v>46238</v>
      </c>
      <c r="AM41">
        <v>2</v>
      </c>
      <c r="AN41">
        <v>9</v>
      </c>
      <c r="AO41" t="str">
        <f t="shared" si="1"/>
        <v>2/9</v>
      </c>
      <c r="AP41" cm="1">
        <f t="array" ref="AP41">_xlfn._xlws.FILTER(Table8[[Day Total]:[Day Total]],(MONTH(Table8[[Date]:[Date]])=$AM41)*(DAY(Table8[[Date]:[Date]])=$AN41)*(YEAR(Table8[[Date]:[Date]])=AP$1),0)</f>
        <v>0</v>
      </c>
      <c r="AR41" cm="1">
        <f t="array" ref="AR41">_xlfn._xlws.FILTER(Table8[[Day Total]:[Day Total]],(MONTH(Table8[[Date]:[Date]])=$AM41)*(DAY(Table8[[Date]:[Date]])=$AN41)*(YEAR(Table8[[Date]:[Date]])=AR$1),0)</f>
        <v>0</v>
      </c>
      <c r="AS41">
        <f t="shared" si="0"/>
        <v>1605</v>
      </c>
      <c r="AT41" cm="1">
        <f t="array" ref="AT41">_xlfn._xlws.FILTER(Table8[[Day Total]:[Day Total]],(MONTH(Table8[[Date]:[Date]])=$AM41)*(DAY(Table8[[Date]:[Date]])=$AN41)*(YEAR(Table8[[Date]:[Date]])=AT$1),0)</f>
        <v>0</v>
      </c>
      <c r="AU41">
        <f t="shared" si="3"/>
        <v>277</v>
      </c>
      <c r="AV41" cm="1">
        <f t="array" ref="AV41">_xlfn._xlws.FILTER(Table8[[Day Total]:[Day Total]],(MONTH(Table8[[Date]:[Date]])=$AM41)*(DAY(Table8[[Date]:[Date]])=$AN41)*(YEAR(Table8[[Date]:[Date]])=AV$1),0)</f>
        <v>0</v>
      </c>
      <c r="AW41">
        <f t="shared" si="2"/>
        <v>341</v>
      </c>
    </row>
    <row r="42" spans="22:49" x14ac:dyDescent="0.25">
      <c r="V42" t="s">
        <v>53</v>
      </c>
      <c r="W42">
        <f>_xlfn.IFNA(_xlfn.XMATCH(books[[#This Row],[Book]],Table8[[#Headers],[The Golden Compass]:[end]]),-1)</f>
        <v>49</v>
      </c>
      <c r="X42">
        <v>41</v>
      </c>
      <c r="Y42">
        <v>41</v>
      </c>
      <c r="Z42">
        <v>41</v>
      </c>
      <c r="AA42">
        <f>_xlfn.IFNA(SUM(INDEX(Table8[],,_xlfn.XMATCH(books[[#This Row],[Book]],Table8[#Headers]))),0)</f>
        <v>56</v>
      </c>
      <c r="AB42">
        <v>222</v>
      </c>
      <c r="AC42" s="2">
        <f>IF(ISBLANK(books[[#This Row],[pages]]),"",books[[#This Row],[pages read]]/books[[#This Row],[pages]])</f>
        <v>0.25225225225225223</v>
      </c>
      <c r="AK42" s="5">
        <v>46240</v>
      </c>
      <c r="AM42">
        <v>2</v>
      </c>
      <c r="AN42">
        <v>10</v>
      </c>
      <c r="AO42" t="str">
        <f t="shared" si="1"/>
        <v>2/10</v>
      </c>
      <c r="AP42" cm="1">
        <f t="array" ref="AP42">_xlfn._xlws.FILTER(Table8[[Day Total]:[Day Total]],(MONTH(Table8[[Date]:[Date]])=$AM42)*(DAY(Table8[[Date]:[Date]])=$AN42)*(YEAR(Table8[[Date]:[Date]])=AP$1),0)</f>
        <v>0</v>
      </c>
      <c r="AR42" cm="1">
        <f t="array" ref="AR42">_xlfn._xlws.FILTER(Table8[[Day Total]:[Day Total]],(MONTH(Table8[[Date]:[Date]])=$AM42)*(DAY(Table8[[Date]:[Date]])=$AN42)*(YEAR(Table8[[Date]:[Date]])=AR$1),0)</f>
        <v>0</v>
      </c>
      <c r="AS42">
        <f t="shared" si="0"/>
        <v>1605</v>
      </c>
      <c r="AT42" cm="1">
        <f t="array" ref="AT42">_xlfn._xlws.FILTER(Table8[[Day Total]:[Day Total]],(MONTH(Table8[[Date]:[Date]])=$AM42)*(DAY(Table8[[Date]:[Date]])=$AN42)*(YEAR(Table8[[Date]:[Date]])=AT$1),0)</f>
        <v>38</v>
      </c>
      <c r="AU42">
        <f t="shared" si="3"/>
        <v>315</v>
      </c>
      <c r="AV42" cm="1">
        <f t="array" ref="AV42">_xlfn._xlws.FILTER(Table8[[Day Total]:[Day Total]],(MONTH(Table8[[Date]:[Date]])=$AM42)*(DAY(Table8[[Date]:[Date]])=$AN42)*(YEAR(Table8[[Date]:[Date]])=AV$1),0)</f>
        <v>0</v>
      </c>
      <c r="AW42">
        <f t="shared" si="2"/>
        <v>341</v>
      </c>
    </row>
    <row r="43" spans="22:49" x14ac:dyDescent="0.25">
      <c r="V43" t="s">
        <v>54</v>
      </c>
      <c r="W43">
        <f>_xlfn.IFNA(_xlfn.XMATCH(books[[#This Row],[Book]],Table8[[#Headers],[The Golden Compass]:[end]]),-1)</f>
        <v>50</v>
      </c>
      <c r="X43">
        <v>42</v>
      </c>
      <c r="Y43">
        <v>42</v>
      </c>
      <c r="Z43">
        <v>42</v>
      </c>
      <c r="AA43">
        <f>_xlfn.IFNA(SUM(INDEX(Table8[],,_xlfn.XMATCH(books[[#This Row],[Book]],Table8[#Headers]))),0)</f>
        <v>17</v>
      </c>
      <c r="AB43">
        <v>125</v>
      </c>
      <c r="AC43" s="2">
        <f>IF(ISBLANK(books[[#This Row],[pages]]),"",books[[#This Row],[pages read]]/books[[#This Row],[pages]])</f>
        <v>0.13600000000000001</v>
      </c>
      <c r="AK43" s="5">
        <v>46242</v>
      </c>
      <c r="AM43">
        <v>2</v>
      </c>
      <c r="AN43">
        <v>11</v>
      </c>
      <c r="AO43" t="str">
        <f t="shared" si="1"/>
        <v>2/11</v>
      </c>
      <c r="AP43" cm="1">
        <f t="array" ref="AP43">_xlfn._xlws.FILTER(Table8[[Day Total]:[Day Total]],(MONTH(Table8[[Date]:[Date]])=$AM43)*(DAY(Table8[[Date]:[Date]])=$AN43)*(YEAR(Table8[[Date]:[Date]])=AP$1),0)</f>
        <v>0</v>
      </c>
      <c r="AR43" cm="1">
        <f t="array" ref="AR43">_xlfn._xlws.FILTER(Table8[[Day Total]:[Day Total]],(MONTH(Table8[[Date]:[Date]])=$AM43)*(DAY(Table8[[Date]:[Date]])=$AN43)*(YEAR(Table8[[Date]:[Date]])=AR$1),0)</f>
        <v>0</v>
      </c>
      <c r="AS43">
        <f t="shared" si="0"/>
        <v>1605</v>
      </c>
      <c r="AT43" cm="1">
        <f t="array" ref="AT43">_xlfn._xlws.FILTER(Table8[[Day Total]:[Day Total]],(MONTH(Table8[[Date]:[Date]])=$AM43)*(DAY(Table8[[Date]:[Date]])=$AN43)*(YEAR(Table8[[Date]:[Date]])=AT$1),0)</f>
        <v>0</v>
      </c>
      <c r="AU43">
        <f t="shared" si="3"/>
        <v>315</v>
      </c>
      <c r="AV43" cm="1">
        <f t="array" ref="AV43">_xlfn._xlws.FILTER(Table8[[Day Total]:[Day Total]],(MONTH(Table8[[Date]:[Date]])=$AM43)*(DAY(Table8[[Date]:[Date]])=$AN43)*(YEAR(Table8[[Date]:[Date]])=AV$1),0)</f>
        <v>0</v>
      </c>
      <c r="AW43">
        <f t="shared" si="2"/>
        <v>341</v>
      </c>
    </row>
    <row r="44" spans="22:49" x14ac:dyDescent="0.25">
      <c r="V44" t="s">
        <v>55</v>
      </c>
      <c r="W44">
        <f>_xlfn.IFNA(_xlfn.XMATCH(books[[#This Row],[Book]],Table8[[#Headers],[The Golden Compass]:[end]]),-1)</f>
        <v>51</v>
      </c>
      <c r="X44">
        <v>43</v>
      </c>
      <c r="Y44">
        <v>43</v>
      </c>
      <c r="Z44">
        <v>43</v>
      </c>
      <c r="AA44">
        <f>_xlfn.IFNA(SUM(INDEX(Table8[],,_xlfn.XMATCH(books[[#This Row],[Book]],Table8[#Headers]))),0)</f>
        <v>173</v>
      </c>
      <c r="AB44">
        <v>445</v>
      </c>
      <c r="AC44" s="2">
        <f>IF(ISBLANK(books[[#This Row],[pages]]),"",books[[#This Row],[pages read]]/books[[#This Row],[pages]])</f>
        <v>0.38876404494382022</v>
      </c>
      <c r="AK44" s="5">
        <v>46243</v>
      </c>
      <c r="AM44">
        <v>2</v>
      </c>
      <c r="AN44">
        <v>12</v>
      </c>
      <c r="AO44" t="str">
        <f t="shared" si="1"/>
        <v>2/12</v>
      </c>
      <c r="AP44" cm="1">
        <f t="array" ref="AP44">_xlfn._xlws.FILTER(Table8[[Day Total]:[Day Total]],(MONTH(Table8[[Date]:[Date]])=$AM44)*(DAY(Table8[[Date]:[Date]])=$AN44)*(YEAR(Table8[[Date]:[Date]])=AP$1),0)</f>
        <v>0</v>
      </c>
      <c r="AR44" cm="1">
        <f t="array" ref="AR44">_xlfn._xlws.FILTER(Table8[[Day Total]:[Day Total]],(MONTH(Table8[[Date]:[Date]])=$AM44)*(DAY(Table8[[Date]:[Date]])=$AN44)*(YEAR(Table8[[Date]:[Date]])=AR$1),0)</f>
        <v>33</v>
      </c>
      <c r="AS44">
        <f t="shared" si="0"/>
        <v>1638</v>
      </c>
      <c r="AT44" cm="1">
        <f t="array" ref="AT44">_xlfn._xlws.FILTER(Table8[[Day Total]:[Day Total]],(MONTH(Table8[[Date]:[Date]])=$AM44)*(DAY(Table8[[Date]:[Date]])=$AN44)*(YEAR(Table8[[Date]:[Date]])=AT$1),0)</f>
        <v>34</v>
      </c>
      <c r="AU44">
        <f t="shared" si="3"/>
        <v>349</v>
      </c>
      <c r="AV44" cm="1">
        <f t="array" ref="AV44">_xlfn._xlws.FILTER(Table8[[Day Total]:[Day Total]],(MONTH(Table8[[Date]:[Date]])=$AM44)*(DAY(Table8[[Date]:[Date]])=$AN44)*(YEAR(Table8[[Date]:[Date]])=AV$1),0)</f>
        <v>0</v>
      </c>
      <c r="AW44">
        <f t="shared" si="2"/>
        <v>341</v>
      </c>
    </row>
    <row r="45" spans="22:49" x14ac:dyDescent="0.25">
      <c r="V45" t="s">
        <v>56</v>
      </c>
      <c r="W45">
        <f>_xlfn.IFNA(_xlfn.XMATCH(books[[#This Row],[Book]],Table8[[#Headers],[The Golden Compass]:[end]]),-1)</f>
        <v>52</v>
      </c>
      <c r="X45">
        <v>44</v>
      </c>
      <c r="Y45">
        <v>44</v>
      </c>
      <c r="Z45">
        <v>44</v>
      </c>
      <c r="AA45">
        <f>_xlfn.IFNA(SUM(INDEX(Table8[],,_xlfn.XMATCH(books[[#This Row],[Book]],Table8[#Headers]))),0)</f>
        <v>88</v>
      </c>
      <c r="AB45">
        <v>111</v>
      </c>
      <c r="AC45" s="2">
        <f>IF(ISBLANK(books[[#This Row],[pages]]),"",books[[#This Row],[pages read]]/books[[#This Row],[pages]])</f>
        <v>0.7927927927927928</v>
      </c>
      <c r="AK45" s="5">
        <v>46244</v>
      </c>
      <c r="AM45">
        <v>2</v>
      </c>
      <c r="AN45">
        <v>13</v>
      </c>
      <c r="AO45" t="str">
        <f t="shared" si="1"/>
        <v>2/13</v>
      </c>
      <c r="AP45" cm="1">
        <f t="array" ref="AP45">_xlfn._xlws.FILTER(Table8[[Day Total]:[Day Total]],(MONTH(Table8[[Date]:[Date]])=$AM45)*(DAY(Table8[[Date]:[Date]])=$AN45)*(YEAR(Table8[[Date]:[Date]])=AP$1),0)</f>
        <v>0</v>
      </c>
      <c r="AR45" cm="1">
        <f t="array" ref="AR45">_xlfn._xlws.FILTER(Table8[[Day Total]:[Day Total]],(MONTH(Table8[[Date]:[Date]])=$AM45)*(DAY(Table8[[Date]:[Date]])=$AN45)*(YEAR(Table8[[Date]:[Date]])=AR$1),0)</f>
        <v>43</v>
      </c>
      <c r="AS45">
        <f t="shared" si="0"/>
        <v>1681</v>
      </c>
      <c r="AT45" cm="1">
        <f t="array" ref="AT45">_xlfn._xlws.FILTER(Table8[[Day Total]:[Day Total]],(MONTH(Table8[[Date]:[Date]])=$AM45)*(DAY(Table8[[Date]:[Date]])=$AN45)*(YEAR(Table8[[Date]:[Date]])=AT$1),0)</f>
        <v>0</v>
      </c>
      <c r="AU45">
        <f t="shared" si="3"/>
        <v>349</v>
      </c>
      <c r="AV45" cm="1">
        <f t="array" ref="AV45">_xlfn._xlws.FILTER(Table8[[Day Total]:[Day Total]],(MONTH(Table8[[Date]:[Date]])=$AM45)*(DAY(Table8[[Date]:[Date]])=$AN45)*(YEAR(Table8[[Date]:[Date]])=AV$1),0)</f>
        <v>0</v>
      </c>
      <c r="AW45">
        <f t="shared" si="2"/>
        <v>341</v>
      </c>
    </row>
    <row r="46" spans="22:49" x14ac:dyDescent="0.25">
      <c r="V46" t="s">
        <v>57</v>
      </c>
      <c r="W46">
        <f>_xlfn.IFNA(_xlfn.XMATCH(books[[#This Row],[Book]],Table8[[#Headers],[The Golden Compass]:[end]]),-1)</f>
        <v>53</v>
      </c>
      <c r="X46">
        <v>45</v>
      </c>
      <c r="Y46">
        <v>45</v>
      </c>
      <c r="Z46">
        <v>45</v>
      </c>
      <c r="AA46">
        <f>_xlfn.IFNA(SUM(INDEX(Table8[],,_xlfn.XMATCH(books[[#This Row],[Book]],Table8[#Headers]))),0)</f>
        <v>10</v>
      </c>
      <c r="AB46">
        <v>368</v>
      </c>
      <c r="AC46" s="2">
        <f>IF(ISBLANK(books[[#This Row],[pages]]),"",books[[#This Row],[pages read]]/books[[#This Row],[pages]])</f>
        <v>2.717391304347826E-2</v>
      </c>
      <c r="AK46" s="5">
        <v>46245</v>
      </c>
      <c r="AM46">
        <v>2</v>
      </c>
      <c r="AN46">
        <v>14</v>
      </c>
      <c r="AO46" t="str">
        <f t="shared" si="1"/>
        <v>2/14</v>
      </c>
      <c r="AP46" cm="1">
        <f t="array" ref="AP46">_xlfn._xlws.FILTER(Table8[[Day Total]:[Day Total]],(MONTH(Table8[[Date]:[Date]])=$AM46)*(DAY(Table8[[Date]:[Date]])=$AN46)*(YEAR(Table8[[Date]:[Date]])=AP$1),0)</f>
        <v>0</v>
      </c>
      <c r="AR46" cm="1">
        <f t="array" ref="AR46">_xlfn._xlws.FILTER(Table8[[Day Total]:[Day Total]],(MONTH(Table8[[Date]:[Date]])=$AM46)*(DAY(Table8[[Date]:[Date]])=$AN46)*(YEAR(Table8[[Date]:[Date]])=AR$1),0)</f>
        <v>65</v>
      </c>
      <c r="AS46">
        <f t="shared" si="0"/>
        <v>1746</v>
      </c>
      <c r="AT46" cm="1">
        <f t="array" ref="AT46">_xlfn._xlws.FILTER(Table8[[Day Total]:[Day Total]],(MONTH(Table8[[Date]:[Date]])=$AM46)*(DAY(Table8[[Date]:[Date]])=$AN46)*(YEAR(Table8[[Date]:[Date]])=AT$1),0)</f>
        <v>0</v>
      </c>
      <c r="AU46">
        <f t="shared" si="3"/>
        <v>349</v>
      </c>
      <c r="AV46" cm="1">
        <f t="array" ref="AV46">_xlfn._xlws.FILTER(Table8[[Day Total]:[Day Total]],(MONTH(Table8[[Date]:[Date]])=$AM46)*(DAY(Table8[[Date]:[Date]])=$AN46)*(YEAR(Table8[[Date]:[Date]])=AV$1),0)</f>
        <v>0</v>
      </c>
      <c r="AW46">
        <f t="shared" si="2"/>
        <v>341</v>
      </c>
    </row>
    <row r="47" spans="22:49" x14ac:dyDescent="0.25">
      <c r="V47" t="s">
        <v>51</v>
      </c>
      <c r="W47">
        <f>_xlfn.IFNA(_xlfn.XMATCH(books[[#This Row],[Book]],Table8[[#Headers],[The Golden Compass]:[end]]),-1)</f>
        <v>41</v>
      </c>
      <c r="X47">
        <v>46</v>
      </c>
      <c r="Y47">
        <v>46</v>
      </c>
      <c r="Z47">
        <v>46</v>
      </c>
      <c r="AA47">
        <f>_xlfn.IFNA(SUM(INDEX(Table8[],,_xlfn.XMATCH(books[[#This Row],[Book]],Table8[#Headers]))),0)</f>
        <v>229</v>
      </c>
      <c r="AB47">
        <v>229</v>
      </c>
      <c r="AC47" s="2">
        <f>IF(ISBLANK(books[[#This Row],[pages]]),"",books[[#This Row],[pages read]]/books[[#This Row],[pages]])</f>
        <v>1</v>
      </c>
      <c r="AK47" s="5">
        <v>46246</v>
      </c>
      <c r="AM47">
        <v>2</v>
      </c>
      <c r="AN47">
        <v>15</v>
      </c>
      <c r="AO47" t="str">
        <f t="shared" si="1"/>
        <v>2/15</v>
      </c>
      <c r="AP47" cm="1">
        <f t="array" ref="AP47">_xlfn._xlws.FILTER(Table8[[Day Total]:[Day Total]],(MONTH(Table8[[Date]:[Date]])=$AM47)*(DAY(Table8[[Date]:[Date]])=$AN47)*(YEAR(Table8[[Date]:[Date]])=AP$1),0)</f>
        <v>0</v>
      </c>
      <c r="AR47" cm="1">
        <f t="array" ref="AR47">_xlfn._xlws.FILTER(Table8[[Day Total]:[Day Total]],(MONTH(Table8[[Date]:[Date]])=$AM47)*(DAY(Table8[[Date]:[Date]])=$AN47)*(YEAR(Table8[[Date]:[Date]])=AR$1),0)</f>
        <v>0</v>
      </c>
      <c r="AS47">
        <f t="shared" si="0"/>
        <v>1746</v>
      </c>
      <c r="AT47" cm="1">
        <f t="array" ref="AT47">_xlfn._xlws.FILTER(Table8[[Day Total]:[Day Total]],(MONTH(Table8[[Date]:[Date]])=$AM47)*(DAY(Table8[[Date]:[Date]])=$AN47)*(YEAR(Table8[[Date]:[Date]])=AT$1),0)</f>
        <v>129</v>
      </c>
      <c r="AU47">
        <f t="shared" si="3"/>
        <v>478</v>
      </c>
      <c r="AV47" cm="1">
        <f t="array" ref="AV47">_xlfn._xlws.FILTER(Table8[[Day Total]:[Day Total]],(MONTH(Table8[[Date]:[Date]])=$AM47)*(DAY(Table8[[Date]:[Date]])=$AN47)*(YEAR(Table8[[Date]:[Date]])=AV$1),0)</f>
        <v>0</v>
      </c>
      <c r="AW47">
        <f t="shared" si="2"/>
        <v>341</v>
      </c>
    </row>
    <row r="48" spans="22:49" x14ac:dyDescent="0.25">
      <c r="V48" t="s">
        <v>52</v>
      </c>
      <c r="W48">
        <f>_xlfn.IFNA(_xlfn.XMATCH(books[[#This Row],[Book]],Table8[[#Headers],[The Golden Compass]:[end]]),-1)</f>
        <v>54</v>
      </c>
      <c r="X48">
        <v>47</v>
      </c>
      <c r="Y48" t="s">
        <v>116</v>
      </c>
      <c r="Z48">
        <v>47</v>
      </c>
      <c r="AA48">
        <f>_xlfn.IFNA(SUM(INDEX(Table8[],,_xlfn.XMATCH(books[[#This Row],[Book]],Table8[#Headers]))),0)</f>
        <v>0</v>
      </c>
      <c r="AB48">
        <v>316</v>
      </c>
      <c r="AC48" s="2">
        <f>IF(ISBLANK(books[[#This Row],[pages]]),"",books[[#This Row],[pages read]]/books[[#This Row],[pages]])</f>
        <v>0</v>
      </c>
      <c r="AK48" s="5">
        <v>46247</v>
      </c>
      <c r="AM48">
        <v>2</v>
      </c>
      <c r="AN48">
        <v>16</v>
      </c>
      <c r="AO48" t="str">
        <f t="shared" si="1"/>
        <v>2/16</v>
      </c>
      <c r="AP48" cm="1">
        <f t="array" ref="AP48">_xlfn._xlws.FILTER(Table8[[Day Total]:[Day Total]],(MONTH(Table8[[Date]:[Date]])=$AM48)*(DAY(Table8[[Date]:[Date]])=$AN48)*(YEAR(Table8[[Date]:[Date]])=AP$1),0)</f>
        <v>0</v>
      </c>
      <c r="AR48" cm="1">
        <f t="array" ref="AR48">_xlfn._xlws.FILTER(Table8[[Day Total]:[Day Total]],(MONTH(Table8[[Date]:[Date]])=$AM48)*(DAY(Table8[[Date]:[Date]])=$AN48)*(YEAR(Table8[[Date]:[Date]])=AR$1),0)</f>
        <v>0</v>
      </c>
      <c r="AS48">
        <f t="shared" si="0"/>
        <v>1746</v>
      </c>
      <c r="AT48" cm="1">
        <f t="array" ref="AT48">_xlfn._xlws.FILTER(Table8[[Day Total]:[Day Total]],(MONTH(Table8[[Date]:[Date]])=$AM48)*(DAY(Table8[[Date]:[Date]])=$AN48)*(YEAR(Table8[[Date]:[Date]])=AT$1),0)</f>
        <v>0</v>
      </c>
      <c r="AU48">
        <f t="shared" si="3"/>
        <v>478</v>
      </c>
      <c r="AV48" cm="1">
        <f t="array" ref="AV48">_xlfn._xlws.FILTER(Table8[[Day Total]:[Day Total]],(MONTH(Table8[[Date]:[Date]])=$AM48)*(DAY(Table8[[Date]:[Date]])=$AN48)*(YEAR(Table8[[Date]:[Date]])=AV$1),0)</f>
        <v>0</v>
      </c>
      <c r="AW48">
        <f t="shared" si="2"/>
        <v>341</v>
      </c>
    </row>
    <row r="49" spans="22:49" x14ac:dyDescent="0.25">
      <c r="V49" t="s">
        <v>159</v>
      </c>
      <c r="W49">
        <f>_xlfn.IFNA(_xlfn.XMATCH(books[[#This Row],[Book]],Table8[[#Headers],[The Golden Compass]:[end]]),-1)</f>
        <v>-1</v>
      </c>
      <c r="X49">
        <v>48</v>
      </c>
      <c r="Y49" t="s">
        <v>116</v>
      </c>
      <c r="Z49">
        <v>48</v>
      </c>
      <c r="AA49">
        <f>_xlfn.IFNA(SUM(INDEX(Table8[],,_xlfn.XMATCH(books[[#This Row],[Book]],Table8[#Headers]))),0)</f>
        <v>0</v>
      </c>
      <c r="AC49" s="2" t="str">
        <f>IF(ISBLANK(books[[#This Row],[pages]]),"",books[[#This Row],[pages read]]/books[[#This Row],[pages]])</f>
        <v/>
      </c>
      <c r="AK49" s="5">
        <v>46248</v>
      </c>
      <c r="AM49">
        <v>2</v>
      </c>
      <c r="AN49">
        <v>17</v>
      </c>
      <c r="AO49" t="str">
        <f t="shared" si="1"/>
        <v>2/17</v>
      </c>
      <c r="AP49" cm="1">
        <f t="array" ref="AP49">_xlfn._xlws.FILTER(Table8[[Day Total]:[Day Total]],(MONTH(Table8[[Date]:[Date]])=$AM49)*(DAY(Table8[[Date]:[Date]])=$AN49)*(YEAR(Table8[[Date]:[Date]])=AP$1),0)</f>
        <v>0</v>
      </c>
      <c r="AR49" cm="1">
        <f t="array" ref="AR49">_xlfn._xlws.FILTER(Table8[[Day Total]:[Day Total]],(MONTH(Table8[[Date]:[Date]])=$AM49)*(DAY(Table8[[Date]:[Date]])=$AN49)*(YEAR(Table8[[Date]:[Date]])=AR$1),0)</f>
        <v>0</v>
      </c>
      <c r="AS49">
        <f t="shared" si="0"/>
        <v>1746</v>
      </c>
      <c r="AT49" cm="1">
        <f t="array" ref="AT49">_xlfn._xlws.FILTER(Table8[[Day Total]:[Day Total]],(MONTH(Table8[[Date]:[Date]])=$AM49)*(DAY(Table8[[Date]:[Date]])=$AN49)*(YEAR(Table8[[Date]:[Date]])=AT$1),0)</f>
        <v>0</v>
      </c>
      <c r="AU49">
        <f t="shared" si="3"/>
        <v>478</v>
      </c>
      <c r="AV49" cm="1">
        <f t="array" ref="AV49">_xlfn._xlws.FILTER(Table8[[Day Total]:[Day Total]],(MONTH(Table8[[Date]:[Date]])=$AM49)*(DAY(Table8[[Date]:[Date]])=$AN49)*(YEAR(Table8[[Date]:[Date]])=AV$1),0)</f>
        <v>0</v>
      </c>
      <c r="AW49">
        <f t="shared" si="2"/>
        <v>341</v>
      </c>
    </row>
    <row r="50" spans="22:49" x14ac:dyDescent="0.25">
      <c r="V50" t="s">
        <v>160</v>
      </c>
      <c r="W50">
        <f>_xlfn.IFNA(_xlfn.XMATCH(books[[#This Row],[Book]],Table8[[#Headers],[The Golden Compass]:[end]]),-1)</f>
        <v>-1</v>
      </c>
      <c r="X50">
        <v>49</v>
      </c>
      <c r="Y50" t="s">
        <v>116</v>
      </c>
      <c r="Z50">
        <v>49</v>
      </c>
      <c r="AA50">
        <f>_xlfn.IFNA(SUM(INDEX(Table8[],,_xlfn.XMATCH(books[[#This Row],[Book]],Table8[#Headers]))),0)</f>
        <v>0</v>
      </c>
      <c r="AC50" s="2" t="str">
        <f>IF(ISBLANK(books[[#This Row],[pages]]),"",books[[#This Row],[pages read]]/books[[#This Row],[pages]])</f>
        <v/>
      </c>
      <c r="AK50" s="5">
        <v>46249</v>
      </c>
      <c r="AM50">
        <v>2</v>
      </c>
      <c r="AN50">
        <v>18</v>
      </c>
      <c r="AO50" t="str">
        <f t="shared" si="1"/>
        <v>2/18</v>
      </c>
      <c r="AP50" cm="1">
        <f t="array" ref="AP50">_xlfn._xlws.FILTER(Table8[[Day Total]:[Day Total]],(MONTH(Table8[[Date]:[Date]])=$AM50)*(DAY(Table8[[Date]:[Date]])=$AN50)*(YEAR(Table8[[Date]:[Date]])=AP$1),0)</f>
        <v>0</v>
      </c>
      <c r="AR50" cm="1">
        <f t="array" ref="AR50">_xlfn._xlws.FILTER(Table8[[Day Total]:[Day Total]],(MONTH(Table8[[Date]:[Date]])=$AM50)*(DAY(Table8[[Date]:[Date]])=$AN50)*(YEAR(Table8[[Date]:[Date]])=AR$1),0)</f>
        <v>0</v>
      </c>
      <c r="AS50">
        <f t="shared" si="0"/>
        <v>1746</v>
      </c>
      <c r="AT50" cm="1">
        <f t="array" ref="AT50">_xlfn._xlws.FILTER(Table8[[Day Total]:[Day Total]],(MONTH(Table8[[Date]:[Date]])=$AM50)*(DAY(Table8[[Date]:[Date]])=$AN50)*(YEAR(Table8[[Date]:[Date]])=AT$1),0)</f>
        <v>19</v>
      </c>
      <c r="AU50">
        <f t="shared" si="3"/>
        <v>497</v>
      </c>
      <c r="AV50" cm="1">
        <f t="array" ref="AV50">_xlfn._xlws.FILTER(Table8[[Day Total]:[Day Total]],(MONTH(Table8[[Date]:[Date]])=$AM50)*(DAY(Table8[[Date]:[Date]])=$AN50)*(YEAR(Table8[[Date]:[Date]])=AV$1),0)</f>
        <v>0</v>
      </c>
      <c r="AW50">
        <f t="shared" si="2"/>
        <v>341</v>
      </c>
    </row>
    <row r="51" spans="22:49" x14ac:dyDescent="0.25">
      <c r="V51" t="s">
        <v>161</v>
      </c>
      <c r="W51">
        <f>_xlfn.IFNA(_xlfn.XMATCH(books[[#This Row],[Book]],Table8[[#Headers],[The Golden Compass]:[end]]),-1)</f>
        <v>-1</v>
      </c>
      <c r="X51">
        <v>50</v>
      </c>
      <c r="Y51" t="s">
        <v>116</v>
      </c>
      <c r="Z51">
        <v>50</v>
      </c>
      <c r="AA51">
        <f>_xlfn.IFNA(SUM(INDEX(Table8[],,_xlfn.XMATCH(books[[#This Row],[Book]],Table8[#Headers]))),0)</f>
        <v>0</v>
      </c>
      <c r="AC51" s="2" t="str">
        <f>IF(ISBLANK(books[[#This Row],[pages]]),"",books[[#This Row],[pages read]]/books[[#This Row],[pages]])</f>
        <v/>
      </c>
      <c r="AK51" s="5">
        <v>46251</v>
      </c>
      <c r="AM51">
        <v>2</v>
      </c>
      <c r="AN51">
        <v>19</v>
      </c>
      <c r="AO51" t="str">
        <f t="shared" si="1"/>
        <v>2/19</v>
      </c>
      <c r="AP51" cm="1">
        <f t="array" ref="AP51">_xlfn._xlws.FILTER(Table8[[Day Total]:[Day Total]],(MONTH(Table8[[Date]:[Date]])=$AM51)*(DAY(Table8[[Date]:[Date]])=$AN51)*(YEAR(Table8[[Date]:[Date]])=AP$1),0)</f>
        <v>0</v>
      </c>
      <c r="AR51" cm="1">
        <f t="array" ref="AR51">_xlfn._xlws.FILTER(Table8[[Day Total]:[Day Total]],(MONTH(Table8[[Date]:[Date]])=$AM51)*(DAY(Table8[[Date]:[Date]])=$AN51)*(YEAR(Table8[[Date]:[Date]])=AR$1),0)</f>
        <v>0</v>
      </c>
      <c r="AS51">
        <f t="shared" si="0"/>
        <v>1746</v>
      </c>
      <c r="AT51" cm="1">
        <f t="array" ref="AT51">_xlfn._xlws.FILTER(Table8[[Day Total]:[Day Total]],(MONTH(Table8[[Date]:[Date]])=$AM51)*(DAY(Table8[[Date]:[Date]])=$AN51)*(YEAR(Table8[[Date]:[Date]])=AT$1),0)</f>
        <v>25</v>
      </c>
      <c r="AU51">
        <f t="shared" si="3"/>
        <v>522</v>
      </c>
      <c r="AV51" cm="1">
        <f t="array" ref="AV51">_xlfn._xlws.FILTER(Table8[[Day Total]:[Day Total]],(MONTH(Table8[[Date]:[Date]])=$AM51)*(DAY(Table8[[Date]:[Date]])=$AN51)*(YEAR(Table8[[Date]:[Date]])=AV$1),0)</f>
        <v>0</v>
      </c>
      <c r="AW51">
        <f t="shared" si="2"/>
        <v>341</v>
      </c>
    </row>
    <row r="52" spans="22:49" x14ac:dyDescent="0.25">
      <c r="V52" t="s">
        <v>162</v>
      </c>
      <c r="W52">
        <f>_xlfn.IFNA(_xlfn.XMATCH(books[[#This Row],[Book]],Table8[[#Headers],[The Golden Compass]:[end]]),-1)</f>
        <v>-1</v>
      </c>
      <c r="X52">
        <v>51</v>
      </c>
      <c r="Y52" t="s">
        <v>116</v>
      </c>
      <c r="Z52">
        <v>51</v>
      </c>
      <c r="AA52">
        <f>_xlfn.IFNA(SUM(INDEX(Table8[],,_xlfn.XMATCH(books[[#This Row],[Book]],Table8[#Headers]))),0)</f>
        <v>0</v>
      </c>
      <c r="AC52" s="2" t="str">
        <f>IF(ISBLANK(books[[#This Row],[pages]]),"",books[[#This Row],[pages read]]/books[[#This Row],[pages]])</f>
        <v/>
      </c>
      <c r="AK52" s="5">
        <v>46252</v>
      </c>
      <c r="AM52">
        <v>2</v>
      </c>
      <c r="AN52">
        <v>20</v>
      </c>
      <c r="AO52" t="str">
        <f t="shared" si="1"/>
        <v>2/20</v>
      </c>
      <c r="AP52" cm="1">
        <f t="array" ref="AP52">_xlfn._xlws.FILTER(Table8[[Day Total]:[Day Total]],(MONTH(Table8[[Date]:[Date]])=$AM52)*(DAY(Table8[[Date]:[Date]])=$AN52)*(YEAR(Table8[[Date]:[Date]])=AP$1),0)</f>
        <v>0</v>
      </c>
      <c r="AR52" cm="1">
        <f t="array" ref="AR52">_xlfn._xlws.FILTER(Table8[[Day Total]:[Day Total]],(MONTH(Table8[[Date]:[Date]])=$AM52)*(DAY(Table8[[Date]:[Date]])=$AN52)*(YEAR(Table8[[Date]:[Date]])=AR$1),0)</f>
        <v>0</v>
      </c>
      <c r="AS52">
        <f t="shared" si="0"/>
        <v>1746</v>
      </c>
      <c r="AT52" cm="1">
        <f t="array" ref="AT52">_xlfn._xlws.FILTER(Table8[[Day Total]:[Day Total]],(MONTH(Table8[[Date]:[Date]])=$AM52)*(DAY(Table8[[Date]:[Date]])=$AN52)*(YEAR(Table8[[Date]:[Date]])=AT$1),0)</f>
        <v>23</v>
      </c>
      <c r="AU52">
        <f t="shared" si="3"/>
        <v>545</v>
      </c>
      <c r="AV52" cm="1">
        <f t="array" ref="AV52">_xlfn._xlws.FILTER(Table8[[Day Total]:[Day Total]],(MONTH(Table8[[Date]:[Date]])=$AM52)*(DAY(Table8[[Date]:[Date]])=$AN52)*(YEAR(Table8[[Date]:[Date]])=AV$1),0)</f>
        <v>0</v>
      </c>
      <c r="AW52">
        <f t="shared" si="2"/>
        <v>341</v>
      </c>
    </row>
    <row r="53" spans="22:49" x14ac:dyDescent="0.25">
      <c r="V53" t="s">
        <v>163</v>
      </c>
      <c r="W53">
        <f>_xlfn.IFNA(_xlfn.XMATCH(books[[#This Row],[Book]],Table8[[#Headers],[The Golden Compass]:[end]]),-1)</f>
        <v>-1</v>
      </c>
      <c r="X53">
        <v>52</v>
      </c>
      <c r="Y53" t="s">
        <v>116</v>
      </c>
      <c r="Z53">
        <v>52</v>
      </c>
      <c r="AA53">
        <f>_xlfn.IFNA(SUM(INDEX(Table8[],,_xlfn.XMATCH(books[[#This Row],[Book]],Table8[#Headers]))),0)</f>
        <v>0</v>
      </c>
      <c r="AC53" s="2" t="str">
        <f>IF(ISBLANK(books[[#This Row],[pages]]),"",books[[#This Row],[pages read]]/books[[#This Row],[pages]])</f>
        <v/>
      </c>
      <c r="AK53" s="5">
        <v>46253</v>
      </c>
      <c r="AM53">
        <v>2</v>
      </c>
      <c r="AN53">
        <v>21</v>
      </c>
      <c r="AO53" t="str">
        <f t="shared" si="1"/>
        <v>2/21</v>
      </c>
      <c r="AP53" cm="1">
        <f t="array" ref="AP53">_xlfn._xlws.FILTER(Table8[[Day Total]:[Day Total]],(MONTH(Table8[[Date]:[Date]])=$AM53)*(DAY(Table8[[Date]:[Date]])=$AN53)*(YEAR(Table8[[Date]:[Date]])=AP$1),0)</f>
        <v>0</v>
      </c>
      <c r="AR53" cm="1">
        <f t="array" ref="AR53">_xlfn._xlws.FILTER(Table8[[Day Total]:[Day Total]],(MONTH(Table8[[Date]:[Date]])=$AM53)*(DAY(Table8[[Date]:[Date]])=$AN53)*(YEAR(Table8[[Date]:[Date]])=AR$1),0)</f>
        <v>0</v>
      </c>
      <c r="AS53">
        <f t="shared" si="0"/>
        <v>1746</v>
      </c>
      <c r="AT53" cm="1">
        <f t="array" ref="AT53">_xlfn._xlws.FILTER(Table8[[Day Total]:[Day Total]],(MONTH(Table8[[Date]:[Date]])=$AM53)*(DAY(Table8[[Date]:[Date]])=$AN53)*(YEAR(Table8[[Date]:[Date]])=AT$1),0)</f>
        <v>0</v>
      </c>
      <c r="AU53">
        <f t="shared" si="3"/>
        <v>545</v>
      </c>
      <c r="AV53" cm="1">
        <f t="array" ref="AV53">_xlfn._xlws.FILTER(Table8[[Day Total]:[Day Total]],(MONTH(Table8[[Date]:[Date]])=$AM53)*(DAY(Table8[[Date]:[Date]])=$AN53)*(YEAR(Table8[[Date]:[Date]])=AV$1),0)</f>
        <v>0</v>
      </c>
      <c r="AW53">
        <f t="shared" si="2"/>
        <v>341</v>
      </c>
    </row>
    <row r="54" spans="22:49" x14ac:dyDescent="0.25">
      <c r="V54" t="s">
        <v>164</v>
      </c>
      <c r="W54">
        <f>_xlfn.IFNA(_xlfn.XMATCH(books[[#This Row],[Book]],Table8[[#Headers],[The Golden Compass]:[end]]),-1)</f>
        <v>-1</v>
      </c>
      <c r="X54">
        <v>53</v>
      </c>
      <c r="Y54" t="s">
        <v>116</v>
      </c>
      <c r="Z54">
        <v>53</v>
      </c>
      <c r="AA54">
        <f>_xlfn.IFNA(SUM(INDEX(Table8[],,_xlfn.XMATCH(books[[#This Row],[Book]],Table8[#Headers]))),0)</f>
        <v>0</v>
      </c>
      <c r="AC54" s="2" t="str">
        <f>IF(ISBLANK(books[[#This Row],[pages]]),"",books[[#This Row],[pages read]]/books[[#This Row],[pages]])</f>
        <v/>
      </c>
      <c r="AK54" s="5">
        <v>46254</v>
      </c>
      <c r="AM54">
        <v>2</v>
      </c>
      <c r="AN54">
        <v>22</v>
      </c>
      <c r="AO54" t="str">
        <f t="shared" si="1"/>
        <v>2/22</v>
      </c>
      <c r="AP54" cm="1">
        <f t="array" ref="AP54">_xlfn._xlws.FILTER(Table8[[Day Total]:[Day Total]],(MONTH(Table8[[Date]:[Date]])=$AM54)*(DAY(Table8[[Date]:[Date]])=$AN54)*(YEAR(Table8[[Date]:[Date]])=AP$1),0)</f>
        <v>0</v>
      </c>
      <c r="AR54" cm="1">
        <f t="array" ref="AR54">_xlfn._xlws.FILTER(Table8[[Day Total]:[Day Total]],(MONTH(Table8[[Date]:[Date]])=$AM54)*(DAY(Table8[[Date]:[Date]])=$AN54)*(YEAR(Table8[[Date]:[Date]])=AR$1),0)</f>
        <v>0</v>
      </c>
      <c r="AS54">
        <f t="shared" si="0"/>
        <v>1746</v>
      </c>
      <c r="AT54" cm="1">
        <f t="array" ref="AT54">_xlfn._xlws.FILTER(Table8[[Day Total]:[Day Total]],(MONTH(Table8[[Date]:[Date]])=$AM54)*(DAY(Table8[[Date]:[Date]])=$AN54)*(YEAR(Table8[[Date]:[Date]])=AT$1),0)</f>
        <v>72</v>
      </c>
      <c r="AU54">
        <f t="shared" si="3"/>
        <v>617</v>
      </c>
      <c r="AV54" cm="1">
        <f t="array" ref="AV54">_xlfn._xlws.FILTER(Table8[[Day Total]:[Day Total]],(MONTH(Table8[[Date]:[Date]])=$AM54)*(DAY(Table8[[Date]:[Date]])=$AN54)*(YEAR(Table8[[Date]:[Date]])=AV$1),0)</f>
        <v>0</v>
      </c>
      <c r="AW54">
        <f t="shared" si="2"/>
        <v>341</v>
      </c>
    </row>
    <row r="55" spans="22:49" x14ac:dyDescent="0.25">
      <c r="V55" t="s">
        <v>165</v>
      </c>
      <c r="W55">
        <f>_xlfn.IFNA(_xlfn.XMATCH(books[[#This Row],[Book]],Table8[[#Headers],[The Golden Compass]:[end]]),-1)</f>
        <v>-1</v>
      </c>
      <c r="X55">
        <v>54</v>
      </c>
      <c r="Y55" t="s">
        <v>116</v>
      </c>
      <c r="Z55">
        <v>54</v>
      </c>
      <c r="AA55">
        <f>_xlfn.IFNA(SUM(INDEX(Table8[],,_xlfn.XMATCH(books[[#This Row],[Book]],Table8[#Headers]))),0)</f>
        <v>0</v>
      </c>
      <c r="AC55" s="2" t="str">
        <f>IF(ISBLANK(books[[#This Row],[pages]]),"",books[[#This Row],[pages read]]/books[[#This Row],[pages]])</f>
        <v/>
      </c>
      <c r="AK55" s="5">
        <v>46255</v>
      </c>
      <c r="AM55">
        <v>2</v>
      </c>
      <c r="AN55">
        <v>23</v>
      </c>
      <c r="AO55" t="str">
        <f t="shared" si="1"/>
        <v>2/23</v>
      </c>
      <c r="AP55" cm="1">
        <f t="array" ref="AP55">_xlfn._xlws.FILTER(Table8[[Day Total]:[Day Total]],(MONTH(Table8[[Date]:[Date]])=$AM55)*(DAY(Table8[[Date]:[Date]])=$AN55)*(YEAR(Table8[[Date]:[Date]])=AP$1),0)</f>
        <v>0</v>
      </c>
      <c r="AR55" cm="1">
        <f t="array" ref="AR55">_xlfn._xlws.FILTER(Table8[[Day Total]:[Day Total]],(MONTH(Table8[[Date]:[Date]])=$AM55)*(DAY(Table8[[Date]:[Date]])=$AN55)*(YEAR(Table8[[Date]:[Date]])=AR$1),0)</f>
        <v>0</v>
      </c>
      <c r="AS55">
        <f t="shared" si="0"/>
        <v>1746</v>
      </c>
      <c r="AT55" cm="1">
        <f t="array" ref="AT55">_xlfn._xlws.FILTER(Table8[[Day Total]:[Day Total]],(MONTH(Table8[[Date]:[Date]])=$AM55)*(DAY(Table8[[Date]:[Date]])=$AN55)*(YEAR(Table8[[Date]:[Date]])=AT$1),0)</f>
        <v>46</v>
      </c>
      <c r="AU55">
        <f t="shared" si="3"/>
        <v>663</v>
      </c>
      <c r="AV55" cm="1">
        <f t="array" ref="AV55">_xlfn._xlws.FILTER(Table8[[Day Total]:[Day Total]],(MONTH(Table8[[Date]:[Date]])=$AM55)*(DAY(Table8[[Date]:[Date]])=$AN55)*(YEAR(Table8[[Date]:[Date]])=AV$1),0)</f>
        <v>0</v>
      </c>
      <c r="AW55">
        <f t="shared" si="2"/>
        <v>341</v>
      </c>
    </row>
    <row r="56" spans="22:49" x14ac:dyDescent="0.25">
      <c r="V56" t="s">
        <v>61</v>
      </c>
      <c r="W56">
        <f>_xlfn.IFNA(_xlfn.XMATCH(books[[#This Row],[Book]],Table8[[#Headers],[The Golden Compass]:[end]]),-1)</f>
        <v>42</v>
      </c>
      <c r="X56">
        <v>55</v>
      </c>
      <c r="Y56">
        <v>47</v>
      </c>
      <c r="Z56">
        <v>55</v>
      </c>
      <c r="AA56">
        <f>_xlfn.IFNA(SUM(INDEX(Table8[],,_xlfn.XMATCH(books[[#This Row],[Book]],Table8[#Headers]))),0)</f>
        <v>474</v>
      </c>
      <c r="AB56">
        <v>474</v>
      </c>
      <c r="AC56" s="2">
        <f>IF(ISBLANK(books[[#This Row],[pages]]),"",books[[#This Row],[pages read]]/books[[#This Row],[pages]])</f>
        <v>1</v>
      </c>
      <c r="AK56" s="5">
        <v>46257</v>
      </c>
      <c r="AM56">
        <v>2</v>
      </c>
      <c r="AN56">
        <v>24</v>
      </c>
      <c r="AO56" t="str">
        <f t="shared" si="1"/>
        <v>2/24</v>
      </c>
      <c r="AP56" cm="1">
        <f t="array" ref="AP56">_xlfn._xlws.FILTER(Table8[[Day Total]:[Day Total]],(MONTH(Table8[[Date]:[Date]])=$AM56)*(DAY(Table8[[Date]:[Date]])=$AN56)*(YEAR(Table8[[Date]:[Date]])=AP$1),0)</f>
        <v>0</v>
      </c>
      <c r="AR56" cm="1">
        <f t="array" ref="AR56">_xlfn._xlws.FILTER(Table8[[Day Total]:[Day Total]],(MONTH(Table8[[Date]:[Date]])=$AM56)*(DAY(Table8[[Date]:[Date]])=$AN56)*(YEAR(Table8[[Date]:[Date]])=AR$1),0)</f>
        <v>0</v>
      </c>
      <c r="AS56">
        <f t="shared" si="0"/>
        <v>1746</v>
      </c>
      <c r="AT56" cm="1">
        <f t="array" ref="AT56">_xlfn._xlws.FILTER(Table8[[Day Total]:[Day Total]],(MONTH(Table8[[Date]:[Date]])=$AM56)*(DAY(Table8[[Date]:[Date]])=$AN56)*(YEAR(Table8[[Date]:[Date]])=AT$1),0)</f>
        <v>12</v>
      </c>
      <c r="AU56">
        <f t="shared" si="3"/>
        <v>675</v>
      </c>
      <c r="AV56" cm="1">
        <f t="array" ref="AV56">_xlfn._xlws.FILTER(Table8[[Day Total]:[Day Total]],(MONTH(Table8[[Date]:[Date]])=$AM56)*(DAY(Table8[[Date]:[Date]])=$AN56)*(YEAR(Table8[[Date]:[Date]])=AV$1),0)</f>
        <v>0</v>
      </c>
      <c r="AW56">
        <f t="shared" si="2"/>
        <v>341</v>
      </c>
    </row>
    <row r="57" spans="22:49" x14ac:dyDescent="0.25">
      <c r="V57" t="s">
        <v>62</v>
      </c>
      <c r="W57">
        <f>_xlfn.IFNA(_xlfn.XMATCH(books[[#This Row],[Book]],Table8[[#Headers],[The Golden Compass]:[end]]),-1)</f>
        <v>43</v>
      </c>
      <c r="X57">
        <v>56</v>
      </c>
      <c r="Y57">
        <v>48</v>
      </c>
      <c r="Z57">
        <v>56</v>
      </c>
      <c r="AA57">
        <f>_xlfn.IFNA(SUM(INDEX(Table8[],,_xlfn.XMATCH(books[[#This Row],[Book]],Table8[#Headers]))),0)</f>
        <v>382</v>
      </c>
      <c r="AB57">
        <v>382</v>
      </c>
      <c r="AC57" s="2">
        <f>IF(ISBLANK(books[[#This Row],[pages]]),"",books[[#This Row],[pages read]]/books[[#This Row],[pages]])</f>
        <v>1</v>
      </c>
      <c r="AK57" s="5">
        <v>46258</v>
      </c>
      <c r="AM57">
        <v>2</v>
      </c>
      <c r="AN57">
        <v>25</v>
      </c>
      <c r="AO57" t="str">
        <f t="shared" si="1"/>
        <v>2/25</v>
      </c>
      <c r="AP57" cm="1">
        <f t="array" ref="AP57">_xlfn._xlws.FILTER(Table8[[Day Total]:[Day Total]],(MONTH(Table8[[Date]:[Date]])=$AM57)*(DAY(Table8[[Date]:[Date]])=$AN57)*(YEAR(Table8[[Date]:[Date]])=AP$1),0)</f>
        <v>0</v>
      </c>
      <c r="AR57" cm="1">
        <f t="array" ref="AR57">_xlfn._xlws.FILTER(Table8[[Day Total]:[Day Total]],(MONTH(Table8[[Date]:[Date]])=$AM57)*(DAY(Table8[[Date]:[Date]])=$AN57)*(YEAR(Table8[[Date]:[Date]])=AR$1),0)</f>
        <v>0</v>
      </c>
      <c r="AS57">
        <f t="shared" si="0"/>
        <v>1746</v>
      </c>
      <c r="AT57" cm="1">
        <f t="array" ref="AT57">_xlfn._xlws.FILTER(Table8[[Day Total]:[Day Total]],(MONTH(Table8[[Date]:[Date]])=$AM57)*(DAY(Table8[[Date]:[Date]])=$AN57)*(YEAR(Table8[[Date]:[Date]])=AT$1),0)</f>
        <v>0</v>
      </c>
      <c r="AU57">
        <f t="shared" si="3"/>
        <v>675</v>
      </c>
      <c r="AV57" cm="1">
        <f t="array" ref="AV57">_xlfn._xlws.FILTER(Table8[[Day Total]:[Day Total]],(MONTH(Table8[[Date]:[Date]])=$AM57)*(DAY(Table8[[Date]:[Date]])=$AN57)*(YEAR(Table8[[Date]:[Date]])=AV$1),0)</f>
        <v>0</v>
      </c>
      <c r="AW57">
        <f t="shared" si="2"/>
        <v>341</v>
      </c>
    </row>
    <row r="58" spans="22:49" x14ac:dyDescent="0.25">
      <c r="V58" t="s">
        <v>63</v>
      </c>
      <c r="W58">
        <f>_xlfn.IFNA(_xlfn.XMATCH(books[[#This Row],[Book]],Table8[[#Headers],[The Golden Compass]:[end]]),-1)</f>
        <v>44</v>
      </c>
      <c r="X58">
        <v>57</v>
      </c>
      <c r="Y58">
        <v>49</v>
      </c>
      <c r="Z58">
        <v>57</v>
      </c>
      <c r="AA58">
        <f>_xlfn.IFNA(SUM(INDEX(Table8[],,_xlfn.XMATCH(books[[#This Row],[Book]],Table8[#Headers]))),0)</f>
        <v>382</v>
      </c>
      <c r="AB58">
        <v>382</v>
      </c>
      <c r="AC58" s="2">
        <f>IF(ISBLANK(books[[#This Row],[pages]]),"",books[[#This Row],[pages read]]/books[[#This Row],[pages]])</f>
        <v>1</v>
      </c>
      <c r="AK58" s="5">
        <v>46259</v>
      </c>
      <c r="AM58">
        <v>2</v>
      </c>
      <c r="AN58">
        <v>26</v>
      </c>
      <c r="AO58" t="str">
        <f t="shared" si="1"/>
        <v>2/26</v>
      </c>
      <c r="AP58" cm="1">
        <f t="array" ref="AP58">_xlfn._xlws.FILTER(Table8[[Day Total]:[Day Total]],(MONTH(Table8[[Date]:[Date]])=$AM58)*(DAY(Table8[[Date]:[Date]])=$AN58)*(YEAR(Table8[[Date]:[Date]])=AP$1),0)</f>
        <v>0</v>
      </c>
      <c r="AR58" cm="1">
        <f t="array" ref="AR58">_xlfn._xlws.FILTER(Table8[[Day Total]:[Day Total]],(MONTH(Table8[[Date]:[Date]])=$AM58)*(DAY(Table8[[Date]:[Date]])=$AN58)*(YEAR(Table8[[Date]:[Date]])=AR$1),0)</f>
        <v>0</v>
      </c>
      <c r="AS58">
        <f t="shared" si="0"/>
        <v>1746</v>
      </c>
      <c r="AT58" cm="1">
        <f t="array" ref="AT58">_xlfn._xlws.FILTER(Table8[[Day Total]:[Day Total]],(MONTH(Table8[[Date]:[Date]])=$AM58)*(DAY(Table8[[Date]:[Date]])=$AN58)*(YEAR(Table8[[Date]:[Date]])=AT$1),0)</f>
        <v>0</v>
      </c>
      <c r="AU58">
        <f t="shared" si="3"/>
        <v>675</v>
      </c>
      <c r="AV58" cm="1">
        <f t="array" ref="AV58">_xlfn._xlws.FILTER(Table8[[Day Total]:[Day Total]],(MONTH(Table8[[Date]:[Date]])=$AM58)*(DAY(Table8[[Date]:[Date]])=$AN58)*(YEAR(Table8[[Date]:[Date]])=AV$1),0)</f>
        <v>0</v>
      </c>
      <c r="AW58">
        <f t="shared" si="2"/>
        <v>341</v>
      </c>
    </row>
    <row r="59" spans="22:49" x14ac:dyDescent="0.25">
      <c r="V59" t="s">
        <v>117</v>
      </c>
      <c r="W59">
        <f>_xlfn.IFNA(_xlfn.XMATCH(books[[#This Row],[Book]],Table8[[#Headers],[The Golden Compass]:[end]]),-1)</f>
        <v>-1</v>
      </c>
      <c r="X59">
        <v>58</v>
      </c>
      <c r="Y59" t="s">
        <v>116</v>
      </c>
      <c r="Z59">
        <v>58</v>
      </c>
      <c r="AA59">
        <f>_xlfn.IFNA(SUM(INDEX(Table8[],,_xlfn.XMATCH(books[[#This Row],[Book]],Table8[#Headers]))),0)</f>
        <v>0</v>
      </c>
      <c r="AC59" s="2" t="str">
        <f>IF(ISBLANK(books[[#This Row],[pages]]),"",books[[#This Row],[pages read]]/books[[#This Row],[pages]])</f>
        <v/>
      </c>
      <c r="AK59" s="5">
        <v>46264</v>
      </c>
      <c r="AM59">
        <v>2</v>
      </c>
      <c r="AN59">
        <v>27</v>
      </c>
      <c r="AO59" t="str">
        <f t="shared" si="1"/>
        <v>2/27</v>
      </c>
      <c r="AP59" cm="1">
        <f t="array" ref="AP59">_xlfn._xlws.FILTER(Table8[[Day Total]:[Day Total]],(MONTH(Table8[[Date]:[Date]])=$AM59)*(DAY(Table8[[Date]:[Date]])=$AN59)*(YEAR(Table8[[Date]:[Date]])=AP$1),0)</f>
        <v>0</v>
      </c>
      <c r="AR59" cm="1">
        <f t="array" ref="AR59">_xlfn._xlws.FILTER(Table8[[Day Total]:[Day Total]],(MONTH(Table8[[Date]:[Date]])=$AM59)*(DAY(Table8[[Date]:[Date]])=$AN59)*(YEAR(Table8[[Date]:[Date]])=AR$1),0)</f>
        <v>0</v>
      </c>
      <c r="AS59">
        <f t="shared" si="0"/>
        <v>1746</v>
      </c>
      <c r="AT59" cm="1">
        <f t="array" ref="AT59">_xlfn._xlws.FILTER(Table8[[Day Total]:[Day Total]],(MONTH(Table8[[Date]:[Date]])=$AM59)*(DAY(Table8[[Date]:[Date]])=$AN59)*(YEAR(Table8[[Date]:[Date]])=AT$1),0)</f>
        <v>0</v>
      </c>
      <c r="AU59">
        <f t="shared" si="3"/>
        <v>675</v>
      </c>
      <c r="AV59" cm="1">
        <f t="array" ref="AV59">_xlfn._xlws.FILTER(Table8[[Day Total]:[Day Total]],(MONTH(Table8[[Date]:[Date]])=$AM59)*(DAY(Table8[[Date]:[Date]])=$AN59)*(YEAR(Table8[[Date]:[Date]])=AV$1),0)</f>
        <v>0</v>
      </c>
      <c r="AW59">
        <f t="shared" si="2"/>
        <v>341</v>
      </c>
    </row>
    <row r="60" spans="22:49" x14ac:dyDescent="0.25">
      <c r="V60" t="s">
        <v>118</v>
      </c>
      <c r="W60">
        <f>_xlfn.IFNA(_xlfn.XMATCH(books[[#This Row],[Book]],Table8[[#Headers],[The Golden Compass]:[end]]),-1)</f>
        <v>-1</v>
      </c>
      <c r="X60">
        <v>59</v>
      </c>
      <c r="Y60" t="s">
        <v>116</v>
      </c>
      <c r="Z60">
        <v>59</v>
      </c>
      <c r="AA60">
        <f>_xlfn.IFNA(SUM(INDEX(Table8[],,_xlfn.XMATCH(books[[#This Row],[Book]],Table8[#Headers]))),0)</f>
        <v>0</v>
      </c>
      <c r="AC60" s="2" t="str">
        <f>IF(ISBLANK(books[[#This Row],[pages]]),"",books[[#This Row],[pages read]]/books[[#This Row],[pages]])</f>
        <v/>
      </c>
      <c r="AK60" s="5">
        <v>46265</v>
      </c>
      <c r="AM60">
        <v>2</v>
      </c>
      <c r="AN60">
        <v>28</v>
      </c>
      <c r="AO60" t="str">
        <f t="shared" si="1"/>
        <v>2/28</v>
      </c>
      <c r="AP60" cm="1">
        <f t="array" ref="AP60">_xlfn._xlws.FILTER(Table8[[Day Total]:[Day Total]],(MONTH(Table8[[Date]:[Date]])=$AM60)*(DAY(Table8[[Date]:[Date]])=$AN60)*(YEAR(Table8[[Date]:[Date]])=AP$1),0)</f>
        <v>0</v>
      </c>
      <c r="AR60" cm="1">
        <f t="array" ref="AR60">_xlfn._xlws.FILTER(Table8[[Day Total]:[Day Total]],(MONTH(Table8[[Date]:[Date]])=$AM60)*(DAY(Table8[[Date]:[Date]])=$AN60)*(YEAR(Table8[[Date]:[Date]])=AR$1),0)</f>
        <v>0</v>
      </c>
      <c r="AS60">
        <f t="shared" si="0"/>
        <v>1746</v>
      </c>
      <c r="AT60" cm="1">
        <f t="array" ref="AT60">_xlfn._xlws.FILTER(Table8[[Day Total]:[Day Total]],(MONTH(Table8[[Date]:[Date]])=$AM60)*(DAY(Table8[[Date]:[Date]])=$AN60)*(YEAR(Table8[[Date]:[Date]])=AT$1),0)</f>
        <v>0</v>
      </c>
      <c r="AU60">
        <f t="shared" si="3"/>
        <v>675</v>
      </c>
      <c r="AV60" cm="1">
        <f t="array" ref="AV60">_xlfn._xlws.FILTER(Table8[[Day Total]:[Day Total]],(MONTH(Table8[[Date]:[Date]])=$AM60)*(DAY(Table8[[Date]:[Date]])=$AN60)*(YEAR(Table8[[Date]:[Date]])=AV$1),0)</f>
        <v>0</v>
      </c>
      <c r="AW60">
        <f t="shared" si="2"/>
        <v>341</v>
      </c>
    </row>
    <row r="61" spans="22:49" x14ac:dyDescent="0.25">
      <c r="V61" t="s">
        <v>119</v>
      </c>
      <c r="W61">
        <f>_xlfn.IFNA(_xlfn.XMATCH(books[[#This Row],[Book]],Table8[[#Headers],[The Golden Compass]:[end]]),-1)</f>
        <v>-1</v>
      </c>
      <c r="X61">
        <v>60</v>
      </c>
      <c r="Y61" t="s">
        <v>116</v>
      </c>
      <c r="Z61">
        <v>60</v>
      </c>
      <c r="AA61">
        <f>_xlfn.IFNA(SUM(INDEX(Table8[],,_xlfn.XMATCH(books[[#This Row],[Book]],Table8[#Headers]))),0)</f>
        <v>0</v>
      </c>
      <c r="AC61" s="2" t="str">
        <f>IF(ISBLANK(books[[#This Row],[pages]]),"",books[[#This Row],[pages read]]/books[[#This Row],[pages]])</f>
        <v/>
      </c>
      <c r="AK61" s="5">
        <v>46266</v>
      </c>
      <c r="AM61">
        <v>2</v>
      </c>
      <c r="AN61">
        <v>29</v>
      </c>
      <c r="AO61" t="str">
        <f t="shared" si="1"/>
        <v>2/29</v>
      </c>
      <c r="AP61" cm="1">
        <f t="array" ref="AP61">_xlfn._xlws.FILTER(Table8[[Day Total]:[Day Total]],(MONTH(Table8[[Date]:[Date]])=$AM61)*(DAY(Table8[[Date]:[Date]])=$AN61)*(YEAR(Table8[[Date]:[Date]])=AP$1),0)</f>
        <v>0</v>
      </c>
      <c r="AR61" cm="1">
        <f t="array" ref="AR61">_xlfn._xlws.FILTER(Table8[[Day Total]:[Day Total]],(MONTH(Table8[[Date]:[Date]])=$AM61)*(DAY(Table8[[Date]:[Date]])=$AN61)*(YEAR(Table8[[Date]:[Date]])=AR$1),0)</f>
        <v>0</v>
      </c>
      <c r="AS61">
        <f t="shared" si="0"/>
        <v>1746</v>
      </c>
      <c r="AT61" cm="1">
        <f t="array" ref="AT61">_xlfn._xlws.FILTER(Table8[[Day Total]:[Day Total]],(MONTH(Table8[[Date]:[Date]])=$AM61)*(DAY(Table8[[Date]:[Date]])=$AN61)*(YEAR(Table8[[Date]:[Date]])=AT$1),0)</f>
        <v>0</v>
      </c>
      <c r="AU61">
        <f t="shared" si="3"/>
        <v>675</v>
      </c>
      <c r="AV61" cm="1">
        <f t="array" ref="AV61">_xlfn._xlws.FILTER(Table8[[Day Total]:[Day Total]],(MONTH(Table8[[Date]:[Date]])=$AM61)*(DAY(Table8[[Date]:[Date]])=$AN61)*(YEAR(Table8[[Date]:[Date]])=AV$1),0)</f>
        <v>0</v>
      </c>
      <c r="AW61">
        <f t="shared" si="2"/>
        <v>341</v>
      </c>
    </row>
    <row r="62" spans="22:49" x14ac:dyDescent="0.25">
      <c r="V62" t="s">
        <v>120</v>
      </c>
      <c r="W62">
        <f>_xlfn.IFNA(_xlfn.XMATCH(books[[#This Row],[Book]],Table8[[#Headers],[The Golden Compass]:[end]]),-1)</f>
        <v>-1</v>
      </c>
      <c r="X62">
        <v>61</v>
      </c>
      <c r="Y62" t="s">
        <v>116</v>
      </c>
      <c r="Z62">
        <v>61</v>
      </c>
      <c r="AA62">
        <f>_xlfn.IFNA(SUM(INDEX(Table8[],,_xlfn.XMATCH(books[[#This Row],[Book]],Table8[#Headers]))),0)</f>
        <v>0</v>
      </c>
      <c r="AC62" s="2" t="str">
        <f>IF(ISBLANK(books[[#This Row],[pages]]),"",books[[#This Row],[pages read]]/books[[#This Row],[pages]])</f>
        <v/>
      </c>
      <c r="AK62" s="5">
        <v>46267</v>
      </c>
      <c r="AL62" t="s">
        <v>105</v>
      </c>
      <c r="AM62">
        <v>3</v>
      </c>
      <c r="AN62">
        <v>1</v>
      </c>
      <c r="AO62" t="str">
        <f t="shared" si="1"/>
        <v>3/1</v>
      </c>
      <c r="AP62" cm="1">
        <f t="array" ref="AP62">_xlfn._xlws.FILTER(Table8[[Day Total]:[Day Total]],(MONTH(Table8[[Date]:[Date]])=$AM62)*(DAY(Table8[[Date]:[Date]])=$AN62)*(YEAR(Table8[[Date]:[Date]])=AP$1),0)</f>
        <v>0</v>
      </c>
      <c r="AR62" cm="1">
        <f t="array" ref="AR62">_xlfn._xlws.FILTER(Table8[[Day Total]:[Day Total]],(MONTH(Table8[[Date]:[Date]])=$AM62)*(DAY(Table8[[Date]:[Date]])=$AN62)*(YEAR(Table8[[Date]:[Date]])=AR$1),0)</f>
        <v>0</v>
      </c>
      <c r="AS62">
        <f t="shared" si="0"/>
        <v>1746</v>
      </c>
      <c r="AT62" cm="1">
        <f t="array" ref="AT62">_xlfn._xlws.FILTER(Table8[[Day Total]:[Day Total]],(MONTH(Table8[[Date]:[Date]])=$AM62)*(DAY(Table8[[Date]:[Date]])=$AN62)*(YEAR(Table8[[Date]:[Date]])=AT$1),0)</f>
        <v>0</v>
      </c>
      <c r="AU62">
        <f t="shared" si="3"/>
        <v>675</v>
      </c>
      <c r="AV62" cm="1">
        <f t="array" ref="AV62">_xlfn._xlws.FILTER(Table8[[Day Total]:[Day Total]],(MONTH(Table8[[Date]:[Date]])=$AM62)*(DAY(Table8[[Date]:[Date]])=$AN62)*(YEAR(Table8[[Date]:[Date]])=AV$1),0)</f>
        <v>0</v>
      </c>
      <c r="AW62">
        <f t="shared" si="2"/>
        <v>341</v>
      </c>
    </row>
    <row r="63" spans="22:49" x14ac:dyDescent="0.25">
      <c r="V63" t="s">
        <v>121</v>
      </c>
      <c r="W63">
        <f>_xlfn.IFNA(_xlfn.XMATCH(books[[#This Row],[Book]],Table8[[#Headers],[The Golden Compass]:[end]]),-1)</f>
        <v>-1</v>
      </c>
      <c r="X63">
        <v>62</v>
      </c>
      <c r="Y63" t="s">
        <v>116</v>
      </c>
      <c r="Z63">
        <v>62</v>
      </c>
      <c r="AA63">
        <f>_xlfn.IFNA(SUM(INDEX(Table8[],,_xlfn.XMATCH(books[[#This Row],[Book]],Table8[#Headers]))),0)</f>
        <v>0</v>
      </c>
      <c r="AC63" s="2" t="str">
        <f>IF(ISBLANK(books[[#This Row],[pages]]),"",books[[#This Row],[pages read]]/books[[#This Row],[pages]])</f>
        <v/>
      </c>
      <c r="AK63" s="5">
        <v>46268</v>
      </c>
      <c r="AM63">
        <v>3</v>
      </c>
      <c r="AN63">
        <v>2</v>
      </c>
      <c r="AO63" t="str">
        <f t="shared" si="1"/>
        <v>3/2</v>
      </c>
      <c r="AP63" cm="1">
        <f t="array" ref="AP63">_xlfn._xlws.FILTER(Table8[[Day Total]:[Day Total]],(MONTH(Table8[[Date]:[Date]])=$AM63)*(DAY(Table8[[Date]:[Date]])=$AN63)*(YEAR(Table8[[Date]:[Date]])=AP$1),0)</f>
        <v>0</v>
      </c>
      <c r="AR63" cm="1">
        <f t="array" ref="AR63">_xlfn._xlws.FILTER(Table8[[Day Total]:[Day Total]],(MONTH(Table8[[Date]:[Date]])=$AM63)*(DAY(Table8[[Date]:[Date]])=$AN63)*(YEAR(Table8[[Date]:[Date]])=AR$1),0)</f>
        <v>77</v>
      </c>
      <c r="AS63">
        <f t="shared" si="0"/>
        <v>1823</v>
      </c>
      <c r="AT63" cm="1">
        <f t="array" ref="AT63">_xlfn._xlws.FILTER(Table8[[Day Total]:[Day Total]],(MONTH(Table8[[Date]:[Date]])=$AM63)*(DAY(Table8[[Date]:[Date]])=$AN63)*(YEAR(Table8[[Date]:[Date]])=AT$1),0)</f>
        <v>107</v>
      </c>
      <c r="AU63">
        <f t="shared" si="3"/>
        <v>782</v>
      </c>
      <c r="AV63" cm="1">
        <f t="array" ref="AV63">_xlfn._xlws.FILTER(Table8[[Day Total]:[Day Total]],(MONTH(Table8[[Date]:[Date]])=$AM63)*(DAY(Table8[[Date]:[Date]])=$AN63)*(YEAR(Table8[[Date]:[Date]])=AV$1),0)</f>
        <v>0</v>
      </c>
      <c r="AW63">
        <f t="shared" si="2"/>
        <v>341</v>
      </c>
    </row>
    <row r="64" spans="22:49" x14ac:dyDescent="0.25">
      <c r="V64" t="s">
        <v>122</v>
      </c>
      <c r="W64">
        <f>_xlfn.IFNA(_xlfn.XMATCH(books[[#This Row],[Book]],Table8[[#Headers],[The Golden Compass]:[end]]),-1)</f>
        <v>-1</v>
      </c>
      <c r="X64">
        <v>63</v>
      </c>
      <c r="Y64" t="s">
        <v>116</v>
      </c>
      <c r="Z64">
        <v>63</v>
      </c>
      <c r="AA64">
        <f>_xlfn.IFNA(SUM(INDEX(Table8[],,_xlfn.XMATCH(books[[#This Row],[Book]],Table8[#Headers]))),0)</f>
        <v>0</v>
      </c>
      <c r="AC64" s="2" t="str">
        <f>IF(ISBLANK(books[[#This Row],[pages]]),"",books[[#This Row],[pages read]]/books[[#This Row],[pages]])</f>
        <v/>
      </c>
      <c r="AK64" s="5">
        <v>46269</v>
      </c>
      <c r="AM64">
        <v>3</v>
      </c>
      <c r="AN64">
        <v>3</v>
      </c>
      <c r="AO64" t="str">
        <f t="shared" si="1"/>
        <v>3/3</v>
      </c>
      <c r="AP64" cm="1">
        <f t="array" ref="AP64">_xlfn._xlws.FILTER(Table8[[Day Total]:[Day Total]],(MONTH(Table8[[Date]:[Date]])=$AM64)*(DAY(Table8[[Date]:[Date]])=$AN64)*(YEAR(Table8[[Date]:[Date]])=AP$1),0)</f>
        <v>0</v>
      </c>
      <c r="AR64" cm="1">
        <f t="array" ref="AR64">_xlfn._xlws.FILTER(Table8[[Day Total]:[Day Total]],(MONTH(Table8[[Date]:[Date]])=$AM64)*(DAY(Table8[[Date]:[Date]])=$AN64)*(YEAR(Table8[[Date]:[Date]])=AR$1),0)</f>
        <v>0</v>
      </c>
      <c r="AS64">
        <f t="shared" si="0"/>
        <v>1823</v>
      </c>
      <c r="AT64" cm="1">
        <f t="array" ref="AT64">_xlfn._xlws.FILTER(Table8[[Day Total]:[Day Total]],(MONTH(Table8[[Date]:[Date]])=$AM64)*(DAY(Table8[[Date]:[Date]])=$AN64)*(YEAR(Table8[[Date]:[Date]])=AT$1),0)</f>
        <v>0</v>
      </c>
      <c r="AU64">
        <f t="shared" si="3"/>
        <v>782</v>
      </c>
      <c r="AV64" cm="1">
        <f t="array" ref="AV64">_xlfn._xlws.FILTER(Table8[[Day Total]:[Day Total]],(MONTH(Table8[[Date]:[Date]])=$AM64)*(DAY(Table8[[Date]:[Date]])=$AN64)*(YEAR(Table8[[Date]:[Date]])=AV$1),0)</f>
        <v>0</v>
      </c>
      <c r="AW64">
        <f t="shared" si="2"/>
        <v>341</v>
      </c>
    </row>
    <row r="65" spans="22:49" x14ac:dyDescent="0.25">
      <c r="V65" t="s">
        <v>123</v>
      </c>
      <c r="W65">
        <f>_xlfn.IFNA(_xlfn.XMATCH(books[[#This Row],[Book]],Table8[[#Headers],[The Golden Compass]:[end]]),-1)</f>
        <v>-1</v>
      </c>
      <c r="X65">
        <v>64</v>
      </c>
      <c r="Y65" t="s">
        <v>116</v>
      </c>
      <c r="Z65">
        <v>64</v>
      </c>
      <c r="AA65">
        <f>_xlfn.IFNA(SUM(INDEX(Table8[],,_xlfn.XMATCH(books[[#This Row],[Book]],Table8[#Headers]))),0)</f>
        <v>0</v>
      </c>
      <c r="AC65" s="2" t="str">
        <f>IF(ISBLANK(books[[#This Row],[pages]]),"",books[[#This Row],[pages read]]/books[[#This Row],[pages]])</f>
        <v/>
      </c>
      <c r="AK65" s="5">
        <v>46270</v>
      </c>
      <c r="AM65">
        <v>3</v>
      </c>
      <c r="AN65">
        <v>4</v>
      </c>
      <c r="AO65" t="str">
        <f t="shared" si="1"/>
        <v>3/4</v>
      </c>
      <c r="AP65" cm="1">
        <f t="array" ref="AP65">_xlfn._xlws.FILTER(Table8[[Day Total]:[Day Total]],(MONTH(Table8[[Date]:[Date]])=$AM65)*(DAY(Table8[[Date]:[Date]])=$AN65)*(YEAR(Table8[[Date]:[Date]])=AP$1),0)</f>
        <v>0</v>
      </c>
      <c r="AR65" cm="1">
        <f t="array" ref="AR65">_xlfn._xlws.FILTER(Table8[[Day Total]:[Day Total]],(MONTH(Table8[[Date]:[Date]])=$AM65)*(DAY(Table8[[Date]:[Date]])=$AN65)*(YEAR(Table8[[Date]:[Date]])=AR$1),0)</f>
        <v>21</v>
      </c>
      <c r="AS65">
        <f t="shared" si="0"/>
        <v>1844</v>
      </c>
      <c r="AT65" cm="1">
        <f t="array" ref="AT65">_xlfn._xlws.FILTER(Table8[[Day Total]:[Day Total]],(MONTH(Table8[[Date]:[Date]])=$AM65)*(DAY(Table8[[Date]:[Date]])=$AN65)*(YEAR(Table8[[Date]:[Date]])=AT$1),0)</f>
        <v>0</v>
      </c>
      <c r="AU65">
        <f t="shared" si="3"/>
        <v>782</v>
      </c>
      <c r="AV65" cm="1">
        <f t="array" ref="AV65">_xlfn._xlws.FILTER(Table8[[Day Total]:[Day Total]],(MONTH(Table8[[Date]:[Date]])=$AM65)*(DAY(Table8[[Date]:[Date]])=$AN65)*(YEAR(Table8[[Date]:[Date]])=AV$1),0)</f>
        <v>0</v>
      </c>
      <c r="AW65">
        <f t="shared" si="2"/>
        <v>341</v>
      </c>
    </row>
    <row r="66" spans="22:49" x14ac:dyDescent="0.25">
      <c r="V66" t="s">
        <v>124</v>
      </c>
      <c r="W66">
        <f>_xlfn.IFNA(_xlfn.XMATCH(books[[#This Row],[Book]],Table8[[#Headers],[The Golden Compass]:[end]]),-1)</f>
        <v>-1</v>
      </c>
      <c r="X66">
        <v>65</v>
      </c>
      <c r="Y66" t="s">
        <v>116</v>
      </c>
      <c r="Z66">
        <v>65</v>
      </c>
      <c r="AA66">
        <f>_xlfn.IFNA(SUM(INDEX(Table8[],,_xlfn.XMATCH(books[[#This Row],[Book]],Table8[#Headers]))),0)</f>
        <v>0</v>
      </c>
      <c r="AC66" s="2" t="str">
        <f>IF(ISBLANK(books[[#This Row],[pages]]),"",books[[#This Row],[pages read]]/books[[#This Row],[pages]])</f>
        <v/>
      </c>
      <c r="AK66" s="5">
        <v>46271</v>
      </c>
      <c r="AM66">
        <v>3</v>
      </c>
      <c r="AN66">
        <v>5</v>
      </c>
      <c r="AO66" t="str">
        <f t="shared" si="1"/>
        <v>3/5</v>
      </c>
      <c r="AP66" cm="1">
        <f t="array" ref="AP66">_xlfn._xlws.FILTER(Table8[[Day Total]:[Day Total]],(MONTH(Table8[[Date]:[Date]])=$AM66)*(DAY(Table8[[Date]:[Date]])=$AN66)*(YEAR(Table8[[Date]:[Date]])=AP$1),0)</f>
        <v>0</v>
      </c>
      <c r="AR66" cm="1">
        <f t="array" ref="AR66">_xlfn._xlws.FILTER(Table8[[Day Total]:[Day Total]],(MONTH(Table8[[Date]:[Date]])=$AM66)*(DAY(Table8[[Date]:[Date]])=$AN66)*(YEAR(Table8[[Date]:[Date]])=AR$1),0)</f>
        <v>0</v>
      </c>
      <c r="AS66">
        <f t="shared" ref="AS66:AS129" si="5">AS65+AR66</f>
        <v>1844</v>
      </c>
      <c r="AT66" cm="1">
        <f t="array" ref="AT66">_xlfn._xlws.FILTER(Table8[[Day Total]:[Day Total]],(MONTH(Table8[[Date]:[Date]])=$AM66)*(DAY(Table8[[Date]:[Date]])=$AN66)*(YEAR(Table8[[Date]:[Date]])=AT$1),0)</f>
        <v>0</v>
      </c>
      <c r="AU66">
        <f t="shared" si="3"/>
        <v>782</v>
      </c>
      <c r="AV66" cm="1">
        <f t="array" ref="AV66">_xlfn._xlws.FILTER(Table8[[Day Total]:[Day Total]],(MONTH(Table8[[Date]:[Date]])=$AM66)*(DAY(Table8[[Date]:[Date]])=$AN66)*(YEAR(Table8[[Date]:[Date]])=AV$1),0)</f>
        <v>0</v>
      </c>
      <c r="AW66">
        <f t="shared" si="2"/>
        <v>341</v>
      </c>
    </row>
    <row r="67" spans="22:49" x14ac:dyDescent="0.25">
      <c r="V67" t="s">
        <v>125</v>
      </c>
      <c r="W67">
        <f>_xlfn.IFNA(_xlfn.XMATCH(books[[#This Row],[Book]],Table8[[#Headers],[The Golden Compass]:[end]]),-1)</f>
        <v>-1</v>
      </c>
      <c r="X67">
        <v>66</v>
      </c>
      <c r="Y67" t="s">
        <v>116</v>
      </c>
      <c r="Z67">
        <v>66</v>
      </c>
      <c r="AA67">
        <f>_xlfn.IFNA(SUM(INDEX(Table8[],,_xlfn.XMATCH(books[[#This Row],[Book]],Table8[#Headers]))),0)</f>
        <v>0</v>
      </c>
      <c r="AC67" s="2" t="str">
        <f>IF(ISBLANK(books[[#This Row],[pages]]),"",books[[#This Row],[pages read]]/books[[#This Row],[pages]])</f>
        <v/>
      </c>
      <c r="AK67" s="5">
        <v>46272</v>
      </c>
      <c r="AM67">
        <v>3</v>
      </c>
      <c r="AN67">
        <v>6</v>
      </c>
      <c r="AO67" t="str">
        <f t="shared" ref="AO67:AO130" si="6">_xlfn.CONCAT(AM67,"/",AN67)</f>
        <v>3/6</v>
      </c>
      <c r="AP67" cm="1">
        <f t="array" ref="AP67">_xlfn._xlws.FILTER(Table8[[Day Total]:[Day Total]],(MONTH(Table8[[Date]:[Date]])=$AM67)*(DAY(Table8[[Date]:[Date]])=$AN67)*(YEAR(Table8[[Date]:[Date]])=AP$1),0)</f>
        <v>0</v>
      </c>
      <c r="AR67" cm="1">
        <f t="array" ref="AR67">_xlfn._xlws.FILTER(Table8[[Day Total]:[Day Total]],(MONTH(Table8[[Date]:[Date]])=$AM67)*(DAY(Table8[[Date]:[Date]])=$AN67)*(YEAR(Table8[[Date]:[Date]])=AR$1),0)</f>
        <v>0</v>
      </c>
      <c r="AS67">
        <f t="shared" si="5"/>
        <v>1844</v>
      </c>
      <c r="AT67" cm="1">
        <f t="array" ref="AT67">_xlfn._xlws.FILTER(Table8[[Day Total]:[Day Total]],(MONTH(Table8[[Date]:[Date]])=$AM67)*(DAY(Table8[[Date]:[Date]])=$AN67)*(YEAR(Table8[[Date]:[Date]])=AT$1),0)</f>
        <v>0</v>
      </c>
      <c r="AU67">
        <f t="shared" si="3"/>
        <v>782</v>
      </c>
      <c r="AV67" cm="1">
        <f t="array" ref="AV67">_xlfn._xlws.FILTER(Table8[[Day Total]:[Day Total]],(MONTH(Table8[[Date]:[Date]])=$AM67)*(DAY(Table8[[Date]:[Date]])=$AN67)*(YEAR(Table8[[Date]:[Date]])=AV$1),0)</f>
        <v>0</v>
      </c>
      <c r="AW67">
        <f t="shared" si="2"/>
        <v>341</v>
      </c>
    </row>
    <row r="68" spans="22:49" x14ac:dyDescent="0.25">
      <c r="V68" t="s">
        <v>126</v>
      </c>
      <c r="W68">
        <f>_xlfn.IFNA(_xlfn.XMATCH(books[[#This Row],[Book]],Table8[[#Headers],[The Golden Compass]:[end]]),-1)</f>
        <v>-1</v>
      </c>
      <c r="X68">
        <v>67</v>
      </c>
      <c r="Y68" t="s">
        <v>116</v>
      </c>
      <c r="Z68">
        <v>67</v>
      </c>
      <c r="AA68">
        <f>_xlfn.IFNA(SUM(INDEX(Table8[],,_xlfn.XMATCH(books[[#This Row],[Book]],Table8[#Headers]))),0)</f>
        <v>0</v>
      </c>
      <c r="AC68" s="2" t="str">
        <f>IF(ISBLANK(books[[#This Row],[pages]]),"",books[[#This Row],[pages read]]/books[[#This Row],[pages]])</f>
        <v/>
      </c>
      <c r="AK68" s="5">
        <v>46273</v>
      </c>
      <c r="AM68">
        <v>3</v>
      </c>
      <c r="AN68">
        <v>7</v>
      </c>
      <c r="AO68" t="str">
        <f t="shared" si="6"/>
        <v>3/7</v>
      </c>
      <c r="AP68" cm="1">
        <f t="array" ref="AP68">_xlfn._xlws.FILTER(Table8[[Day Total]:[Day Total]],(MONTH(Table8[[Date]:[Date]])=$AM68)*(DAY(Table8[[Date]:[Date]])=$AN68)*(YEAR(Table8[[Date]:[Date]])=AP$1),0)</f>
        <v>0</v>
      </c>
      <c r="AR68" cm="1">
        <f t="array" ref="AR68">_xlfn._xlws.FILTER(Table8[[Day Total]:[Day Total]],(MONTH(Table8[[Date]:[Date]])=$AM68)*(DAY(Table8[[Date]:[Date]])=$AN68)*(YEAR(Table8[[Date]:[Date]])=AR$1),0)</f>
        <v>0</v>
      </c>
      <c r="AS68">
        <f t="shared" si="5"/>
        <v>1844</v>
      </c>
      <c r="AT68" cm="1">
        <f t="array" ref="AT68">_xlfn._xlws.FILTER(Table8[[Day Total]:[Day Total]],(MONTH(Table8[[Date]:[Date]])=$AM68)*(DAY(Table8[[Date]:[Date]])=$AN68)*(YEAR(Table8[[Date]:[Date]])=AT$1),0)</f>
        <v>0</v>
      </c>
      <c r="AU68">
        <f t="shared" si="3"/>
        <v>782</v>
      </c>
      <c r="AV68" cm="1">
        <f t="array" ref="AV68">_xlfn._xlws.FILTER(Table8[[Day Total]:[Day Total]],(MONTH(Table8[[Date]:[Date]])=$AM68)*(DAY(Table8[[Date]:[Date]])=$AN68)*(YEAR(Table8[[Date]:[Date]])=AV$1),0)</f>
        <v>0</v>
      </c>
      <c r="AW68">
        <f t="shared" si="2"/>
        <v>341</v>
      </c>
    </row>
    <row r="69" spans="22:49" x14ac:dyDescent="0.25">
      <c r="V69" t="s">
        <v>127</v>
      </c>
      <c r="W69">
        <f>_xlfn.IFNA(_xlfn.XMATCH(books[[#This Row],[Book]],Table8[[#Headers],[The Golden Compass]:[end]]),-1)</f>
        <v>-1</v>
      </c>
      <c r="X69">
        <v>68</v>
      </c>
      <c r="Y69" t="s">
        <v>116</v>
      </c>
      <c r="Z69">
        <v>68</v>
      </c>
      <c r="AA69">
        <f>_xlfn.IFNA(SUM(INDEX(Table8[],,_xlfn.XMATCH(books[[#This Row],[Book]],Table8[#Headers]))),0)</f>
        <v>0</v>
      </c>
      <c r="AC69" s="2" t="str">
        <f>IF(ISBLANK(books[[#This Row],[pages]]),"",books[[#This Row],[pages read]]/books[[#This Row],[pages]])</f>
        <v/>
      </c>
      <c r="AK69" s="5">
        <v>46274</v>
      </c>
      <c r="AM69">
        <v>3</v>
      </c>
      <c r="AN69">
        <v>8</v>
      </c>
      <c r="AO69" t="str">
        <f t="shared" si="6"/>
        <v>3/8</v>
      </c>
      <c r="AP69" cm="1">
        <f t="array" ref="AP69">_xlfn._xlws.FILTER(Table8[[Day Total]:[Day Total]],(MONTH(Table8[[Date]:[Date]])=$AM69)*(DAY(Table8[[Date]:[Date]])=$AN69)*(YEAR(Table8[[Date]:[Date]])=AP$1),0)</f>
        <v>0</v>
      </c>
      <c r="AR69" cm="1">
        <f t="array" ref="AR69">_xlfn._xlws.FILTER(Table8[[Day Total]:[Day Total]],(MONTH(Table8[[Date]:[Date]])=$AM69)*(DAY(Table8[[Date]:[Date]])=$AN69)*(YEAR(Table8[[Date]:[Date]])=AR$1),0)</f>
        <v>0</v>
      </c>
      <c r="AS69">
        <f t="shared" si="5"/>
        <v>1844</v>
      </c>
      <c r="AT69" cm="1">
        <f t="array" ref="AT69">_xlfn._xlws.FILTER(Table8[[Day Total]:[Day Total]],(MONTH(Table8[[Date]:[Date]])=$AM69)*(DAY(Table8[[Date]:[Date]])=$AN69)*(YEAR(Table8[[Date]:[Date]])=AT$1),0)</f>
        <v>0</v>
      </c>
      <c r="AU69">
        <f t="shared" si="3"/>
        <v>782</v>
      </c>
      <c r="AV69" cm="1">
        <f t="array" ref="AV69">_xlfn._xlws.FILTER(Table8[[Day Total]:[Day Total]],(MONTH(Table8[[Date]:[Date]])=$AM69)*(DAY(Table8[[Date]:[Date]])=$AN69)*(YEAR(Table8[[Date]:[Date]])=AV$1),0)</f>
        <v>0</v>
      </c>
      <c r="AW69">
        <f t="shared" si="2"/>
        <v>341</v>
      </c>
    </row>
    <row r="70" spans="22:49" x14ac:dyDescent="0.25">
      <c r="V70" t="s">
        <v>128</v>
      </c>
      <c r="W70">
        <f>_xlfn.IFNA(_xlfn.XMATCH(books[[#This Row],[Book]],Table8[[#Headers],[The Golden Compass]:[end]]),-1)</f>
        <v>-1</v>
      </c>
      <c r="X70">
        <v>69</v>
      </c>
      <c r="Y70" t="s">
        <v>116</v>
      </c>
      <c r="Z70">
        <v>69</v>
      </c>
      <c r="AA70">
        <f>_xlfn.IFNA(SUM(INDEX(Table8[],,_xlfn.XMATCH(books[[#This Row],[Book]],Table8[#Headers]))),0)</f>
        <v>0</v>
      </c>
      <c r="AC70" s="2" t="str">
        <f>IF(ISBLANK(books[[#This Row],[pages]]),"",books[[#This Row],[pages read]]/books[[#This Row],[pages]])</f>
        <v/>
      </c>
      <c r="AK70" s="5">
        <v>46275</v>
      </c>
      <c r="AM70">
        <v>3</v>
      </c>
      <c r="AN70">
        <v>9</v>
      </c>
      <c r="AO70" t="str">
        <f t="shared" si="6"/>
        <v>3/9</v>
      </c>
      <c r="AP70" cm="1">
        <f t="array" ref="AP70">_xlfn._xlws.FILTER(Table8[[Day Total]:[Day Total]],(MONTH(Table8[[Date]:[Date]])=$AM70)*(DAY(Table8[[Date]:[Date]])=$AN70)*(YEAR(Table8[[Date]:[Date]])=AP$1),0)</f>
        <v>0</v>
      </c>
      <c r="AR70" cm="1">
        <f t="array" ref="AR70">_xlfn._xlws.FILTER(Table8[[Day Total]:[Day Total]],(MONTH(Table8[[Date]:[Date]])=$AM70)*(DAY(Table8[[Date]:[Date]])=$AN70)*(YEAR(Table8[[Date]:[Date]])=AR$1),0)</f>
        <v>0</v>
      </c>
      <c r="AS70">
        <f t="shared" si="5"/>
        <v>1844</v>
      </c>
      <c r="AT70" cm="1">
        <f t="array" ref="AT70">_xlfn._xlws.FILTER(Table8[[Day Total]:[Day Total]],(MONTH(Table8[[Date]:[Date]])=$AM70)*(DAY(Table8[[Date]:[Date]])=$AN70)*(YEAR(Table8[[Date]:[Date]])=AT$1),0)</f>
        <v>0</v>
      </c>
      <c r="AU70">
        <f t="shared" si="3"/>
        <v>782</v>
      </c>
      <c r="AV70" cm="1">
        <f t="array" ref="AV70">_xlfn._xlws.FILTER(Table8[[Day Total]:[Day Total]],(MONTH(Table8[[Date]:[Date]])=$AM70)*(DAY(Table8[[Date]:[Date]])=$AN70)*(YEAR(Table8[[Date]:[Date]])=AV$1),0)</f>
        <v>0</v>
      </c>
      <c r="AW70">
        <f t="shared" ref="AW70:AW133" si="7">AW69+AV70</f>
        <v>341</v>
      </c>
    </row>
    <row r="71" spans="22:49" x14ac:dyDescent="0.25">
      <c r="V71" t="s">
        <v>129</v>
      </c>
      <c r="W71">
        <f>_xlfn.IFNA(_xlfn.XMATCH(books[[#This Row],[Book]],Table8[[#Headers],[The Golden Compass]:[end]]),-1)</f>
        <v>-1</v>
      </c>
      <c r="X71">
        <v>70</v>
      </c>
      <c r="Y71" t="s">
        <v>116</v>
      </c>
      <c r="Z71">
        <v>70</v>
      </c>
      <c r="AA71">
        <f>_xlfn.IFNA(SUM(INDEX(Table8[],,_xlfn.XMATCH(books[[#This Row],[Book]],Table8[#Headers]))),0)</f>
        <v>0</v>
      </c>
      <c r="AC71" s="2" t="str">
        <f>IF(ISBLANK(books[[#This Row],[pages]]),"",books[[#This Row],[pages read]]/books[[#This Row],[pages]])</f>
        <v/>
      </c>
      <c r="AK71" s="5">
        <v>46276</v>
      </c>
      <c r="AM71">
        <v>3</v>
      </c>
      <c r="AN71">
        <v>10</v>
      </c>
      <c r="AO71" t="str">
        <f t="shared" si="6"/>
        <v>3/10</v>
      </c>
      <c r="AP71" cm="1">
        <f t="array" ref="AP71">_xlfn._xlws.FILTER(Table8[[Day Total]:[Day Total]],(MONTH(Table8[[Date]:[Date]])=$AM71)*(DAY(Table8[[Date]:[Date]])=$AN71)*(YEAR(Table8[[Date]:[Date]])=AP$1),0)</f>
        <v>0</v>
      </c>
      <c r="AR71" cm="1">
        <f t="array" ref="AR71">_xlfn._xlws.FILTER(Table8[[Day Total]:[Day Total]],(MONTH(Table8[[Date]:[Date]])=$AM71)*(DAY(Table8[[Date]:[Date]])=$AN71)*(YEAR(Table8[[Date]:[Date]])=AR$1),0)</f>
        <v>0</v>
      </c>
      <c r="AS71">
        <f t="shared" si="5"/>
        <v>1844</v>
      </c>
      <c r="AT71" cm="1">
        <f t="array" ref="AT71">_xlfn._xlws.FILTER(Table8[[Day Total]:[Day Total]],(MONTH(Table8[[Date]:[Date]])=$AM71)*(DAY(Table8[[Date]:[Date]])=$AN71)*(YEAR(Table8[[Date]:[Date]])=AT$1),0)</f>
        <v>0</v>
      </c>
      <c r="AU71">
        <f t="shared" si="3"/>
        <v>782</v>
      </c>
      <c r="AV71" cm="1">
        <f t="array" ref="AV71">_xlfn._xlws.FILTER(Table8[[Day Total]:[Day Total]],(MONTH(Table8[[Date]:[Date]])=$AM71)*(DAY(Table8[[Date]:[Date]])=$AN71)*(YEAR(Table8[[Date]:[Date]])=AV$1),0)</f>
        <v>0</v>
      </c>
      <c r="AW71">
        <f t="shared" si="7"/>
        <v>341</v>
      </c>
    </row>
    <row r="72" spans="22:49" x14ac:dyDescent="0.25">
      <c r="V72" t="s">
        <v>130</v>
      </c>
      <c r="W72">
        <f>_xlfn.IFNA(_xlfn.XMATCH(books[[#This Row],[Book]],Table8[[#Headers],[The Golden Compass]:[end]]),-1)</f>
        <v>-1</v>
      </c>
      <c r="X72">
        <v>71</v>
      </c>
      <c r="Y72" t="s">
        <v>116</v>
      </c>
      <c r="Z72">
        <v>71</v>
      </c>
      <c r="AA72">
        <f>_xlfn.IFNA(SUM(INDEX(Table8[],,_xlfn.XMATCH(books[[#This Row],[Book]],Table8[#Headers]))),0)</f>
        <v>0</v>
      </c>
      <c r="AC72" s="2" t="str">
        <f>IF(ISBLANK(books[[#This Row],[pages]]),"",books[[#This Row],[pages read]]/books[[#This Row],[pages]])</f>
        <v/>
      </c>
      <c r="AK72" s="5">
        <v>46277</v>
      </c>
      <c r="AM72">
        <v>3</v>
      </c>
      <c r="AN72">
        <v>11</v>
      </c>
      <c r="AO72" t="str">
        <f t="shared" si="6"/>
        <v>3/11</v>
      </c>
      <c r="AP72" cm="1">
        <f t="array" ref="AP72">_xlfn._xlws.FILTER(Table8[[Day Total]:[Day Total]],(MONTH(Table8[[Date]:[Date]])=$AM72)*(DAY(Table8[[Date]:[Date]])=$AN72)*(YEAR(Table8[[Date]:[Date]])=AP$1),0)</f>
        <v>0</v>
      </c>
      <c r="AR72" cm="1">
        <f t="array" ref="AR72">_xlfn._xlws.FILTER(Table8[[Day Total]:[Day Total]],(MONTH(Table8[[Date]:[Date]])=$AM72)*(DAY(Table8[[Date]:[Date]])=$AN72)*(YEAR(Table8[[Date]:[Date]])=AR$1),0)</f>
        <v>0</v>
      </c>
      <c r="AS72">
        <f t="shared" si="5"/>
        <v>1844</v>
      </c>
      <c r="AT72" cm="1">
        <f t="array" ref="AT72">_xlfn._xlws.FILTER(Table8[[Day Total]:[Day Total]],(MONTH(Table8[[Date]:[Date]])=$AM72)*(DAY(Table8[[Date]:[Date]])=$AN72)*(YEAR(Table8[[Date]:[Date]])=AT$1),0)</f>
        <v>0</v>
      </c>
      <c r="AU72">
        <f t="shared" si="3"/>
        <v>782</v>
      </c>
      <c r="AV72" cm="1">
        <f t="array" ref="AV72">_xlfn._xlws.FILTER(Table8[[Day Total]:[Day Total]],(MONTH(Table8[[Date]:[Date]])=$AM72)*(DAY(Table8[[Date]:[Date]])=$AN72)*(YEAR(Table8[[Date]:[Date]])=AV$1),0)</f>
        <v>0</v>
      </c>
      <c r="AW72">
        <f t="shared" si="7"/>
        <v>341</v>
      </c>
    </row>
    <row r="73" spans="22:49" x14ac:dyDescent="0.25">
      <c r="V73" t="s">
        <v>131</v>
      </c>
      <c r="W73">
        <f>_xlfn.IFNA(_xlfn.XMATCH(books[[#This Row],[Book]],Table8[[#Headers],[The Golden Compass]:[end]]),-1)</f>
        <v>-1</v>
      </c>
      <c r="X73">
        <v>72</v>
      </c>
      <c r="Y73" t="s">
        <v>116</v>
      </c>
      <c r="Z73">
        <v>72</v>
      </c>
      <c r="AA73">
        <f>_xlfn.IFNA(SUM(INDEX(Table8[],,_xlfn.XMATCH(books[[#This Row],[Book]],Table8[#Headers]))),0)</f>
        <v>0</v>
      </c>
      <c r="AC73" s="2" t="str">
        <f>IF(ISBLANK(books[[#This Row],[pages]]),"",books[[#This Row],[pages read]]/books[[#This Row],[pages]])</f>
        <v/>
      </c>
      <c r="AK73" s="5">
        <v>46278</v>
      </c>
      <c r="AM73">
        <v>3</v>
      </c>
      <c r="AN73">
        <v>12</v>
      </c>
      <c r="AO73" t="str">
        <f t="shared" si="6"/>
        <v>3/12</v>
      </c>
      <c r="AP73" cm="1">
        <f t="array" ref="AP73">_xlfn._xlws.FILTER(Table8[[Day Total]:[Day Total]],(MONTH(Table8[[Date]:[Date]])=$AM73)*(DAY(Table8[[Date]:[Date]])=$AN73)*(YEAR(Table8[[Date]:[Date]])=AP$1),0)</f>
        <v>0</v>
      </c>
      <c r="AR73" cm="1">
        <f t="array" ref="AR73">_xlfn._xlws.FILTER(Table8[[Day Total]:[Day Total]],(MONTH(Table8[[Date]:[Date]])=$AM73)*(DAY(Table8[[Date]:[Date]])=$AN73)*(YEAR(Table8[[Date]:[Date]])=AR$1),0)</f>
        <v>0</v>
      </c>
      <c r="AS73">
        <f t="shared" si="5"/>
        <v>1844</v>
      </c>
      <c r="AT73" cm="1">
        <f t="array" ref="AT73">_xlfn._xlws.FILTER(Table8[[Day Total]:[Day Total]],(MONTH(Table8[[Date]:[Date]])=$AM73)*(DAY(Table8[[Date]:[Date]])=$AN73)*(YEAR(Table8[[Date]:[Date]])=AT$1),0)</f>
        <v>0</v>
      </c>
      <c r="AU73">
        <f t="shared" si="3"/>
        <v>782</v>
      </c>
      <c r="AV73" cm="1">
        <f t="array" ref="AV73">_xlfn._xlws.FILTER(Table8[[Day Total]:[Day Total]],(MONTH(Table8[[Date]:[Date]])=$AM73)*(DAY(Table8[[Date]:[Date]])=$AN73)*(YEAR(Table8[[Date]:[Date]])=AV$1),0)</f>
        <v>0</v>
      </c>
      <c r="AW73">
        <f t="shared" si="7"/>
        <v>341</v>
      </c>
    </row>
    <row r="74" spans="22:49" x14ac:dyDescent="0.25">
      <c r="V74" t="s">
        <v>132</v>
      </c>
      <c r="W74">
        <f>_xlfn.IFNA(_xlfn.XMATCH(books[[#This Row],[Book]],Table8[[#Headers],[The Golden Compass]:[end]]),-1)</f>
        <v>-1</v>
      </c>
      <c r="X74">
        <v>73</v>
      </c>
      <c r="Y74" t="s">
        <v>116</v>
      </c>
      <c r="Z74">
        <v>73</v>
      </c>
      <c r="AA74">
        <f>_xlfn.IFNA(SUM(INDEX(Table8[],,_xlfn.XMATCH(books[[#This Row],[Book]],Table8[#Headers]))),0)</f>
        <v>0</v>
      </c>
      <c r="AC74" s="2" t="str">
        <f>IF(ISBLANK(books[[#This Row],[pages]]),"",books[[#This Row],[pages read]]/books[[#This Row],[pages]])</f>
        <v/>
      </c>
      <c r="AK74" s="5">
        <v>46282</v>
      </c>
      <c r="AM74">
        <v>3</v>
      </c>
      <c r="AN74">
        <v>13</v>
      </c>
      <c r="AO74" t="str">
        <f t="shared" si="6"/>
        <v>3/13</v>
      </c>
      <c r="AP74" cm="1">
        <f t="array" ref="AP74">_xlfn._xlws.FILTER(Table8[[Day Total]:[Day Total]],(MONTH(Table8[[Date]:[Date]])=$AM74)*(DAY(Table8[[Date]:[Date]])=$AN74)*(YEAR(Table8[[Date]:[Date]])=AP$1),0)</f>
        <v>0</v>
      </c>
      <c r="AR74" cm="1">
        <f t="array" ref="AR74">_xlfn._xlws.FILTER(Table8[[Day Total]:[Day Total]],(MONTH(Table8[[Date]:[Date]])=$AM74)*(DAY(Table8[[Date]:[Date]])=$AN74)*(YEAR(Table8[[Date]:[Date]])=AR$1),0)</f>
        <v>0</v>
      </c>
      <c r="AS74">
        <f t="shared" si="5"/>
        <v>1844</v>
      </c>
      <c r="AT74" cm="1">
        <f t="array" ref="AT74">_xlfn._xlws.FILTER(Table8[[Day Total]:[Day Total]],(MONTH(Table8[[Date]:[Date]])=$AM74)*(DAY(Table8[[Date]:[Date]])=$AN74)*(YEAR(Table8[[Date]:[Date]])=AT$1),0)</f>
        <v>0</v>
      </c>
      <c r="AU74">
        <f t="shared" ref="AU74:AU137" si="8">AU73+AT74</f>
        <v>782</v>
      </c>
      <c r="AV74" cm="1">
        <f t="array" ref="AV74">_xlfn._xlws.FILTER(Table8[[Day Total]:[Day Total]],(MONTH(Table8[[Date]:[Date]])=$AM74)*(DAY(Table8[[Date]:[Date]])=$AN74)*(YEAR(Table8[[Date]:[Date]])=AV$1),0)</f>
        <v>0</v>
      </c>
      <c r="AW74">
        <f t="shared" si="7"/>
        <v>341</v>
      </c>
    </row>
    <row r="75" spans="22:49" x14ac:dyDescent="0.25">
      <c r="V75" t="s">
        <v>133</v>
      </c>
      <c r="W75">
        <f>_xlfn.IFNA(_xlfn.XMATCH(books[[#This Row],[Book]],Table8[[#Headers],[The Golden Compass]:[end]]),-1)</f>
        <v>-1</v>
      </c>
      <c r="X75">
        <v>74</v>
      </c>
      <c r="Y75" t="s">
        <v>116</v>
      </c>
      <c r="Z75">
        <v>74</v>
      </c>
      <c r="AA75">
        <f>_xlfn.IFNA(SUM(INDEX(Table8[],,_xlfn.XMATCH(books[[#This Row],[Book]],Table8[#Headers]))),0)</f>
        <v>0</v>
      </c>
      <c r="AC75" s="2" t="str">
        <f>IF(ISBLANK(books[[#This Row],[pages]]),"",books[[#This Row],[pages read]]/books[[#This Row],[pages]])</f>
        <v/>
      </c>
      <c r="AK75" s="5">
        <v>46283</v>
      </c>
      <c r="AM75">
        <v>3</v>
      </c>
      <c r="AN75">
        <v>14</v>
      </c>
      <c r="AO75" t="str">
        <f t="shared" si="6"/>
        <v>3/14</v>
      </c>
      <c r="AP75" cm="1">
        <f t="array" ref="AP75">_xlfn._xlws.FILTER(Table8[[Day Total]:[Day Total]],(MONTH(Table8[[Date]:[Date]])=$AM75)*(DAY(Table8[[Date]:[Date]])=$AN75)*(YEAR(Table8[[Date]:[Date]])=AP$1),0)</f>
        <v>0</v>
      </c>
      <c r="AR75" cm="1">
        <f t="array" ref="AR75">_xlfn._xlws.FILTER(Table8[[Day Total]:[Day Total]],(MONTH(Table8[[Date]:[Date]])=$AM75)*(DAY(Table8[[Date]:[Date]])=$AN75)*(YEAR(Table8[[Date]:[Date]])=AR$1),0)</f>
        <v>0</v>
      </c>
      <c r="AS75">
        <f t="shared" si="5"/>
        <v>1844</v>
      </c>
      <c r="AT75" cm="1">
        <f t="array" ref="AT75">_xlfn._xlws.FILTER(Table8[[Day Total]:[Day Total]],(MONTH(Table8[[Date]:[Date]])=$AM75)*(DAY(Table8[[Date]:[Date]])=$AN75)*(YEAR(Table8[[Date]:[Date]])=AT$1),0)</f>
        <v>0</v>
      </c>
      <c r="AU75">
        <f t="shared" si="8"/>
        <v>782</v>
      </c>
      <c r="AV75" cm="1">
        <f t="array" ref="AV75">_xlfn._xlws.FILTER(Table8[[Day Total]:[Day Total]],(MONTH(Table8[[Date]:[Date]])=$AM75)*(DAY(Table8[[Date]:[Date]])=$AN75)*(YEAR(Table8[[Date]:[Date]])=AV$1),0)</f>
        <v>0</v>
      </c>
      <c r="AW75">
        <f t="shared" si="7"/>
        <v>341</v>
      </c>
    </row>
    <row r="76" spans="22:49" x14ac:dyDescent="0.25">
      <c r="V76" t="s">
        <v>134</v>
      </c>
      <c r="W76">
        <f>_xlfn.IFNA(_xlfn.XMATCH(books[[#This Row],[Book]],Table8[[#Headers],[The Golden Compass]:[end]]),-1)</f>
        <v>-1</v>
      </c>
      <c r="X76">
        <v>75</v>
      </c>
      <c r="Y76" t="s">
        <v>116</v>
      </c>
      <c r="Z76">
        <v>75</v>
      </c>
      <c r="AA76">
        <f>_xlfn.IFNA(SUM(INDEX(Table8[],,_xlfn.XMATCH(books[[#This Row],[Book]],Table8[#Headers]))),0)</f>
        <v>0</v>
      </c>
      <c r="AC76" s="2" t="str">
        <f>IF(ISBLANK(books[[#This Row],[pages]]),"",books[[#This Row],[pages read]]/books[[#This Row],[pages]])</f>
        <v/>
      </c>
      <c r="AK76" s="5">
        <v>46284</v>
      </c>
      <c r="AM76">
        <v>3</v>
      </c>
      <c r="AN76">
        <v>15</v>
      </c>
      <c r="AO76" t="str">
        <f t="shared" si="6"/>
        <v>3/15</v>
      </c>
      <c r="AP76" cm="1">
        <f t="array" ref="AP76">_xlfn._xlws.FILTER(Table8[[Day Total]:[Day Total]],(MONTH(Table8[[Date]:[Date]])=$AM76)*(DAY(Table8[[Date]:[Date]])=$AN76)*(YEAR(Table8[[Date]:[Date]])=AP$1),0)</f>
        <v>0</v>
      </c>
      <c r="AR76" cm="1">
        <f t="array" ref="AR76">_xlfn._xlws.FILTER(Table8[[Day Total]:[Day Total]],(MONTH(Table8[[Date]:[Date]])=$AM76)*(DAY(Table8[[Date]:[Date]])=$AN76)*(YEAR(Table8[[Date]:[Date]])=AR$1),0)</f>
        <v>0</v>
      </c>
      <c r="AS76">
        <f t="shared" si="5"/>
        <v>1844</v>
      </c>
      <c r="AT76" cm="1">
        <f t="array" ref="AT76">_xlfn._xlws.FILTER(Table8[[Day Total]:[Day Total]],(MONTH(Table8[[Date]:[Date]])=$AM76)*(DAY(Table8[[Date]:[Date]])=$AN76)*(YEAR(Table8[[Date]:[Date]])=AT$1),0)</f>
        <v>0</v>
      </c>
      <c r="AU76">
        <f t="shared" si="8"/>
        <v>782</v>
      </c>
      <c r="AV76" cm="1">
        <f t="array" ref="AV76">_xlfn._xlws.FILTER(Table8[[Day Total]:[Day Total]],(MONTH(Table8[[Date]:[Date]])=$AM76)*(DAY(Table8[[Date]:[Date]])=$AN76)*(YEAR(Table8[[Date]:[Date]])=AV$1),0)</f>
        <v>0</v>
      </c>
      <c r="AW76">
        <f t="shared" si="7"/>
        <v>341</v>
      </c>
    </row>
    <row r="77" spans="22:49" x14ac:dyDescent="0.25">
      <c r="V77" t="s">
        <v>135</v>
      </c>
      <c r="W77">
        <f>_xlfn.IFNA(_xlfn.XMATCH(books[[#This Row],[Book]],Table8[[#Headers],[The Golden Compass]:[end]]),-1)</f>
        <v>-1</v>
      </c>
      <c r="X77">
        <v>76</v>
      </c>
      <c r="Y77" t="s">
        <v>116</v>
      </c>
      <c r="Z77">
        <v>76</v>
      </c>
      <c r="AA77">
        <f>_xlfn.IFNA(SUM(INDEX(Table8[],,_xlfn.XMATCH(books[[#This Row],[Book]],Table8[#Headers]))),0)</f>
        <v>0</v>
      </c>
      <c r="AC77" s="2" t="str">
        <f>IF(ISBLANK(books[[#This Row],[pages]]),"",books[[#This Row],[pages read]]/books[[#This Row],[pages]])</f>
        <v/>
      </c>
      <c r="AK77" s="5">
        <v>46285</v>
      </c>
      <c r="AM77">
        <v>3</v>
      </c>
      <c r="AN77">
        <v>16</v>
      </c>
      <c r="AO77" t="str">
        <f t="shared" si="6"/>
        <v>3/16</v>
      </c>
      <c r="AP77" cm="1">
        <f t="array" ref="AP77">_xlfn._xlws.FILTER(Table8[[Day Total]:[Day Total]],(MONTH(Table8[[Date]:[Date]])=$AM77)*(DAY(Table8[[Date]:[Date]])=$AN77)*(YEAR(Table8[[Date]:[Date]])=AP$1),0)</f>
        <v>0</v>
      </c>
      <c r="AR77" cm="1">
        <f t="array" ref="AR77">_xlfn._xlws.FILTER(Table8[[Day Total]:[Day Total]],(MONTH(Table8[[Date]:[Date]])=$AM77)*(DAY(Table8[[Date]:[Date]])=$AN77)*(YEAR(Table8[[Date]:[Date]])=AR$1),0)</f>
        <v>0</v>
      </c>
      <c r="AS77">
        <f t="shared" si="5"/>
        <v>1844</v>
      </c>
      <c r="AT77" cm="1">
        <f t="array" ref="AT77">_xlfn._xlws.FILTER(Table8[[Day Total]:[Day Total]],(MONTH(Table8[[Date]:[Date]])=$AM77)*(DAY(Table8[[Date]:[Date]])=$AN77)*(YEAR(Table8[[Date]:[Date]])=AT$1),0)</f>
        <v>0</v>
      </c>
      <c r="AU77">
        <f t="shared" si="8"/>
        <v>782</v>
      </c>
      <c r="AV77" cm="1">
        <f t="array" ref="AV77">_xlfn._xlws.FILTER(Table8[[Day Total]:[Day Total]],(MONTH(Table8[[Date]:[Date]])=$AM77)*(DAY(Table8[[Date]:[Date]])=$AN77)*(YEAR(Table8[[Date]:[Date]])=AV$1),0)</f>
        <v>0</v>
      </c>
      <c r="AW77">
        <f t="shared" si="7"/>
        <v>341</v>
      </c>
    </row>
    <row r="78" spans="22:49" x14ac:dyDescent="0.25">
      <c r="V78" t="s">
        <v>136</v>
      </c>
      <c r="W78">
        <f>_xlfn.IFNA(_xlfn.XMATCH(books[[#This Row],[Book]],Table8[[#Headers],[The Golden Compass]:[end]]),-1)</f>
        <v>-1</v>
      </c>
      <c r="X78">
        <v>77</v>
      </c>
      <c r="Y78" t="s">
        <v>116</v>
      </c>
      <c r="Z78">
        <v>77</v>
      </c>
      <c r="AA78">
        <f>_xlfn.IFNA(SUM(INDEX(Table8[],,_xlfn.XMATCH(books[[#This Row],[Book]],Table8[#Headers]))),0)</f>
        <v>0</v>
      </c>
      <c r="AC78" s="2" t="str">
        <f>IF(ISBLANK(books[[#This Row],[pages]]),"",books[[#This Row],[pages read]]/books[[#This Row],[pages]])</f>
        <v/>
      </c>
      <c r="AK78" s="5">
        <v>46286</v>
      </c>
      <c r="AM78">
        <v>3</v>
      </c>
      <c r="AN78">
        <v>17</v>
      </c>
      <c r="AO78" t="str">
        <f t="shared" si="6"/>
        <v>3/17</v>
      </c>
      <c r="AP78" cm="1">
        <f t="array" ref="AP78">_xlfn._xlws.FILTER(Table8[[Day Total]:[Day Total]],(MONTH(Table8[[Date]:[Date]])=$AM78)*(DAY(Table8[[Date]:[Date]])=$AN78)*(YEAR(Table8[[Date]:[Date]])=AP$1),0)</f>
        <v>0</v>
      </c>
      <c r="AR78" cm="1">
        <f t="array" ref="AR78">_xlfn._xlws.FILTER(Table8[[Day Total]:[Day Total]],(MONTH(Table8[[Date]:[Date]])=$AM78)*(DAY(Table8[[Date]:[Date]])=$AN78)*(YEAR(Table8[[Date]:[Date]])=AR$1),0)</f>
        <v>0</v>
      </c>
      <c r="AS78">
        <f t="shared" si="5"/>
        <v>1844</v>
      </c>
      <c r="AT78" cm="1">
        <f t="array" ref="AT78">_xlfn._xlws.FILTER(Table8[[Day Total]:[Day Total]],(MONTH(Table8[[Date]:[Date]])=$AM78)*(DAY(Table8[[Date]:[Date]])=$AN78)*(YEAR(Table8[[Date]:[Date]])=AT$1),0)</f>
        <v>0</v>
      </c>
      <c r="AU78">
        <f t="shared" si="8"/>
        <v>782</v>
      </c>
      <c r="AV78" cm="1">
        <f t="array" ref="AV78">_xlfn._xlws.FILTER(Table8[[Day Total]:[Day Total]],(MONTH(Table8[[Date]:[Date]])=$AM78)*(DAY(Table8[[Date]:[Date]])=$AN78)*(YEAR(Table8[[Date]:[Date]])=AV$1),0)</f>
        <v>0</v>
      </c>
      <c r="AW78">
        <f t="shared" si="7"/>
        <v>341</v>
      </c>
    </row>
    <row r="79" spans="22:49" x14ac:dyDescent="0.25">
      <c r="V79" t="s">
        <v>137</v>
      </c>
      <c r="W79">
        <f>_xlfn.IFNA(_xlfn.XMATCH(books[[#This Row],[Book]],Table8[[#Headers],[The Golden Compass]:[end]]),-1)</f>
        <v>-1</v>
      </c>
      <c r="X79">
        <v>78</v>
      </c>
      <c r="Y79" t="s">
        <v>116</v>
      </c>
      <c r="Z79">
        <v>78</v>
      </c>
      <c r="AA79">
        <f>_xlfn.IFNA(SUM(INDEX(Table8[],,_xlfn.XMATCH(books[[#This Row],[Book]],Table8[#Headers]))),0)</f>
        <v>0</v>
      </c>
      <c r="AC79" s="2" t="str">
        <f>IF(ISBLANK(books[[#This Row],[pages]]),"",books[[#This Row],[pages read]]/books[[#This Row],[pages]])</f>
        <v/>
      </c>
      <c r="AK79" s="5">
        <v>46287</v>
      </c>
      <c r="AM79">
        <v>3</v>
      </c>
      <c r="AN79">
        <v>18</v>
      </c>
      <c r="AO79" t="str">
        <f t="shared" si="6"/>
        <v>3/18</v>
      </c>
      <c r="AP79" cm="1">
        <f t="array" ref="AP79">_xlfn._xlws.FILTER(Table8[[Day Total]:[Day Total]],(MONTH(Table8[[Date]:[Date]])=$AM79)*(DAY(Table8[[Date]:[Date]])=$AN79)*(YEAR(Table8[[Date]:[Date]])=AP$1),0)</f>
        <v>0</v>
      </c>
      <c r="AR79" cm="1">
        <f t="array" ref="AR79">_xlfn._xlws.FILTER(Table8[[Day Total]:[Day Total]],(MONTH(Table8[[Date]:[Date]])=$AM79)*(DAY(Table8[[Date]:[Date]])=$AN79)*(YEAR(Table8[[Date]:[Date]])=AR$1),0)</f>
        <v>0</v>
      </c>
      <c r="AS79">
        <f t="shared" si="5"/>
        <v>1844</v>
      </c>
      <c r="AT79" cm="1">
        <f t="array" ref="AT79">_xlfn._xlws.FILTER(Table8[[Day Total]:[Day Total]],(MONTH(Table8[[Date]:[Date]])=$AM79)*(DAY(Table8[[Date]:[Date]])=$AN79)*(YEAR(Table8[[Date]:[Date]])=AT$1),0)</f>
        <v>0</v>
      </c>
      <c r="AU79">
        <f t="shared" si="8"/>
        <v>782</v>
      </c>
      <c r="AV79" cm="1">
        <f t="array" ref="AV79">_xlfn._xlws.FILTER(Table8[[Day Total]:[Day Total]],(MONTH(Table8[[Date]:[Date]])=$AM79)*(DAY(Table8[[Date]:[Date]])=$AN79)*(YEAR(Table8[[Date]:[Date]])=AV$1),0)</f>
        <v>0</v>
      </c>
      <c r="AW79">
        <f t="shared" si="7"/>
        <v>341</v>
      </c>
    </row>
    <row r="80" spans="22:49" x14ac:dyDescent="0.25">
      <c r="V80" t="s">
        <v>138</v>
      </c>
      <c r="W80">
        <f>_xlfn.IFNA(_xlfn.XMATCH(books[[#This Row],[Book]],Table8[[#Headers],[The Golden Compass]:[end]]),-1)</f>
        <v>-1</v>
      </c>
      <c r="X80">
        <v>79</v>
      </c>
      <c r="Y80" t="s">
        <v>116</v>
      </c>
      <c r="Z80">
        <v>79</v>
      </c>
      <c r="AA80">
        <f>_xlfn.IFNA(SUM(INDEX(Table8[],,_xlfn.XMATCH(books[[#This Row],[Book]],Table8[#Headers]))),0)</f>
        <v>0</v>
      </c>
      <c r="AC80" s="2" t="str">
        <f>IF(ISBLANK(books[[#This Row],[pages]]),"",books[[#This Row],[pages read]]/books[[#This Row],[pages]])</f>
        <v/>
      </c>
      <c r="AK80" s="5">
        <v>46288</v>
      </c>
      <c r="AM80">
        <v>3</v>
      </c>
      <c r="AN80">
        <v>19</v>
      </c>
      <c r="AO80" t="str">
        <f t="shared" si="6"/>
        <v>3/19</v>
      </c>
      <c r="AP80" cm="1">
        <f t="array" ref="AP80">_xlfn._xlws.FILTER(Table8[[Day Total]:[Day Total]],(MONTH(Table8[[Date]:[Date]])=$AM80)*(DAY(Table8[[Date]:[Date]])=$AN80)*(YEAR(Table8[[Date]:[Date]])=AP$1),0)</f>
        <v>0</v>
      </c>
      <c r="AR80" cm="1">
        <f t="array" ref="AR80">_xlfn._xlws.FILTER(Table8[[Day Total]:[Day Total]],(MONTH(Table8[[Date]:[Date]])=$AM80)*(DAY(Table8[[Date]:[Date]])=$AN80)*(YEAR(Table8[[Date]:[Date]])=AR$1),0)</f>
        <v>0</v>
      </c>
      <c r="AS80">
        <f t="shared" si="5"/>
        <v>1844</v>
      </c>
      <c r="AT80" cm="1">
        <f t="array" ref="AT80">_xlfn._xlws.FILTER(Table8[[Day Total]:[Day Total]],(MONTH(Table8[[Date]:[Date]])=$AM80)*(DAY(Table8[[Date]:[Date]])=$AN80)*(YEAR(Table8[[Date]:[Date]])=AT$1),0)</f>
        <v>0</v>
      </c>
      <c r="AU80">
        <f t="shared" si="8"/>
        <v>782</v>
      </c>
      <c r="AV80" cm="1">
        <f t="array" ref="AV80">_xlfn._xlws.FILTER(Table8[[Day Total]:[Day Total]],(MONTH(Table8[[Date]:[Date]])=$AM80)*(DAY(Table8[[Date]:[Date]])=$AN80)*(YEAR(Table8[[Date]:[Date]])=AV$1),0)</f>
        <v>0</v>
      </c>
      <c r="AW80">
        <f t="shared" si="7"/>
        <v>341</v>
      </c>
    </row>
    <row r="81" spans="22:49" x14ac:dyDescent="0.25">
      <c r="V81" t="s">
        <v>139</v>
      </c>
      <c r="W81">
        <f>_xlfn.IFNA(_xlfn.XMATCH(books[[#This Row],[Book]],Table8[[#Headers],[The Golden Compass]:[end]]),-1)</f>
        <v>-1</v>
      </c>
      <c r="X81">
        <v>80</v>
      </c>
      <c r="Y81" t="s">
        <v>116</v>
      </c>
      <c r="Z81">
        <v>80</v>
      </c>
      <c r="AA81">
        <f>_xlfn.IFNA(SUM(INDEX(Table8[],,_xlfn.XMATCH(books[[#This Row],[Book]],Table8[#Headers]))),0)</f>
        <v>0</v>
      </c>
      <c r="AC81" s="2" t="str">
        <f>IF(ISBLANK(books[[#This Row],[pages]]),"",books[[#This Row],[pages read]]/books[[#This Row],[pages]])</f>
        <v/>
      </c>
      <c r="AK81" s="5">
        <v>46289</v>
      </c>
      <c r="AM81">
        <v>3</v>
      </c>
      <c r="AN81">
        <v>20</v>
      </c>
      <c r="AO81" t="str">
        <f t="shared" si="6"/>
        <v>3/20</v>
      </c>
      <c r="AP81" cm="1">
        <f t="array" ref="AP81">_xlfn._xlws.FILTER(Table8[[Day Total]:[Day Total]],(MONTH(Table8[[Date]:[Date]])=$AM81)*(DAY(Table8[[Date]:[Date]])=$AN81)*(YEAR(Table8[[Date]:[Date]])=AP$1),0)</f>
        <v>0</v>
      </c>
      <c r="AR81" cm="1">
        <f t="array" ref="AR81">_xlfn._xlws.FILTER(Table8[[Day Total]:[Day Total]],(MONTH(Table8[[Date]:[Date]])=$AM81)*(DAY(Table8[[Date]:[Date]])=$AN81)*(YEAR(Table8[[Date]:[Date]])=AR$1),0)</f>
        <v>0</v>
      </c>
      <c r="AS81">
        <f t="shared" si="5"/>
        <v>1844</v>
      </c>
      <c r="AT81" cm="1">
        <f t="array" ref="AT81">_xlfn._xlws.FILTER(Table8[[Day Total]:[Day Total]],(MONTH(Table8[[Date]:[Date]])=$AM81)*(DAY(Table8[[Date]:[Date]])=$AN81)*(YEAR(Table8[[Date]:[Date]])=AT$1),0)</f>
        <v>0</v>
      </c>
      <c r="AU81">
        <f t="shared" si="8"/>
        <v>782</v>
      </c>
      <c r="AV81" cm="1">
        <f t="array" ref="AV81">_xlfn._xlws.FILTER(Table8[[Day Total]:[Day Total]],(MONTH(Table8[[Date]:[Date]])=$AM81)*(DAY(Table8[[Date]:[Date]])=$AN81)*(YEAR(Table8[[Date]:[Date]])=AV$1),0)</f>
        <v>0</v>
      </c>
      <c r="AW81">
        <f t="shared" si="7"/>
        <v>341</v>
      </c>
    </row>
    <row r="82" spans="22:49" x14ac:dyDescent="0.25">
      <c r="V82" t="s">
        <v>140</v>
      </c>
      <c r="W82">
        <f>_xlfn.IFNA(_xlfn.XMATCH(books[[#This Row],[Book]],Table8[[#Headers],[The Golden Compass]:[end]]),-1)</f>
        <v>-1</v>
      </c>
      <c r="X82">
        <v>81</v>
      </c>
      <c r="Y82" t="s">
        <v>116</v>
      </c>
      <c r="Z82">
        <v>81</v>
      </c>
      <c r="AA82">
        <f>_xlfn.IFNA(SUM(INDEX(Table8[],,_xlfn.XMATCH(books[[#This Row],[Book]],Table8[#Headers]))),0)</f>
        <v>0</v>
      </c>
      <c r="AC82" s="2" t="str">
        <f>IF(ISBLANK(books[[#This Row],[pages]]),"",books[[#This Row],[pages read]]/books[[#This Row],[pages]])</f>
        <v/>
      </c>
      <c r="AK82" s="5">
        <v>46290</v>
      </c>
      <c r="AM82">
        <v>3</v>
      </c>
      <c r="AN82">
        <v>21</v>
      </c>
      <c r="AO82" t="str">
        <f t="shared" si="6"/>
        <v>3/21</v>
      </c>
      <c r="AP82" cm="1">
        <f t="array" ref="AP82">_xlfn._xlws.FILTER(Table8[[Day Total]:[Day Total]],(MONTH(Table8[[Date]:[Date]])=$AM82)*(DAY(Table8[[Date]:[Date]])=$AN82)*(YEAR(Table8[[Date]:[Date]])=AP$1),0)</f>
        <v>0</v>
      </c>
      <c r="AR82" cm="1">
        <f t="array" ref="AR82">_xlfn._xlws.FILTER(Table8[[Day Total]:[Day Total]],(MONTH(Table8[[Date]:[Date]])=$AM82)*(DAY(Table8[[Date]:[Date]])=$AN82)*(YEAR(Table8[[Date]:[Date]])=AR$1),0)</f>
        <v>0</v>
      </c>
      <c r="AS82">
        <f t="shared" si="5"/>
        <v>1844</v>
      </c>
      <c r="AT82" cm="1">
        <f t="array" ref="AT82">_xlfn._xlws.FILTER(Table8[[Day Total]:[Day Total]],(MONTH(Table8[[Date]:[Date]])=$AM82)*(DAY(Table8[[Date]:[Date]])=$AN82)*(YEAR(Table8[[Date]:[Date]])=AT$1),0)</f>
        <v>0</v>
      </c>
      <c r="AU82">
        <f t="shared" si="8"/>
        <v>782</v>
      </c>
      <c r="AV82" cm="1">
        <f t="array" ref="AV82">_xlfn._xlws.FILTER(Table8[[Day Total]:[Day Total]],(MONTH(Table8[[Date]:[Date]])=$AM82)*(DAY(Table8[[Date]:[Date]])=$AN82)*(YEAR(Table8[[Date]:[Date]])=AV$1),0)</f>
        <v>0</v>
      </c>
      <c r="AW82">
        <f t="shared" si="7"/>
        <v>341</v>
      </c>
    </row>
    <row r="83" spans="22:49" x14ac:dyDescent="0.25">
      <c r="V83" t="s">
        <v>141</v>
      </c>
      <c r="W83">
        <f>_xlfn.IFNA(_xlfn.XMATCH(books[[#This Row],[Book]],Table8[[#Headers],[The Golden Compass]:[end]]),-1)</f>
        <v>-1</v>
      </c>
      <c r="X83">
        <v>82</v>
      </c>
      <c r="Y83" t="s">
        <v>116</v>
      </c>
      <c r="Z83">
        <v>82</v>
      </c>
      <c r="AA83">
        <f>_xlfn.IFNA(SUM(INDEX(Table8[],,_xlfn.XMATCH(books[[#This Row],[Book]],Table8[#Headers]))),0)</f>
        <v>0</v>
      </c>
      <c r="AC83" s="2" t="str">
        <f>IF(ISBLANK(books[[#This Row],[pages]]),"",books[[#This Row],[pages read]]/books[[#This Row],[pages]])</f>
        <v/>
      </c>
      <c r="AK83" s="5">
        <v>46291</v>
      </c>
      <c r="AM83">
        <v>3</v>
      </c>
      <c r="AN83">
        <v>22</v>
      </c>
      <c r="AO83" t="str">
        <f t="shared" si="6"/>
        <v>3/22</v>
      </c>
      <c r="AP83" cm="1">
        <f t="array" ref="AP83">_xlfn._xlws.FILTER(Table8[[Day Total]:[Day Total]],(MONTH(Table8[[Date]:[Date]])=$AM83)*(DAY(Table8[[Date]:[Date]])=$AN83)*(YEAR(Table8[[Date]:[Date]])=AP$1),0)</f>
        <v>0</v>
      </c>
      <c r="AR83" cm="1">
        <f t="array" ref="AR83">_xlfn._xlws.FILTER(Table8[[Day Total]:[Day Total]],(MONTH(Table8[[Date]:[Date]])=$AM83)*(DAY(Table8[[Date]:[Date]])=$AN83)*(YEAR(Table8[[Date]:[Date]])=AR$1),0)</f>
        <v>0</v>
      </c>
      <c r="AS83">
        <f t="shared" si="5"/>
        <v>1844</v>
      </c>
      <c r="AT83" cm="1">
        <f t="array" ref="AT83">_xlfn._xlws.FILTER(Table8[[Day Total]:[Day Total]],(MONTH(Table8[[Date]:[Date]])=$AM83)*(DAY(Table8[[Date]:[Date]])=$AN83)*(YEAR(Table8[[Date]:[Date]])=AT$1),0)</f>
        <v>0</v>
      </c>
      <c r="AU83">
        <f t="shared" si="8"/>
        <v>782</v>
      </c>
      <c r="AV83" cm="1">
        <f t="array" ref="AV83">_xlfn._xlws.FILTER(Table8[[Day Total]:[Day Total]],(MONTH(Table8[[Date]:[Date]])=$AM83)*(DAY(Table8[[Date]:[Date]])=$AN83)*(YEAR(Table8[[Date]:[Date]])=AV$1),0)</f>
        <v>154.5</v>
      </c>
      <c r="AW83">
        <f t="shared" si="7"/>
        <v>495.5</v>
      </c>
    </row>
    <row r="84" spans="22:49" x14ac:dyDescent="0.25">
      <c r="V84" t="s">
        <v>142</v>
      </c>
      <c r="W84">
        <f>_xlfn.IFNA(_xlfn.XMATCH(books[[#This Row],[Book]],Table8[[#Headers],[The Golden Compass]:[end]]),-1)</f>
        <v>-1</v>
      </c>
      <c r="X84">
        <v>83</v>
      </c>
      <c r="Y84" t="s">
        <v>116</v>
      </c>
      <c r="Z84">
        <v>83</v>
      </c>
      <c r="AA84">
        <f>_xlfn.IFNA(SUM(INDEX(Table8[],,_xlfn.XMATCH(books[[#This Row],[Book]],Table8[#Headers]))),0)</f>
        <v>0</v>
      </c>
      <c r="AC84" s="2" t="str">
        <f>IF(ISBLANK(books[[#This Row],[pages]]),"",books[[#This Row],[pages read]]/books[[#This Row],[pages]])</f>
        <v/>
      </c>
      <c r="AK84" s="5">
        <v>46292</v>
      </c>
      <c r="AM84">
        <v>3</v>
      </c>
      <c r="AN84">
        <v>23</v>
      </c>
      <c r="AO84" t="str">
        <f t="shared" si="6"/>
        <v>3/23</v>
      </c>
      <c r="AP84" cm="1">
        <f t="array" ref="AP84">_xlfn._xlws.FILTER(Table8[[Day Total]:[Day Total]],(MONTH(Table8[[Date]:[Date]])=$AM84)*(DAY(Table8[[Date]:[Date]])=$AN84)*(YEAR(Table8[[Date]:[Date]])=AP$1),0)</f>
        <v>0</v>
      </c>
      <c r="AR84" cm="1">
        <f t="array" ref="AR84">_xlfn._xlws.FILTER(Table8[[Day Total]:[Day Total]],(MONTH(Table8[[Date]:[Date]])=$AM84)*(DAY(Table8[[Date]:[Date]])=$AN84)*(YEAR(Table8[[Date]:[Date]])=AR$1),0)</f>
        <v>0</v>
      </c>
      <c r="AS84">
        <f t="shared" si="5"/>
        <v>1844</v>
      </c>
      <c r="AT84" cm="1">
        <f t="array" ref="AT84">_xlfn._xlws.FILTER(Table8[[Day Total]:[Day Total]],(MONTH(Table8[[Date]:[Date]])=$AM84)*(DAY(Table8[[Date]:[Date]])=$AN84)*(YEAR(Table8[[Date]:[Date]])=AT$1),0)</f>
        <v>0</v>
      </c>
      <c r="AU84">
        <f t="shared" si="8"/>
        <v>782</v>
      </c>
      <c r="AV84" cm="1">
        <f t="array" ref="AV84">_xlfn._xlws.FILTER(Table8[[Day Total]:[Day Total]],(MONTH(Table8[[Date]:[Date]])=$AM84)*(DAY(Table8[[Date]:[Date]])=$AN84)*(YEAR(Table8[[Date]:[Date]])=AV$1),0)</f>
        <v>104.5</v>
      </c>
      <c r="AW84">
        <f t="shared" si="7"/>
        <v>600</v>
      </c>
    </row>
    <row r="85" spans="22:49" x14ac:dyDescent="0.25">
      <c r="V85" t="s">
        <v>143</v>
      </c>
      <c r="W85">
        <f>_xlfn.IFNA(_xlfn.XMATCH(books[[#This Row],[Book]],Table8[[#Headers],[The Golden Compass]:[end]]),-1)</f>
        <v>-1</v>
      </c>
      <c r="X85">
        <v>84</v>
      </c>
      <c r="Y85" t="s">
        <v>116</v>
      </c>
      <c r="Z85">
        <v>84</v>
      </c>
      <c r="AA85">
        <f>_xlfn.IFNA(SUM(INDEX(Table8[],,_xlfn.XMATCH(books[[#This Row],[Book]],Table8[#Headers]))),0)</f>
        <v>0</v>
      </c>
      <c r="AC85" s="2" t="str">
        <f>IF(ISBLANK(books[[#This Row],[pages]]),"",books[[#This Row],[pages read]]/books[[#This Row],[pages]])</f>
        <v/>
      </c>
      <c r="AK85" s="5">
        <v>46293</v>
      </c>
      <c r="AM85">
        <v>3</v>
      </c>
      <c r="AN85">
        <v>24</v>
      </c>
      <c r="AO85" t="str">
        <f t="shared" si="6"/>
        <v>3/24</v>
      </c>
      <c r="AP85" cm="1">
        <f t="array" ref="AP85">_xlfn._xlws.FILTER(Table8[[Day Total]:[Day Total]],(MONTH(Table8[[Date]:[Date]])=$AM85)*(DAY(Table8[[Date]:[Date]])=$AN85)*(YEAR(Table8[[Date]:[Date]])=AP$1),0)</f>
        <v>0</v>
      </c>
      <c r="AR85" cm="1">
        <f t="array" ref="AR85">_xlfn._xlws.FILTER(Table8[[Day Total]:[Day Total]],(MONTH(Table8[[Date]:[Date]])=$AM85)*(DAY(Table8[[Date]:[Date]])=$AN85)*(YEAR(Table8[[Date]:[Date]])=AR$1),0)</f>
        <v>56</v>
      </c>
      <c r="AS85">
        <f t="shared" si="5"/>
        <v>1900</v>
      </c>
      <c r="AT85" cm="1">
        <f t="array" ref="AT85">_xlfn._xlws.FILTER(Table8[[Day Total]:[Day Total]],(MONTH(Table8[[Date]:[Date]])=$AM85)*(DAY(Table8[[Date]:[Date]])=$AN85)*(YEAR(Table8[[Date]:[Date]])=AT$1),0)</f>
        <v>0</v>
      </c>
      <c r="AU85">
        <f t="shared" si="8"/>
        <v>782</v>
      </c>
      <c r="AV85" cm="1">
        <f t="array" ref="AV85">_xlfn._xlws.FILTER(Table8[[Day Total]:[Day Total]],(MONTH(Table8[[Date]:[Date]])=$AM85)*(DAY(Table8[[Date]:[Date]])=$AN85)*(YEAR(Table8[[Date]:[Date]])=AV$1),0)</f>
        <v>120</v>
      </c>
      <c r="AW85">
        <f t="shared" si="7"/>
        <v>720</v>
      </c>
    </row>
    <row r="86" spans="22:49" x14ac:dyDescent="0.25">
      <c r="V86" t="s">
        <v>144</v>
      </c>
      <c r="W86">
        <f>_xlfn.IFNA(_xlfn.XMATCH(books[[#This Row],[Book]],Table8[[#Headers],[The Golden Compass]:[end]]),-1)</f>
        <v>-1</v>
      </c>
      <c r="X86">
        <v>85</v>
      </c>
      <c r="Y86" t="s">
        <v>116</v>
      </c>
      <c r="Z86">
        <v>85</v>
      </c>
      <c r="AA86">
        <f>_xlfn.IFNA(SUM(INDEX(Table8[],,_xlfn.XMATCH(books[[#This Row],[Book]],Table8[#Headers]))),0)</f>
        <v>0</v>
      </c>
      <c r="AC86" s="2" t="str">
        <f>IF(ISBLANK(books[[#This Row],[pages]]),"",books[[#This Row],[pages read]]/books[[#This Row],[pages]])</f>
        <v/>
      </c>
      <c r="AK86" s="5">
        <v>46294</v>
      </c>
      <c r="AM86">
        <v>3</v>
      </c>
      <c r="AN86">
        <v>25</v>
      </c>
      <c r="AO86" t="str">
        <f t="shared" si="6"/>
        <v>3/25</v>
      </c>
      <c r="AP86" cm="1">
        <f t="array" ref="AP86">_xlfn._xlws.FILTER(Table8[[Day Total]:[Day Total]],(MONTH(Table8[[Date]:[Date]])=$AM86)*(DAY(Table8[[Date]:[Date]])=$AN86)*(YEAR(Table8[[Date]:[Date]])=AP$1),0)</f>
        <v>0</v>
      </c>
      <c r="AR86" cm="1">
        <f t="array" ref="AR86">_xlfn._xlws.FILTER(Table8[[Day Total]:[Day Total]],(MONTH(Table8[[Date]:[Date]])=$AM86)*(DAY(Table8[[Date]:[Date]])=$AN86)*(YEAR(Table8[[Date]:[Date]])=AR$1),0)</f>
        <v>0</v>
      </c>
      <c r="AS86">
        <f t="shared" si="5"/>
        <v>1900</v>
      </c>
      <c r="AT86" cm="1">
        <f t="array" ref="AT86">_xlfn._xlws.FILTER(Table8[[Day Total]:[Day Total]],(MONTH(Table8[[Date]:[Date]])=$AM86)*(DAY(Table8[[Date]:[Date]])=$AN86)*(YEAR(Table8[[Date]:[Date]])=AT$1),0)</f>
        <v>0</v>
      </c>
      <c r="AU86">
        <f t="shared" si="8"/>
        <v>782</v>
      </c>
      <c r="AV86" cm="1">
        <f t="array" ref="AV86">_xlfn._xlws.FILTER(Table8[[Day Total]:[Day Total]],(MONTH(Table8[[Date]:[Date]])=$AM86)*(DAY(Table8[[Date]:[Date]])=$AN86)*(YEAR(Table8[[Date]:[Date]])=AV$1),0)</f>
        <v>95</v>
      </c>
      <c r="AW86">
        <f t="shared" si="7"/>
        <v>815</v>
      </c>
    </row>
    <row r="87" spans="22:49" x14ac:dyDescent="0.25">
      <c r="V87" t="s">
        <v>145</v>
      </c>
      <c r="W87">
        <f>_xlfn.IFNA(_xlfn.XMATCH(books[[#This Row],[Book]],Table8[[#Headers],[The Golden Compass]:[end]]),-1)</f>
        <v>-1</v>
      </c>
      <c r="X87">
        <v>86</v>
      </c>
      <c r="Y87" t="s">
        <v>116</v>
      </c>
      <c r="Z87">
        <v>86</v>
      </c>
      <c r="AA87">
        <f>_xlfn.IFNA(SUM(INDEX(Table8[],,_xlfn.XMATCH(books[[#This Row],[Book]],Table8[#Headers]))),0)</f>
        <v>0</v>
      </c>
      <c r="AC87" s="2" t="str">
        <f>IF(ISBLANK(books[[#This Row],[pages]]),"",books[[#This Row],[pages read]]/books[[#This Row],[pages]])</f>
        <v/>
      </c>
      <c r="AK87" s="5">
        <v>46295</v>
      </c>
      <c r="AM87">
        <v>3</v>
      </c>
      <c r="AN87">
        <v>26</v>
      </c>
      <c r="AO87" t="str">
        <f t="shared" si="6"/>
        <v>3/26</v>
      </c>
      <c r="AP87" cm="1">
        <f t="array" ref="AP87">_xlfn._xlws.FILTER(Table8[[Day Total]:[Day Total]],(MONTH(Table8[[Date]:[Date]])=$AM87)*(DAY(Table8[[Date]:[Date]])=$AN87)*(YEAR(Table8[[Date]:[Date]])=AP$1),0)</f>
        <v>0</v>
      </c>
      <c r="AR87" cm="1">
        <f t="array" ref="AR87">_xlfn._xlws.FILTER(Table8[[Day Total]:[Day Total]],(MONTH(Table8[[Date]:[Date]])=$AM87)*(DAY(Table8[[Date]:[Date]])=$AN87)*(YEAR(Table8[[Date]:[Date]])=AR$1),0)</f>
        <v>0</v>
      </c>
      <c r="AS87">
        <f t="shared" si="5"/>
        <v>1900</v>
      </c>
      <c r="AT87" cm="1">
        <f t="array" ref="AT87">_xlfn._xlws.FILTER(Table8[[Day Total]:[Day Total]],(MONTH(Table8[[Date]:[Date]])=$AM87)*(DAY(Table8[[Date]:[Date]])=$AN87)*(YEAR(Table8[[Date]:[Date]])=AT$1),0)</f>
        <v>0</v>
      </c>
      <c r="AU87">
        <f t="shared" si="8"/>
        <v>782</v>
      </c>
      <c r="AV87" cm="1">
        <f t="array" ref="AV87">_xlfn._xlws.FILTER(Table8[[Day Total]:[Day Total]],(MONTH(Table8[[Date]:[Date]])=$AM87)*(DAY(Table8[[Date]:[Date]])=$AN87)*(YEAR(Table8[[Date]:[Date]])=AV$1),0)</f>
        <v>9</v>
      </c>
      <c r="AW87">
        <f t="shared" si="7"/>
        <v>824</v>
      </c>
    </row>
    <row r="88" spans="22:49" x14ac:dyDescent="0.25">
      <c r="V88" t="s">
        <v>146</v>
      </c>
      <c r="W88">
        <f>_xlfn.IFNA(_xlfn.XMATCH(books[[#This Row],[Book]],Table8[[#Headers],[The Golden Compass]:[end]]),-1)</f>
        <v>-1</v>
      </c>
      <c r="X88">
        <v>87</v>
      </c>
      <c r="Y88" t="s">
        <v>116</v>
      </c>
      <c r="Z88">
        <v>87</v>
      </c>
      <c r="AA88">
        <f>_xlfn.IFNA(SUM(INDEX(Table8[],,_xlfn.XMATCH(books[[#This Row],[Book]],Table8[#Headers]))),0)</f>
        <v>0</v>
      </c>
      <c r="AC88" s="2" t="str">
        <f>IF(ISBLANK(books[[#This Row],[pages]]),"",books[[#This Row],[pages read]]/books[[#This Row],[pages]])</f>
        <v/>
      </c>
      <c r="AK88" s="5">
        <v>46296</v>
      </c>
      <c r="AM88">
        <v>3</v>
      </c>
      <c r="AN88">
        <v>27</v>
      </c>
      <c r="AO88" t="str">
        <f t="shared" si="6"/>
        <v>3/27</v>
      </c>
      <c r="AP88" cm="1">
        <f t="array" ref="AP88">_xlfn._xlws.FILTER(Table8[[Day Total]:[Day Total]],(MONTH(Table8[[Date]:[Date]])=$AM88)*(DAY(Table8[[Date]:[Date]])=$AN88)*(YEAR(Table8[[Date]:[Date]])=AP$1),0)</f>
        <v>0</v>
      </c>
      <c r="AR88" cm="1">
        <f t="array" ref="AR88">_xlfn._xlws.FILTER(Table8[[Day Total]:[Day Total]],(MONTH(Table8[[Date]:[Date]])=$AM88)*(DAY(Table8[[Date]:[Date]])=$AN88)*(YEAR(Table8[[Date]:[Date]])=AR$1),0)</f>
        <v>49</v>
      </c>
      <c r="AS88">
        <f t="shared" si="5"/>
        <v>1949</v>
      </c>
      <c r="AT88" cm="1">
        <f t="array" ref="AT88">_xlfn._xlws.FILTER(Table8[[Day Total]:[Day Total]],(MONTH(Table8[[Date]:[Date]])=$AM88)*(DAY(Table8[[Date]:[Date]])=$AN88)*(YEAR(Table8[[Date]:[Date]])=AT$1),0)</f>
        <v>0</v>
      </c>
      <c r="AU88">
        <f t="shared" si="8"/>
        <v>782</v>
      </c>
      <c r="AV88" cm="1">
        <f t="array" ref="AV88">_xlfn._xlws.FILTER(Table8[[Day Total]:[Day Total]],(MONTH(Table8[[Date]:[Date]])=$AM88)*(DAY(Table8[[Date]:[Date]])=$AN88)*(YEAR(Table8[[Date]:[Date]])=AV$1),0)</f>
        <v>0</v>
      </c>
      <c r="AW88">
        <f t="shared" si="7"/>
        <v>824</v>
      </c>
    </row>
    <row r="89" spans="22:49" x14ac:dyDescent="0.25">
      <c r="V89" t="s">
        <v>147</v>
      </c>
      <c r="W89">
        <f>_xlfn.IFNA(_xlfn.XMATCH(books[[#This Row],[Book]],Table8[[#Headers],[The Golden Compass]:[end]]),-1)</f>
        <v>-1</v>
      </c>
      <c r="X89">
        <v>88</v>
      </c>
      <c r="Y89" t="s">
        <v>116</v>
      </c>
      <c r="Z89">
        <v>88</v>
      </c>
      <c r="AA89">
        <f>_xlfn.IFNA(SUM(INDEX(Table8[],,_xlfn.XMATCH(books[[#This Row],[Book]],Table8[#Headers]))),0)</f>
        <v>0</v>
      </c>
      <c r="AC89" s="2" t="str">
        <f>IF(ISBLANK(books[[#This Row],[pages]]),"",books[[#This Row],[pages read]]/books[[#This Row],[pages]])</f>
        <v/>
      </c>
      <c r="AK89" s="5">
        <v>46297</v>
      </c>
      <c r="AM89">
        <v>3</v>
      </c>
      <c r="AN89">
        <v>28</v>
      </c>
      <c r="AO89" t="str">
        <f t="shared" si="6"/>
        <v>3/28</v>
      </c>
      <c r="AP89" cm="1">
        <f t="array" ref="AP89">_xlfn._xlws.FILTER(Table8[[Day Total]:[Day Total]],(MONTH(Table8[[Date]:[Date]])=$AM89)*(DAY(Table8[[Date]:[Date]])=$AN89)*(YEAR(Table8[[Date]:[Date]])=AP$1),0)</f>
        <v>0</v>
      </c>
      <c r="AR89" cm="1">
        <f t="array" ref="AR89">_xlfn._xlws.FILTER(Table8[[Day Total]:[Day Total]],(MONTH(Table8[[Date]:[Date]])=$AM89)*(DAY(Table8[[Date]:[Date]])=$AN89)*(YEAR(Table8[[Date]:[Date]])=AR$1),0)</f>
        <v>0</v>
      </c>
      <c r="AS89">
        <f t="shared" si="5"/>
        <v>1949</v>
      </c>
      <c r="AT89" cm="1">
        <f t="array" ref="AT89">_xlfn._xlws.FILTER(Table8[[Day Total]:[Day Total]],(MONTH(Table8[[Date]:[Date]])=$AM89)*(DAY(Table8[[Date]:[Date]])=$AN89)*(YEAR(Table8[[Date]:[Date]])=AT$1),0)</f>
        <v>0</v>
      </c>
      <c r="AU89">
        <f t="shared" si="8"/>
        <v>782</v>
      </c>
      <c r="AV89" cm="1">
        <f t="array" ref="AV89">_xlfn._xlws.FILTER(Table8[[Day Total]:[Day Total]],(MONTH(Table8[[Date]:[Date]])=$AM89)*(DAY(Table8[[Date]:[Date]])=$AN89)*(YEAR(Table8[[Date]:[Date]])=AV$1),0)</f>
        <v>25</v>
      </c>
      <c r="AW89">
        <f t="shared" si="7"/>
        <v>849</v>
      </c>
    </row>
    <row r="90" spans="22:49" x14ac:dyDescent="0.25">
      <c r="V90" t="s">
        <v>148</v>
      </c>
      <c r="W90">
        <f>_xlfn.IFNA(_xlfn.XMATCH(books[[#This Row],[Book]],Table8[[#Headers],[The Golden Compass]:[end]]),-1)</f>
        <v>-1</v>
      </c>
      <c r="X90">
        <v>89</v>
      </c>
      <c r="Y90" t="s">
        <v>116</v>
      </c>
      <c r="Z90">
        <v>89</v>
      </c>
      <c r="AA90">
        <f>_xlfn.IFNA(SUM(INDEX(Table8[],,_xlfn.XMATCH(books[[#This Row],[Book]],Table8[#Headers]))),0)</f>
        <v>0</v>
      </c>
      <c r="AC90" s="2" t="str">
        <f>IF(ISBLANK(books[[#This Row],[pages]]),"",books[[#This Row],[pages read]]/books[[#This Row],[pages]])</f>
        <v/>
      </c>
      <c r="AK90" s="4">
        <v>46298</v>
      </c>
      <c r="AM90">
        <v>3</v>
      </c>
      <c r="AN90">
        <v>29</v>
      </c>
      <c r="AO90" t="str">
        <f t="shared" si="6"/>
        <v>3/29</v>
      </c>
      <c r="AP90" cm="1">
        <f t="array" ref="AP90">_xlfn._xlws.FILTER(Table8[[Day Total]:[Day Total]],(MONTH(Table8[[Date]:[Date]])=$AM90)*(DAY(Table8[[Date]:[Date]])=$AN90)*(YEAR(Table8[[Date]:[Date]])=AP$1),0)</f>
        <v>0</v>
      </c>
      <c r="AR90" cm="1">
        <f t="array" ref="AR90">_xlfn._xlws.FILTER(Table8[[Day Total]:[Day Total]],(MONTH(Table8[[Date]:[Date]])=$AM90)*(DAY(Table8[[Date]:[Date]])=$AN90)*(YEAR(Table8[[Date]:[Date]])=AR$1),0)</f>
        <v>0</v>
      </c>
      <c r="AS90">
        <f t="shared" si="5"/>
        <v>1949</v>
      </c>
      <c r="AT90" cm="1">
        <f t="array" ref="AT90">_xlfn._xlws.FILTER(Table8[[Day Total]:[Day Total]],(MONTH(Table8[[Date]:[Date]])=$AM90)*(DAY(Table8[[Date]:[Date]])=$AN90)*(YEAR(Table8[[Date]:[Date]])=AT$1),0)</f>
        <v>0</v>
      </c>
      <c r="AU90">
        <f t="shared" si="8"/>
        <v>782</v>
      </c>
      <c r="AV90" cm="1">
        <f t="array" ref="AV90">_xlfn._xlws.FILTER(Table8[[Day Total]:[Day Total]],(MONTH(Table8[[Date]:[Date]])=$AM90)*(DAY(Table8[[Date]:[Date]])=$AN90)*(YEAR(Table8[[Date]:[Date]])=AV$1),0)</f>
        <v>89</v>
      </c>
      <c r="AW90">
        <f t="shared" si="7"/>
        <v>938</v>
      </c>
    </row>
    <row r="91" spans="22:49" x14ac:dyDescent="0.25">
      <c r="V91" t="s">
        <v>149</v>
      </c>
      <c r="W91">
        <f>_xlfn.IFNA(_xlfn.XMATCH(books[[#This Row],[Book]],Table8[[#Headers],[The Golden Compass]:[end]]),-1)</f>
        <v>-1</v>
      </c>
      <c r="X91">
        <v>90</v>
      </c>
      <c r="Y91" t="s">
        <v>116</v>
      </c>
      <c r="Z91">
        <v>92</v>
      </c>
      <c r="AA91">
        <f>_xlfn.IFNA(SUM(INDEX(Table8[],,_xlfn.XMATCH(books[[#This Row],[Book]],Table8[#Headers]))),0)</f>
        <v>0</v>
      </c>
      <c r="AC91" s="2" t="str">
        <f>IF(ISBLANK(books[[#This Row],[pages]]),"",books[[#This Row],[pages read]]/books[[#This Row],[pages]])</f>
        <v/>
      </c>
      <c r="AK91" s="4">
        <v>46299</v>
      </c>
      <c r="AM91">
        <v>3</v>
      </c>
      <c r="AN91">
        <v>30</v>
      </c>
      <c r="AO91" t="str">
        <f t="shared" si="6"/>
        <v>3/30</v>
      </c>
      <c r="AP91" cm="1">
        <f t="array" ref="AP91">_xlfn._xlws.FILTER(Table8[[Day Total]:[Day Total]],(MONTH(Table8[[Date]:[Date]])=$AM91)*(DAY(Table8[[Date]:[Date]])=$AN91)*(YEAR(Table8[[Date]:[Date]])=AP$1),0)</f>
        <v>0</v>
      </c>
      <c r="AR91" cm="1">
        <f t="array" ref="AR91">_xlfn._xlws.FILTER(Table8[[Day Total]:[Day Total]],(MONTH(Table8[[Date]:[Date]])=$AM91)*(DAY(Table8[[Date]:[Date]])=$AN91)*(YEAR(Table8[[Date]:[Date]])=AR$1),0)</f>
        <v>0</v>
      </c>
      <c r="AS91">
        <f t="shared" si="5"/>
        <v>1949</v>
      </c>
      <c r="AT91" cm="1">
        <f t="array" ref="AT91">_xlfn._xlws.FILTER(Table8[[Day Total]:[Day Total]],(MONTH(Table8[[Date]:[Date]])=$AM91)*(DAY(Table8[[Date]:[Date]])=$AN91)*(YEAR(Table8[[Date]:[Date]])=AT$1),0)</f>
        <v>0</v>
      </c>
      <c r="AU91">
        <f t="shared" si="8"/>
        <v>782</v>
      </c>
      <c r="AV91" cm="1">
        <f t="array" ref="AV91">_xlfn._xlws.FILTER(Table8[[Day Total]:[Day Total]],(MONTH(Table8[[Date]:[Date]])=$AM91)*(DAY(Table8[[Date]:[Date]])=$AN91)*(YEAR(Table8[[Date]:[Date]])=AV$1),0)</f>
        <v>39</v>
      </c>
      <c r="AW91">
        <f t="shared" si="7"/>
        <v>977</v>
      </c>
    </row>
    <row r="92" spans="22:49" x14ac:dyDescent="0.25">
      <c r="V92" t="s">
        <v>150</v>
      </c>
      <c r="W92">
        <f>_xlfn.IFNA(_xlfn.XMATCH(books[[#This Row],[Book]],Table8[[#Headers],[The Golden Compass]:[end]]),-1)</f>
        <v>-1</v>
      </c>
      <c r="X92">
        <v>91</v>
      </c>
      <c r="Y92" t="s">
        <v>116</v>
      </c>
      <c r="Z92">
        <v>93</v>
      </c>
      <c r="AA92">
        <f>_xlfn.IFNA(SUM(INDEX(Table8[],,_xlfn.XMATCH(books[[#This Row],[Book]],Table8[#Headers]))),0)</f>
        <v>0</v>
      </c>
      <c r="AC92" s="2" t="str">
        <f>IF(ISBLANK(books[[#This Row],[pages]]),"",books[[#This Row],[pages read]]/books[[#This Row],[pages]])</f>
        <v/>
      </c>
      <c r="AK92" s="4">
        <v>46300</v>
      </c>
      <c r="AM92">
        <v>3</v>
      </c>
      <c r="AN92">
        <v>31</v>
      </c>
      <c r="AO92" t="str">
        <f t="shared" si="6"/>
        <v>3/31</v>
      </c>
      <c r="AP92" cm="1">
        <f t="array" ref="AP92">_xlfn._xlws.FILTER(Table8[[Day Total]:[Day Total]],(MONTH(Table8[[Date]:[Date]])=$AM92)*(DAY(Table8[[Date]:[Date]])=$AN92)*(YEAR(Table8[[Date]:[Date]])=AP$1),0)</f>
        <v>0</v>
      </c>
      <c r="AR92" cm="1">
        <f t="array" ref="AR92">_xlfn._xlws.FILTER(Table8[[Day Total]:[Day Total]],(MONTH(Table8[[Date]:[Date]])=$AM92)*(DAY(Table8[[Date]:[Date]])=$AN92)*(YEAR(Table8[[Date]:[Date]])=AR$1),0)</f>
        <v>75</v>
      </c>
      <c r="AS92">
        <f t="shared" si="5"/>
        <v>2024</v>
      </c>
      <c r="AT92" cm="1">
        <f t="array" ref="AT92">_xlfn._xlws.FILTER(Table8[[Day Total]:[Day Total]],(MONTH(Table8[[Date]:[Date]])=$AM92)*(DAY(Table8[[Date]:[Date]])=$AN92)*(YEAR(Table8[[Date]:[Date]])=AT$1),0)</f>
        <v>0</v>
      </c>
      <c r="AU92">
        <f t="shared" si="8"/>
        <v>782</v>
      </c>
      <c r="AV92" cm="1">
        <f t="array" ref="AV92">_xlfn._xlws.FILTER(Table8[[Day Total]:[Day Total]],(MONTH(Table8[[Date]:[Date]])=$AM92)*(DAY(Table8[[Date]:[Date]])=$AN92)*(YEAR(Table8[[Date]:[Date]])=AV$1),0)</f>
        <v>27</v>
      </c>
      <c r="AW92">
        <f t="shared" si="7"/>
        <v>1004</v>
      </c>
    </row>
    <row r="93" spans="22:49" x14ac:dyDescent="0.25">
      <c r="V93" t="s">
        <v>151</v>
      </c>
      <c r="W93">
        <f>_xlfn.IFNA(_xlfn.XMATCH(books[[#This Row],[Book]],Table8[[#Headers],[The Golden Compass]:[end]]),-1)</f>
        <v>-1</v>
      </c>
      <c r="X93">
        <v>92</v>
      </c>
      <c r="Y93" t="s">
        <v>116</v>
      </c>
      <c r="Z93">
        <v>94</v>
      </c>
      <c r="AA93">
        <f>_xlfn.IFNA(SUM(INDEX(Table8[],,_xlfn.XMATCH(books[[#This Row],[Book]],Table8[#Headers]))),0)</f>
        <v>0</v>
      </c>
      <c r="AC93" s="2" t="str">
        <f>IF(ISBLANK(books[[#This Row],[pages]]),"",books[[#This Row],[pages read]]/books[[#This Row],[pages]])</f>
        <v/>
      </c>
      <c r="AK93" s="4">
        <v>46301</v>
      </c>
      <c r="AL93" t="s">
        <v>106</v>
      </c>
      <c r="AM93">
        <v>4</v>
      </c>
      <c r="AN93">
        <v>1</v>
      </c>
      <c r="AO93" t="str">
        <f t="shared" si="6"/>
        <v>4/1</v>
      </c>
      <c r="AP93" cm="1">
        <f t="array" ref="AP93">_xlfn._xlws.FILTER(Table8[[Day Total]:[Day Total]],(MONTH(Table8[[Date]:[Date]])=$AM93)*(DAY(Table8[[Date]:[Date]])=$AN93)*(YEAR(Table8[[Date]:[Date]])=AP$1),0)</f>
        <v>0</v>
      </c>
      <c r="AR93" cm="1">
        <f t="array" ref="AR93">_xlfn._xlws.FILTER(Table8[[Day Total]:[Day Total]],(MONTH(Table8[[Date]:[Date]])=$AM93)*(DAY(Table8[[Date]:[Date]])=$AN93)*(YEAR(Table8[[Date]:[Date]])=AR$1),0)</f>
        <v>43</v>
      </c>
      <c r="AS93">
        <f t="shared" si="5"/>
        <v>2067</v>
      </c>
      <c r="AT93" cm="1">
        <f t="array" ref="AT93">_xlfn._xlws.FILTER(Table8[[Day Total]:[Day Total]],(MONTH(Table8[[Date]:[Date]])=$AM93)*(DAY(Table8[[Date]:[Date]])=$AN93)*(YEAR(Table8[[Date]:[Date]])=AT$1),0)</f>
        <v>0</v>
      </c>
      <c r="AU93">
        <f t="shared" si="8"/>
        <v>782</v>
      </c>
      <c r="AV93" cm="1">
        <f t="array" ref="AV93">_xlfn._xlws.FILTER(Table8[[Day Total]:[Day Total]],(MONTH(Table8[[Date]:[Date]])=$AM93)*(DAY(Table8[[Date]:[Date]])=$AN93)*(YEAR(Table8[[Date]:[Date]])=AV$1),0)</f>
        <v>92</v>
      </c>
      <c r="AW93">
        <f t="shared" si="7"/>
        <v>1096</v>
      </c>
    </row>
    <row r="94" spans="22:49" x14ac:dyDescent="0.25">
      <c r="V94" t="s">
        <v>89</v>
      </c>
      <c r="W94">
        <f>_xlfn.IFNA(_xlfn.XMATCH(books[[#This Row],[Book]],Table8[[#Headers],[The Golden Compass]:[end]]),-1)</f>
        <v>45</v>
      </c>
      <c r="X94">
        <v>93</v>
      </c>
      <c r="Y94" t="s">
        <v>116</v>
      </c>
      <c r="Z94">
        <v>95</v>
      </c>
      <c r="AA94">
        <f>_xlfn.IFNA(SUM(INDEX(Table8[],,_xlfn.XMATCH(books[[#This Row],[Book]],Table8[#Headers]))),0)</f>
        <v>0</v>
      </c>
      <c r="AB94">
        <v>291</v>
      </c>
      <c r="AC94" s="2">
        <f>IF(ISBLANK(books[[#This Row],[pages]]),"",books[[#This Row],[pages read]]/books[[#This Row],[pages]])</f>
        <v>0</v>
      </c>
      <c r="AK94" s="4">
        <v>46306</v>
      </c>
      <c r="AM94">
        <v>4</v>
      </c>
      <c r="AN94">
        <v>2</v>
      </c>
      <c r="AO94" t="str">
        <f t="shared" si="6"/>
        <v>4/2</v>
      </c>
      <c r="AP94" cm="1">
        <f t="array" ref="AP94">_xlfn._xlws.FILTER(Table8[[Day Total]:[Day Total]],(MONTH(Table8[[Date]:[Date]])=$AM94)*(DAY(Table8[[Date]:[Date]])=$AN94)*(YEAR(Table8[[Date]:[Date]])=AP$1),0)</f>
        <v>0</v>
      </c>
      <c r="AR94" cm="1">
        <f t="array" ref="AR94">_xlfn._xlws.FILTER(Table8[[Day Total]:[Day Total]],(MONTH(Table8[[Date]:[Date]])=$AM94)*(DAY(Table8[[Date]:[Date]])=$AN94)*(YEAR(Table8[[Date]:[Date]])=AR$1),0)</f>
        <v>0</v>
      </c>
      <c r="AS94">
        <f t="shared" si="5"/>
        <v>2067</v>
      </c>
      <c r="AT94" cm="1">
        <f t="array" ref="AT94">_xlfn._xlws.FILTER(Table8[[Day Total]:[Day Total]],(MONTH(Table8[[Date]:[Date]])=$AM94)*(DAY(Table8[[Date]:[Date]])=$AN94)*(YEAR(Table8[[Date]:[Date]])=AT$1),0)</f>
        <v>0</v>
      </c>
      <c r="AU94">
        <f t="shared" si="8"/>
        <v>782</v>
      </c>
      <c r="AV94" cm="1">
        <f t="array" ref="AV94">_xlfn._xlws.FILTER(Table8[[Day Total]:[Day Total]],(MONTH(Table8[[Date]:[Date]])=$AM94)*(DAY(Table8[[Date]:[Date]])=$AN94)*(YEAR(Table8[[Date]:[Date]])=AV$1),0)</f>
        <v>48</v>
      </c>
      <c r="AW94">
        <f t="shared" si="7"/>
        <v>1144</v>
      </c>
    </row>
    <row r="95" spans="22:49" x14ac:dyDescent="0.25">
      <c r="V95" t="s">
        <v>88</v>
      </c>
      <c r="W95">
        <f>_xlfn.IFNA(_xlfn.XMATCH(books[[#This Row],[Book]],Table8[[#Headers],[The Golden Compass]:[end]]),-1)</f>
        <v>46</v>
      </c>
      <c r="X95">
        <v>94</v>
      </c>
      <c r="Y95">
        <v>50</v>
      </c>
      <c r="Z95">
        <v>96</v>
      </c>
      <c r="AA95">
        <f>_xlfn.IFNA(SUM(INDEX(Table8[],,_xlfn.XMATCH(books[[#This Row],[Book]],Table8[#Headers]))),0)</f>
        <v>751</v>
      </c>
      <c r="AB95">
        <v>751</v>
      </c>
      <c r="AC95" s="2">
        <f>IF(ISBLANK(books[[#This Row],[pages]]),"",books[[#This Row],[pages read]]/books[[#This Row],[pages]])</f>
        <v>1</v>
      </c>
      <c r="AK95" s="4">
        <v>46310</v>
      </c>
      <c r="AM95">
        <v>4</v>
      </c>
      <c r="AN95">
        <v>3</v>
      </c>
      <c r="AO95" t="str">
        <f t="shared" si="6"/>
        <v>4/3</v>
      </c>
      <c r="AP95" cm="1">
        <f t="array" ref="AP95">_xlfn._xlws.FILTER(Table8[[Day Total]:[Day Total]],(MONTH(Table8[[Date]:[Date]])=$AM95)*(DAY(Table8[[Date]:[Date]])=$AN95)*(YEAR(Table8[[Date]:[Date]])=AP$1),0)</f>
        <v>0</v>
      </c>
      <c r="AR95" cm="1">
        <f t="array" ref="AR95">_xlfn._xlws.FILTER(Table8[[Day Total]:[Day Total]],(MONTH(Table8[[Date]:[Date]])=$AM95)*(DAY(Table8[[Date]:[Date]])=$AN95)*(YEAR(Table8[[Date]:[Date]])=AR$1),0)</f>
        <v>83</v>
      </c>
      <c r="AS95">
        <f t="shared" si="5"/>
        <v>2150</v>
      </c>
      <c r="AT95" cm="1">
        <f t="array" ref="AT95">_xlfn._xlws.FILTER(Table8[[Day Total]:[Day Total]],(MONTH(Table8[[Date]:[Date]])=$AM95)*(DAY(Table8[[Date]:[Date]])=$AN95)*(YEAR(Table8[[Date]:[Date]])=AT$1),0)</f>
        <v>0</v>
      </c>
      <c r="AU95">
        <f t="shared" si="8"/>
        <v>782</v>
      </c>
      <c r="AV95" cm="1">
        <f t="array" ref="AV95">_xlfn._xlws.FILTER(Table8[[Day Total]:[Day Total]],(MONTH(Table8[[Date]:[Date]])=$AM95)*(DAY(Table8[[Date]:[Date]])=$AN95)*(YEAR(Table8[[Date]:[Date]])=AV$1),0)</f>
        <v>111</v>
      </c>
      <c r="AW95">
        <f t="shared" si="7"/>
        <v>1255</v>
      </c>
    </row>
    <row r="96" spans="22:49" x14ac:dyDescent="0.25">
      <c r="V96" t="s">
        <v>152</v>
      </c>
      <c r="W96">
        <f>_xlfn.IFNA(_xlfn.XMATCH(books[[#This Row],[Book]],Table8[[#Headers],[The Golden Compass]:[end]]),-1)</f>
        <v>-1</v>
      </c>
      <c r="X96">
        <v>95</v>
      </c>
      <c r="Y96" t="s">
        <v>116</v>
      </c>
      <c r="Z96">
        <v>97</v>
      </c>
      <c r="AA96">
        <f>_xlfn.IFNA(SUM(INDEX(Table8[],,_xlfn.XMATCH(books[[#This Row],[Book]],Table8[#Headers]))),0)</f>
        <v>0</v>
      </c>
      <c r="AC96" s="2" t="str">
        <f>IF(ISBLANK(books[[#This Row],[pages]]),"",books[[#This Row],[pages read]]/books[[#This Row],[pages]])</f>
        <v/>
      </c>
      <c r="AK96" s="4">
        <v>46311</v>
      </c>
      <c r="AM96">
        <v>4</v>
      </c>
      <c r="AN96">
        <v>4</v>
      </c>
      <c r="AO96" t="str">
        <f t="shared" si="6"/>
        <v>4/4</v>
      </c>
      <c r="AP96" cm="1">
        <f t="array" ref="AP96">_xlfn._xlws.FILTER(Table8[[Day Total]:[Day Total]],(MONTH(Table8[[Date]:[Date]])=$AM96)*(DAY(Table8[[Date]:[Date]])=$AN96)*(YEAR(Table8[[Date]:[Date]])=AP$1),0)</f>
        <v>0</v>
      </c>
      <c r="AR96" cm="1">
        <f t="array" ref="AR96">_xlfn._xlws.FILTER(Table8[[Day Total]:[Day Total]],(MONTH(Table8[[Date]:[Date]])=$AM96)*(DAY(Table8[[Date]:[Date]])=$AN96)*(YEAR(Table8[[Date]:[Date]])=AR$1),0)</f>
        <v>0</v>
      </c>
      <c r="AS96">
        <f t="shared" si="5"/>
        <v>2150</v>
      </c>
      <c r="AT96" cm="1">
        <f t="array" ref="AT96">_xlfn._xlws.FILTER(Table8[[Day Total]:[Day Total]],(MONTH(Table8[[Date]:[Date]])=$AM96)*(DAY(Table8[[Date]:[Date]])=$AN96)*(YEAR(Table8[[Date]:[Date]])=AT$1),0)</f>
        <v>0</v>
      </c>
      <c r="AU96">
        <f t="shared" si="8"/>
        <v>782</v>
      </c>
      <c r="AV96" cm="1">
        <f t="array" ref="AV96">_xlfn._xlws.FILTER(Table8[[Day Total]:[Day Total]],(MONTH(Table8[[Date]:[Date]])=$AM96)*(DAY(Table8[[Date]:[Date]])=$AN96)*(YEAR(Table8[[Date]:[Date]])=AV$1),0)</f>
        <v>10</v>
      </c>
      <c r="AW96">
        <f t="shared" si="7"/>
        <v>1265</v>
      </c>
    </row>
    <row r="97" spans="22:49" x14ac:dyDescent="0.25">
      <c r="V97" t="s">
        <v>153</v>
      </c>
      <c r="W97">
        <f>_xlfn.IFNA(_xlfn.XMATCH(books[[#This Row],[Book]],Table8[[#Headers],[The Golden Compass]:[end]]),-1)</f>
        <v>-1</v>
      </c>
      <c r="X97">
        <v>96</v>
      </c>
      <c r="Y97" t="s">
        <v>116</v>
      </c>
      <c r="Z97">
        <v>98</v>
      </c>
      <c r="AA97">
        <f>_xlfn.IFNA(SUM(INDEX(Table8[],,_xlfn.XMATCH(books[[#This Row],[Book]],Table8[#Headers]))),0)</f>
        <v>0</v>
      </c>
      <c r="AC97" s="2" t="str">
        <f>IF(ISBLANK(books[[#This Row],[pages]]),"",books[[#This Row],[pages read]]/books[[#This Row],[pages]])</f>
        <v/>
      </c>
      <c r="AK97" s="4">
        <v>46312</v>
      </c>
      <c r="AM97">
        <v>4</v>
      </c>
      <c r="AN97">
        <v>5</v>
      </c>
      <c r="AO97" t="str">
        <f t="shared" si="6"/>
        <v>4/5</v>
      </c>
      <c r="AP97" cm="1">
        <f t="array" ref="AP97">_xlfn._xlws.FILTER(Table8[[Day Total]:[Day Total]],(MONTH(Table8[[Date]:[Date]])=$AM97)*(DAY(Table8[[Date]:[Date]])=$AN97)*(YEAR(Table8[[Date]:[Date]])=AP$1),0)</f>
        <v>0</v>
      </c>
      <c r="AR97" cm="1">
        <f t="array" ref="AR97">_xlfn._xlws.FILTER(Table8[[Day Total]:[Day Total]],(MONTH(Table8[[Date]:[Date]])=$AM97)*(DAY(Table8[[Date]:[Date]])=$AN97)*(YEAR(Table8[[Date]:[Date]])=AR$1),0)</f>
        <v>31</v>
      </c>
      <c r="AS97">
        <f t="shared" si="5"/>
        <v>2181</v>
      </c>
      <c r="AT97" cm="1">
        <f t="array" ref="AT97">_xlfn._xlws.FILTER(Table8[[Day Total]:[Day Total]],(MONTH(Table8[[Date]:[Date]])=$AM97)*(DAY(Table8[[Date]:[Date]])=$AN97)*(YEAR(Table8[[Date]:[Date]])=AT$1),0)</f>
        <v>0</v>
      </c>
      <c r="AU97">
        <f t="shared" si="8"/>
        <v>782</v>
      </c>
      <c r="AV97" cm="1">
        <f t="array" ref="AV97">_xlfn._xlws.FILTER(Table8[[Day Total]:[Day Total]],(MONTH(Table8[[Date]:[Date]])=$AM97)*(DAY(Table8[[Date]:[Date]])=$AN97)*(YEAR(Table8[[Date]:[Date]])=AV$1),0)</f>
        <v>0</v>
      </c>
      <c r="AW97">
        <f t="shared" si="7"/>
        <v>1265</v>
      </c>
    </row>
    <row r="98" spans="22:49" x14ac:dyDescent="0.25">
      <c r="V98" t="s">
        <v>154</v>
      </c>
      <c r="W98">
        <f>_xlfn.IFNA(_xlfn.XMATCH(books[[#This Row],[Book]],Table8[[#Headers],[The Golden Compass]:[end]]),-1)</f>
        <v>-1</v>
      </c>
      <c r="X98">
        <v>97</v>
      </c>
      <c r="Y98" t="s">
        <v>116</v>
      </c>
      <c r="Z98">
        <v>99</v>
      </c>
      <c r="AA98">
        <f>_xlfn.IFNA(SUM(INDEX(Table8[],,_xlfn.XMATCH(books[[#This Row],[Book]],Table8[#Headers]))),0)</f>
        <v>0</v>
      </c>
      <c r="AC98" s="2" t="str">
        <f>IF(ISBLANK(books[[#This Row],[pages]]),"",books[[#This Row],[pages read]]/books[[#This Row],[pages]])</f>
        <v/>
      </c>
      <c r="AK98" s="4">
        <v>46319</v>
      </c>
      <c r="AM98">
        <v>4</v>
      </c>
      <c r="AN98">
        <v>6</v>
      </c>
      <c r="AO98" t="str">
        <f t="shared" si="6"/>
        <v>4/6</v>
      </c>
      <c r="AP98" cm="1">
        <f t="array" ref="AP98">_xlfn._xlws.FILTER(Table8[[Day Total]:[Day Total]],(MONTH(Table8[[Date]:[Date]])=$AM98)*(DAY(Table8[[Date]:[Date]])=$AN98)*(YEAR(Table8[[Date]:[Date]])=AP$1),0)</f>
        <v>0</v>
      </c>
      <c r="AR98" cm="1">
        <f t="array" ref="AR98">_xlfn._xlws.FILTER(Table8[[Day Total]:[Day Total]],(MONTH(Table8[[Date]:[Date]])=$AM98)*(DAY(Table8[[Date]:[Date]])=$AN98)*(YEAR(Table8[[Date]:[Date]])=AR$1),0)</f>
        <v>25</v>
      </c>
      <c r="AS98">
        <f t="shared" si="5"/>
        <v>2206</v>
      </c>
      <c r="AT98" cm="1">
        <f t="array" ref="AT98">_xlfn._xlws.FILTER(Table8[[Day Total]:[Day Total]],(MONTH(Table8[[Date]:[Date]])=$AM98)*(DAY(Table8[[Date]:[Date]])=$AN98)*(YEAR(Table8[[Date]:[Date]])=AT$1),0)</f>
        <v>0</v>
      </c>
      <c r="AU98">
        <f t="shared" si="8"/>
        <v>782</v>
      </c>
      <c r="AV98" cm="1">
        <f t="array" ref="AV98">_xlfn._xlws.FILTER(Table8[[Day Total]:[Day Total]],(MONTH(Table8[[Date]:[Date]])=$AM98)*(DAY(Table8[[Date]:[Date]])=$AN98)*(YEAR(Table8[[Date]:[Date]])=AV$1),0)</f>
        <v>0</v>
      </c>
      <c r="AW98">
        <f t="shared" si="7"/>
        <v>1265</v>
      </c>
    </row>
    <row r="99" spans="22:49" x14ac:dyDescent="0.25">
      <c r="V99" t="s">
        <v>155</v>
      </c>
      <c r="W99">
        <f>_xlfn.IFNA(_xlfn.XMATCH(books[[#This Row],[Book]],Table8[[#Headers],[The Golden Compass]:[end]]),-1)</f>
        <v>-1</v>
      </c>
      <c r="X99">
        <v>98</v>
      </c>
      <c r="Y99" t="s">
        <v>116</v>
      </c>
      <c r="Z99">
        <v>100</v>
      </c>
      <c r="AA99">
        <f>_xlfn.IFNA(SUM(INDEX(Table8[],,_xlfn.XMATCH(books[[#This Row],[Book]],Table8[#Headers]))),0)</f>
        <v>0</v>
      </c>
      <c r="AC99" s="2" t="str">
        <f>IF(ISBLANK(books[[#This Row],[pages]]),"",books[[#This Row],[pages read]]/books[[#This Row],[pages]])</f>
        <v/>
      </c>
      <c r="AK99" s="4">
        <v>46320</v>
      </c>
      <c r="AM99">
        <v>4</v>
      </c>
      <c r="AN99">
        <v>7</v>
      </c>
      <c r="AO99" t="str">
        <f t="shared" si="6"/>
        <v>4/7</v>
      </c>
      <c r="AP99" cm="1">
        <f t="array" ref="AP99">_xlfn._xlws.FILTER(Table8[[Day Total]:[Day Total]],(MONTH(Table8[[Date]:[Date]])=$AM99)*(DAY(Table8[[Date]:[Date]])=$AN99)*(YEAR(Table8[[Date]:[Date]])=AP$1),0)</f>
        <v>0</v>
      </c>
      <c r="AR99" cm="1">
        <f t="array" ref="AR99">_xlfn._xlws.FILTER(Table8[[Day Total]:[Day Total]],(MONTH(Table8[[Date]:[Date]])=$AM99)*(DAY(Table8[[Date]:[Date]])=$AN99)*(YEAR(Table8[[Date]:[Date]])=AR$1),0)</f>
        <v>0</v>
      </c>
      <c r="AS99">
        <f t="shared" si="5"/>
        <v>2206</v>
      </c>
      <c r="AT99" cm="1">
        <f t="array" ref="AT99">_xlfn._xlws.FILTER(Table8[[Day Total]:[Day Total]],(MONTH(Table8[[Date]:[Date]])=$AM99)*(DAY(Table8[[Date]:[Date]])=$AN99)*(YEAR(Table8[[Date]:[Date]])=AT$1),0)</f>
        <v>0</v>
      </c>
      <c r="AU99">
        <f t="shared" si="8"/>
        <v>782</v>
      </c>
      <c r="AV99" cm="1">
        <f t="array" ref="AV99">_xlfn._xlws.FILTER(Table8[[Day Total]:[Day Total]],(MONTH(Table8[[Date]:[Date]])=$AM99)*(DAY(Table8[[Date]:[Date]])=$AN99)*(YEAR(Table8[[Date]:[Date]])=AV$1),0)</f>
        <v>0</v>
      </c>
      <c r="AW99">
        <f t="shared" si="7"/>
        <v>1265</v>
      </c>
    </row>
    <row r="100" spans="22:49" x14ac:dyDescent="0.25">
      <c r="V100" t="s">
        <v>156</v>
      </c>
      <c r="W100">
        <f>_xlfn.IFNA(_xlfn.XMATCH(books[[#This Row],[Book]],Table8[[#Headers],[The Golden Compass]:[end]]),-1)</f>
        <v>-1</v>
      </c>
      <c r="X100">
        <v>99</v>
      </c>
      <c r="Y100" t="s">
        <v>116</v>
      </c>
      <c r="Z100">
        <v>101</v>
      </c>
      <c r="AA100">
        <f>_xlfn.IFNA(SUM(INDEX(Table8[],,_xlfn.XMATCH(books[[#This Row],[Book]],Table8[#Headers]))),0)</f>
        <v>0</v>
      </c>
      <c r="AC100" s="2" t="str">
        <f>IF(ISBLANK(books[[#This Row],[pages]]),"",books[[#This Row],[pages read]]/books[[#This Row],[pages]])</f>
        <v/>
      </c>
      <c r="AK100" s="4">
        <v>46321</v>
      </c>
      <c r="AM100">
        <v>4</v>
      </c>
      <c r="AN100">
        <v>8</v>
      </c>
      <c r="AO100" t="str">
        <f t="shared" si="6"/>
        <v>4/8</v>
      </c>
      <c r="AP100" cm="1">
        <f t="array" ref="AP100">_xlfn._xlws.FILTER(Table8[[Day Total]:[Day Total]],(MONTH(Table8[[Date]:[Date]])=$AM100)*(DAY(Table8[[Date]:[Date]])=$AN100)*(YEAR(Table8[[Date]:[Date]])=AP$1),0)</f>
        <v>0</v>
      </c>
      <c r="AR100" cm="1">
        <f t="array" ref="AR100">_xlfn._xlws.FILTER(Table8[[Day Total]:[Day Total]],(MONTH(Table8[[Date]:[Date]])=$AM100)*(DAY(Table8[[Date]:[Date]])=$AN100)*(YEAR(Table8[[Date]:[Date]])=AR$1),0)</f>
        <v>0</v>
      </c>
      <c r="AS100">
        <f t="shared" si="5"/>
        <v>2206</v>
      </c>
      <c r="AT100" cm="1">
        <f t="array" ref="AT100">_xlfn._xlws.FILTER(Table8[[Day Total]:[Day Total]],(MONTH(Table8[[Date]:[Date]])=$AM100)*(DAY(Table8[[Date]:[Date]])=$AN100)*(YEAR(Table8[[Date]:[Date]])=AT$1),0)</f>
        <v>0</v>
      </c>
      <c r="AU100">
        <f t="shared" si="8"/>
        <v>782</v>
      </c>
      <c r="AV100" cm="1">
        <f t="array" ref="AV100">_xlfn._xlws.FILTER(Table8[[Day Total]:[Day Total]],(MONTH(Table8[[Date]:[Date]])=$AM100)*(DAY(Table8[[Date]:[Date]])=$AN100)*(YEAR(Table8[[Date]:[Date]])=AV$1),0)</f>
        <v>0</v>
      </c>
      <c r="AW100">
        <f t="shared" si="7"/>
        <v>1265</v>
      </c>
    </row>
    <row r="101" spans="22:49" x14ac:dyDescent="0.25">
      <c r="V101" t="s">
        <v>157</v>
      </c>
      <c r="W101">
        <f>_xlfn.IFNA(_xlfn.XMATCH(books[[#This Row],[Book]],Table8[[#Headers],[The Golden Compass]:[end]]),-1)</f>
        <v>-1</v>
      </c>
      <c r="X101">
        <v>100</v>
      </c>
      <c r="Y101" t="s">
        <v>116</v>
      </c>
      <c r="Z101">
        <v>102</v>
      </c>
      <c r="AA101">
        <f>_xlfn.IFNA(SUM(INDEX(Table8[],,_xlfn.XMATCH(books[[#This Row],[Book]],Table8[#Headers]))),0)</f>
        <v>0</v>
      </c>
      <c r="AC101" s="2" t="str">
        <f>IF(ISBLANK(books[[#This Row],[pages]]),"",books[[#This Row],[pages read]]/books[[#This Row],[pages]])</f>
        <v/>
      </c>
      <c r="AK101" s="4">
        <v>46322</v>
      </c>
      <c r="AM101">
        <v>4</v>
      </c>
      <c r="AN101">
        <v>9</v>
      </c>
      <c r="AO101" t="str">
        <f t="shared" si="6"/>
        <v>4/9</v>
      </c>
      <c r="AP101" cm="1">
        <f t="array" ref="AP101">_xlfn._xlws.FILTER(Table8[[Day Total]:[Day Total]],(MONTH(Table8[[Date]:[Date]])=$AM101)*(DAY(Table8[[Date]:[Date]])=$AN101)*(YEAR(Table8[[Date]:[Date]])=AP$1),0)</f>
        <v>0</v>
      </c>
      <c r="AR101" cm="1">
        <f t="array" ref="AR101">_xlfn._xlws.FILTER(Table8[[Day Total]:[Day Total]],(MONTH(Table8[[Date]:[Date]])=$AM101)*(DAY(Table8[[Date]:[Date]])=$AN101)*(YEAR(Table8[[Date]:[Date]])=AR$1),0)</f>
        <v>0</v>
      </c>
      <c r="AS101">
        <f t="shared" si="5"/>
        <v>2206</v>
      </c>
      <c r="AT101" cm="1">
        <f t="array" ref="AT101">_xlfn._xlws.FILTER(Table8[[Day Total]:[Day Total]],(MONTH(Table8[[Date]:[Date]])=$AM101)*(DAY(Table8[[Date]:[Date]])=$AN101)*(YEAR(Table8[[Date]:[Date]])=AT$1),0)</f>
        <v>0</v>
      </c>
      <c r="AU101">
        <f t="shared" si="8"/>
        <v>782</v>
      </c>
      <c r="AV101" cm="1">
        <f t="array" ref="AV101">_xlfn._xlws.FILTER(Table8[[Day Total]:[Day Total]],(MONTH(Table8[[Date]:[Date]])=$AM101)*(DAY(Table8[[Date]:[Date]])=$AN101)*(YEAR(Table8[[Date]:[Date]])=AV$1),0)</f>
        <v>0</v>
      </c>
      <c r="AW101">
        <f t="shared" si="7"/>
        <v>1265</v>
      </c>
    </row>
    <row r="102" spans="22:49" x14ac:dyDescent="0.25">
      <c r="V102" t="s">
        <v>90</v>
      </c>
      <c r="W102">
        <f>_xlfn.IFNA(_xlfn.XMATCH(books[[#This Row],[Book]],Table8[[#Headers],[The Golden Compass]:[end]]),-1)</f>
        <v>-1</v>
      </c>
      <c r="X102">
        <v>101</v>
      </c>
      <c r="Y102" t="s">
        <v>116</v>
      </c>
      <c r="Z102">
        <v>103</v>
      </c>
      <c r="AA102">
        <f>_xlfn.IFNA(SUM(INDEX(Table8[],,_xlfn.XMATCH(books[[#This Row],[Book]],Table8[#Headers]))),0)</f>
        <v>0</v>
      </c>
      <c r="AB102">
        <v>350</v>
      </c>
      <c r="AC102" s="2">
        <f>IF(ISBLANK(books[[#This Row],[pages]]),"",books[[#This Row],[pages read]]/books[[#This Row],[pages]])</f>
        <v>0</v>
      </c>
      <c r="AK102" s="4">
        <v>46323</v>
      </c>
      <c r="AM102">
        <v>4</v>
      </c>
      <c r="AN102">
        <v>10</v>
      </c>
      <c r="AO102" t="str">
        <f t="shared" si="6"/>
        <v>4/10</v>
      </c>
      <c r="AP102" cm="1">
        <f t="array" ref="AP102">_xlfn._xlws.FILTER(Table8[[Day Total]:[Day Total]],(MONTH(Table8[[Date]:[Date]])=$AM102)*(DAY(Table8[[Date]:[Date]])=$AN102)*(YEAR(Table8[[Date]:[Date]])=AP$1),0)</f>
        <v>0</v>
      </c>
      <c r="AR102" cm="1">
        <f t="array" ref="AR102">_xlfn._xlws.FILTER(Table8[[Day Total]:[Day Total]],(MONTH(Table8[[Date]:[Date]])=$AM102)*(DAY(Table8[[Date]:[Date]])=$AN102)*(YEAR(Table8[[Date]:[Date]])=AR$1),0)</f>
        <v>32</v>
      </c>
      <c r="AS102">
        <f t="shared" si="5"/>
        <v>2238</v>
      </c>
      <c r="AT102" cm="1">
        <f t="array" ref="AT102">_xlfn._xlws.FILTER(Table8[[Day Total]:[Day Total]],(MONTH(Table8[[Date]:[Date]])=$AM102)*(DAY(Table8[[Date]:[Date]])=$AN102)*(YEAR(Table8[[Date]:[Date]])=AT$1),0)</f>
        <v>0</v>
      </c>
      <c r="AU102">
        <f t="shared" si="8"/>
        <v>782</v>
      </c>
      <c r="AV102" cm="1">
        <f t="array" ref="AV102">_xlfn._xlws.FILTER(Table8[[Day Total]:[Day Total]],(MONTH(Table8[[Date]:[Date]])=$AM102)*(DAY(Table8[[Date]:[Date]])=$AN102)*(YEAR(Table8[[Date]:[Date]])=AV$1),0)</f>
        <v>0</v>
      </c>
      <c r="AW102">
        <f t="shared" si="7"/>
        <v>1265</v>
      </c>
    </row>
    <row r="103" spans="22:49" x14ac:dyDescent="0.25">
      <c r="V103" t="s">
        <v>158</v>
      </c>
      <c r="W103">
        <f>_xlfn.IFNA(_xlfn.XMATCH(books[[#This Row],[Book]],Table8[[#Headers],[The Golden Compass]:[end]]),-1)</f>
        <v>-1</v>
      </c>
      <c r="X103">
        <v>102</v>
      </c>
      <c r="Y103" t="s">
        <v>116</v>
      </c>
      <c r="Z103">
        <v>104</v>
      </c>
      <c r="AA103">
        <f>_xlfn.IFNA(SUM(INDEX(Table8[],,_xlfn.XMATCH(books[[#This Row],[Book]],Table8[#Headers]))),0)</f>
        <v>0</v>
      </c>
      <c r="AC103" s="2" t="str">
        <f>IF(ISBLANK(books[[#This Row],[pages]]),"",books[[#This Row],[pages read]]/books[[#This Row],[pages]])</f>
        <v/>
      </c>
      <c r="AK103" s="4">
        <v>46324</v>
      </c>
      <c r="AM103">
        <v>4</v>
      </c>
      <c r="AN103">
        <v>11</v>
      </c>
      <c r="AO103" t="str">
        <f t="shared" si="6"/>
        <v>4/11</v>
      </c>
      <c r="AP103" cm="1">
        <f t="array" ref="AP103">_xlfn._xlws.FILTER(Table8[[Day Total]:[Day Total]],(MONTH(Table8[[Date]:[Date]])=$AM103)*(DAY(Table8[[Date]:[Date]])=$AN103)*(YEAR(Table8[[Date]:[Date]])=AP$1),0)</f>
        <v>0</v>
      </c>
      <c r="AR103" cm="1">
        <f t="array" ref="AR103">_xlfn._xlws.FILTER(Table8[[Day Total]:[Day Total]],(MONTH(Table8[[Date]:[Date]])=$AM103)*(DAY(Table8[[Date]:[Date]])=$AN103)*(YEAR(Table8[[Date]:[Date]])=AR$1),0)</f>
        <v>0</v>
      </c>
      <c r="AS103">
        <f t="shared" si="5"/>
        <v>2238</v>
      </c>
      <c r="AT103" cm="1">
        <f t="array" ref="AT103">_xlfn._xlws.FILTER(Table8[[Day Total]:[Day Total]],(MONTH(Table8[[Date]:[Date]])=$AM103)*(DAY(Table8[[Date]:[Date]])=$AN103)*(YEAR(Table8[[Date]:[Date]])=AT$1),0)</f>
        <v>0</v>
      </c>
      <c r="AU103">
        <f t="shared" si="8"/>
        <v>782</v>
      </c>
      <c r="AV103" cm="1">
        <f t="array" ref="AV103">_xlfn._xlws.FILTER(Table8[[Day Total]:[Day Total]],(MONTH(Table8[[Date]:[Date]])=$AM103)*(DAY(Table8[[Date]:[Date]])=$AN103)*(YEAR(Table8[[Date]:[Date]])=AV$1),0)</f>
        <v>0</v>
      </c>
      <c r="AW103">
        <f t="shared" si="7"/>
        <v>1265</v>
      </c>
    </row>
    <row r="104" spans="22:49" x14ac:dyDescent="0.25">
      <c r="V104" t="s">
        <v>91</v>
      </c>
      <c r="W104">
        <f>_xlfn.IFNA(_xlfn.XMATCH(books[[#This Row],[Book]],Table8[[#Headers],[The Golden Compass]:[end]]),-1)</f>
        <v>-1</v>
      </c>
      <c r="X104">
        <v>103</v>
      </c>
      <c r="Y104" t="s">
        <v>116</v>
      </c>
      <c r="Z104">
        <v>105</v>
      </c>
      <c r="AA104">
        <f>_xlfn.IFNA(SUM(INDEX(Table8[],,_xlfn.XMATCH(books[[#This Row],[Book]],Table8[#Headers]))),0)</f>
        <v>0</v>
      </c>
      <c r="AB104">
        <v>336</v>
      </c>
      <c r="AC104" s="2">
        <f>IF(ISBLANK(books[[#This Row],[pages]]),"",books[[#This Row],[pages read]]/books[[#This Row],[pages]])</f>
        <v>0</v>
      </c>
      <c r="AK104" s="4">
        <v>46325</v>
      </c>
      <c r="AM104">
        <v>4</v>
      </c>
      <c r="AN104">
        <v>12</v>
      </c>
      <c r="AO104" t="str">
        <f t="shared" si="6"/>
        <v>4/12</v>
      </c>
      <c r="AP104" cm="1">
        <f t="array" ref="AP104">_xlfn._xlws.FILTER(Table8[[Day Total]:[Day Total]],(MONTH(Table8[[Date]:[Date]])=$AM104)*(DAY(Table8[[Date]:[Date]])=$AN104)*(YEAR(Table8[[Date]:[Date]])=AP$1),0)</f>
        <v>0</v>
      </c>
      <c r="AR104" cm="1">
        <f t="array" ref="AR104">_xlfn._xlws.FILTER(Table8[[Day Total]:[Day Total]],(MONTH(Table8[[Date]:[Date]])=$AM104)*(DAY(Table8[[Date]:[Date]])=$AN104)*(YEAR(Table8[[Date]:[Date]])=AR$1),0)</f>
        <v>0</v>
      </c>
      <c r="AS104">
        <f t="shared" si="5"/>
        <v>2238</v>
      </c>
      <c r="AT104" cm="1">
        <f t="array" ref="AT104">_xlfn._xlws.FILTER(Table8[[Day Total]:[Day Total]],(MONTH(Table8[[Date]:[Date]])=$AM104)*(DAY(Table8[[Date]:[Date]])=$AN104)*(YEAR(Table8[[Date]:[Date]])=AT$1),0)</f>
        <v>0</v>
      </c>
      <c r="AU104">
        <f t="shared" si="8"/>
        <v>782</v>
      </c>
      <c r="AV104" cm="1">
        <f t="array" ref="AV104">_xlfn._xlws.FILTER(Table8[[Day Total]:[Day Total]],(MONTH(Table8[[Date]:[Date]])=$AM104)*(DAY(Table8[[Date]:[Date]])=$AN104)*(YEAR(Table8[[Date]:[Date]])=AV$1),0)</f>
        <v>0</v>
      </c>
      <c r="AW104">
        <f t="shared" si="7"/>
        <v>1265</v>
      </c>
    </row>
    <row r="105" spans="22:49" x14ac:dyDescent="0.25">
      <c r="V105" t="s">
        <v>92</v>
      </c>
      <c r="W105">
        <f>_xlfn.IFNA(_xlfn.XMATCH(books[[#This Row],[Book]],Table8[[#Headers],[The Golden Compass]:[end]]),-1)</f>
        <v>-1</v>
      </c>
      <c r="X105">
        <v>104</v>
      </c>
      <c r="Y105" t="s">
        <v>116</v>
      </c>
      <c r="Z105">
        <v>106</v>
      </c>
      <c r="AA105">
        <f>_xlfn.IFNA(SUM(INDEX(Table8[],,_xlfn.XMATCH(books[[#This Row],[Book]],Table8[#Headers]))),0)</f>
        <v>0</v>
      </c>
      <c r="AB105">
        <v>432</v>
      </c>
      <c r="AC105" s="2">
        <f>IF(ISBLANK(books[[#This Row],[pages]]),"",books[[#This Row],[pages read]]/books[[#This Row],[pages]])</f>
        <v>0</v>
      </c>
      <c r="AK105" s="4">
        <v>46326</v>
      </c>
      <c r="AM105">
        <v>4</v>
      </c>
      <c r="AN105">
        <v>13</v>
      </c>
      <c r="AO105" t="str">
        <f t="shared" si="6"/>
        <v>4/13</v>
      </c>
      <c r="AP105" cm="1">
        <f t="array" ref="AP105">_xlfn._xlws.FILTER(Table8[[Day Total]:[Day Total]],(MONTH(Table8[[Date]:[Date]])=$AM105)*(DAY(Table8[[Date]:[Date]])=$AN105)*(YEAR(Table8[[Date]:[Date]])=AP$1),0)</f>
        <v>0</v>
      </c>
      <c r="AR105" cm="1">
        <f t="array" ref="AR105">_xlfn._xlws.FILTER(Table8[[Day Total]:[Day Total]],(MONTH(Table8[[Date]:[Date]])=$AM105)*(DAY(Table8[[Date]:[Date]])=$AN105)*(YEAR(Table8[[Date]:[Date]])=AR$1),0)</f>
        <v>0</v>
      </c>
      <c r="AS105">
        <f t="shared" si="5"/>
        <v>2238</v>
      </c>
      <c r="AT105" cm="1">
        <f t="array" ref="AT105">_xlfn._xlws.FILTER(Table8[[Day Total]:[Day Total]],(MONTH(Table8[[Date]:[Date]])=$AM105)*(DAY(Table8[[Date]:[Date]])=$AN105)*(YEAR(Table8[[Date]:[Date]])=AT$1),0)</f>
        <v>0</v>
      </c>
      <c r="AU105">
        <f t="shared" si="8"/>
        <v>782</v>
      </c>
      <c r="AV105" cm="1">
        <f t="array" ref="AV105">_xlfn._xlws.FILTER(Table8[[Day Total]:[Day Total]],(MONTH(Table8[[Date]:[Date]])=$AM105)*(DAY(Table8[[Date]:[Date]])=$AN105)*(YEAR(Table8[[Date]:[Date]])=AV$1),0)</f>
        <v>0</v>
      </c>
      <c r="AW105">
        <f t="shared" si="7"/>
        <v>1265</v>
      </c>
    </row>
    <row r="106" spans="22:49" x14ac:dyDescent="0.25">
      <c r="V106" t="s">
        <v>93</v>
      </c>
      <c r="W106">
        <f>_xlfn.IFNA(_xlfn.XMATCH(books[[#This Row],[Book]],Table8[[#Headers],[The Golden Compass]:[end]]),-1)</f>
        <v>-1</v>
      </c>
      <c r="X106">
        <v>105</v>
      </c>
      <c r="Y106" t="s">
        <v>116</v>
      </c>
      <c r="Z106">
        <v>107</v>
      </c>
      <c r="AA106">
        <f>_xlfn.IFNA(SUM(INDEX(Table8[],,_xlfn.XMATCH(books[[#This Row],[Book]],Table8[#Headers]))),0)</f>
        <v>0</v>
      </c>
      <c r="AB106">
        <v>1</v>
      </c>
      <c r="AC106" s="2">
        <f>IF(ISBLANK(books[[#This Row],[pages]]),"",books[[#This Row],[pages read]]/books[[#This Row],[pages]])</f>
        <v>0</v>
      </c>
      <c r="AK106" s="4">
        <v>46327</v>
      </c>
      <c r="AM106">
        <v>4</v>
      </c>
      <c r="AN106">
        <v>14</v>
      </c>
      <c r="AO106" t="str">
        <f t="shared" si="6"/>
        <v>4/14</v>
      </c>
      <c r="AP106" cm="1">
        <f t="array" ref="AP106">_xlfn._xlws.FILTER(Table8[[Day Total]:[Day Total]],(MONTH(Table8[[Date]:[Date]])=$AM106)*(DAY(Table8[[Date]:[Date]])=$AN106)*(YEAR(Table8[[Date]:[Date]])=AP$1),0)</f>
        <v>0</v>
      </c>
      <c r="AR106" cm="1">
        <f t="array" ref="AR106">_xlfn._xlws.FILTER(Table8[[Day Total]:[Day Total]],(MONTH(Table8[[Date]:[Date]])=$AM106)*(DAY(Table8[[Date]:[Date]])=$AN106)*(YEAR(Table8[[Date]:[Date]])=AR$1),0)</f>
        <v>0</v>
      </c>
      <c r="AS106">
        <f t="shared" si="5"/>
        <v>2238</v>
      </c>
      <c r="AT106" cm="1">
        <f t="array" ref="AT106">_xlfn._xlws.FILTER(Table8[[Day Total]:[Day Total]],(MONTH(Table8[[Date]:[Date]])=$AM106)*(DAY(Table8[[Date]:[Date]])=$AN106)*(YEAR(Table8[[Date]:[Date]])=AT$1),0)</f>
        <v>0</v>
      </c>
      <c r="AU106">
        <f t="shared" si="8"/>
        <v>782</v>
      </c>
      <c r="AV106" cm="1">
        <f t="array" ref="AV106">_xlfn._xlws.FILTER(Table8[[Day Total]:[Day Total]],(MONTH(Table8[[Date]:[Date]])=$AM106)*(DAY(Table8[[Date]:[Date]])=$AN106)*(YEAR(Table8[[Date]:[Date]])=AV$1),0)</f>
        <v>76</v>
      </c>
      <c r="AW106">
        <f t="shared" si="7"/>
        <v>1341</v>
      </c>
    </row>
    <row r="107" spans="22:49" x14ac:dyDescent="0.25">
      <c r="V107" t="s">
        <v>94</v>
      </c>
      <c r="W107">
        <f>_xlfn.IFNA(_xlfn.XMATCH(books[[#This Row],[Book]],Table8[[#Headers],[The Golden Compass]:[end]]),-1)</f>
        <v>-1</v>
      </c>
      <c r="X107">
        <v>106</v>
      </c>
      <c r="Y107" t="s">
        <v>116</v>
      </c>
      <c r="Z107">
        <v>108</v>
      </c>
      <c r="AA107">
        <f>_xlfn.IFNA(SUM(INDEX(Table8[],,_xlfn.XMATCH(books[[#This Row],[Book]],Table8[#Headers]))),0)</f>
        <v>0</v>
      </c>
      <c r="AB107">
        <v>1</v>
      </c>
      <c r="AC107" s="2">
        <f>IF(ISBLANK(books[[#This Row],[pages]]),"",books[[#This Row],[pages read]]/books[[#This Row],[pages]])</f>
        <v>0</v>
      </c>
      <c r="AK107" s="4">
        <v>46328</v>
      </c>
      <c r="AM107">
        <v>4</v>
      </c>
      <c r="AN107">
        <v>15</v>
      </c>
      <c r="AO107" t="str">
        <f t="shared" si="6"/>
        <v>4/15</v>
      </c>
      <c r="AP107" cm="1">
        <f t="array" ref="AP107">_xlfn._xlws.FILTER(Table8[[Day Total]:[Day Total]],(MONTH(Table8[[Date]:[Date]])=$AM107)*(DAY(Table8[[Date]:[Date]])=$AN107)*(YEAR(Table8[[Date]:[Date]])=AP$1),0)</f>
        <v>0</v>
      </c>
      <c r="AR107" cm="1">
        <f t="array" ref="AR107">_xlfn._xlws.FILTER(Table8[[Day Total]:[Day Total]],(MONTH(Table8[[Date]:[Date]])=$AM107)*(DAY(Table8[[Date]:[Date]])=$AN107)*(YEAR(Table8[[Date]:[Date]])=AR$1),0)</f>
        <v>0</v>
      </c>
      <c r="AS107">
        <f t="shared" si="5"/>
        <v>2238</v>
      </c>
      <c r="AT107" cm="1">
        <f t="array" ref="AT107">_xlfn._xlws.FILTER(Table8[[Day Total]:[Day Total]],(MONTH(Table8[[Date]:[Date]])=$AM107)*(DAY(Table8[[Date]:[Date]])=$AN107)*(YEAR(Table8[[Date]:[Date]])=AT$1),0)</f>
        <v>0</v>
      </c>
      <c r="AU107">
        <f t="shared" si="8"/>
        <v>782</v>
      </c>
      <c r="AV107" cm="1">
        <f t="array" ref="AV107">_xlfn._xlws.FILTER(Table8[[Day Total]:[Day Total]],(MONTH(Table8[[Date]:[Date]])=$AM107)*(DAY(Table8[[Date]:[Date]])=$AN107)*(YEAR(Table8[[Date]:[Date]])=AV$1),0)</f>
        <v>47</v>
      </c>
      <c r="AW107">
        <f t="shared" si="7"/>
        <v>1388</v>
      </c>
    </row>
    <row r="108" spans="22:49" x14ac:dyDescent="0.25">
      <c r="V108" t="s">
        <v>95</v>
      </c>
      <c r="W108">
        <f>_xlfn.IFNA(_xlfn.XMATCH(books[[#This Row],[Book]],Table8[[#Headers],[The Golden Compass]:[end]]),-1)</f>
        <v>-1</v>
      </c>
      <c r="X108">
        <v>107</v>
      </c>
      <c r="Y108" t="s">
        <v>116</v>
      </c>
      <c r="Z108">
        <v>109</v>
      </c>
      <c r="AA108">
        <f>_xlfn.IFNA(SUM(INDEX(Table8[],,_xlfn.XMATCH(books[[#This Row],[Book]],Table8[#Headers]))),0)</f>
        <v>0</v>
      </c>
      <c r="AB108">
        <v>1</v>
      </c>
      <c r="AC108" s="2">
        <f>IF(ISBLANK(books[[#This Row],[pages]]),"",books[[#This Row],[pages read]]/books[[#This Row],[pages]])</f>
        <v>0</v>
      </c>
      <c r="AK108" s="4">
        <v>46329</v>
      </c>
      <c r="AM108">
        <v>4</v>
      </c>
      <c r="AN108">
        <v>16</v>
      </c>
      <c r="AO108" t="str">
        <f t="shared" si="6"/>
        <v>4/16</v>
      </c>
      <c r="AP108" cm="1">
        <f t="array" ref="AP108">_xlfn._xlws.FILTER(Table8[[Day Total]:[Day Total]],(MONTH(Table8[[Date]:[Date]])=$AM108)*(DAY(Table8[[Date]:[Date]])=$AN108)*(YEAR(Table8[[Date]:[Date]])=AP$1),0)</f>
        <v>0</v>
      </c>
      <c r="AR108" cm="1">
        <f t="array" ref="AR108">_xlfn._xlws.FILTER(Table8[[Day Total]:[Day Total]],(MONTH(Table8[[Date]:[Date]])=$AM108)*(DAY(Table8[[Date]:[Date]])=$AN108)*(YEAR(Table8[[Date]:[Date]])=AR$1),0)</f>
        <v>0</v>
      </c>
      <c r="AS108">
        <f t="shared" si="5"/>
        <v>2238</v>
      </c>
      <c r="AT108" cm="1">
        <f t="array" ref="AT108">_xlfn._xlws.FILTER(Table8[[Day Total]:[Day Total]],(MONTH(Table8[[Date]:[Date]])=$AM108)*(DAY(Table8[[Date]:[Date]])=$AN108)*(YEAR(Table8[[Date]:[Date]])=AT$1),0)</f>
        <v>0</v>
      </c>
      <c r="AU108">
        <f t="shared" si="8"/>
        <v>782</v>
      </c>
      <c r="AV108" cm="1">
        <f t="array" ref="AV108">_xlfn._xlws.FILTER(Table8[[Day Total]:[Day Total]],(MONTH(Table8[[Date]:[Date]])=$AM108)*(DAY(Table8[[Date]:[Date]])=$AN108)*(YEAR(Table8[[Date]:[Date]])=AV$1),0)</f>
        <v>23</v>
      </c>
      <c r="AW108">
        <f t="shared" si="7"/>
        <v>1411</v>
      </c>
    </row>
    <row r="109" spans="22:49" x14ac:dyDescent="0.25">
      <c r="V109" t="s">
        <v>115</v>
      </c>
      <c r="W109">
        <f>_xlfn.IFNA(_xlfn.XMATCH(books[[#This Row],[Book]],Table8[[#Headers],[The Golden Compass]:[end]]),-1)</f>
        <v>47</v>
      </c>
      <c r="X109">
        <v>108</v>
      </c>
      <c r="Y109">
        <v>51</v>
      </c>
      <c r="Z109">
        <v>110</v>
      </c>
      <c r="AA109">
        <f>_xlfn.IFNA(SUM(INDEX(Table8[],,_xlfn.XMATCH(books[[#This Row],[Book]],Table8[#Headers]))),0)</f>
        <v>433</v>
      </c>
      <c r="AB109">
        <f>435-2</f>
        <v>433</v>
      </c>
      <c r="AC109" s="2">
        <f>IF(ISBLANK(books[[#This Row],[pages]]),"",books[[#This Row],[pages read]]/books[[#This Row],[pages]])</f>
        <v>1</v>
      </c>
      <c r="AK109" s="4">
        <v>46330</v>
      </c>
      <c r="AM109">
        <v>4</v>
      </c>
      <c r="AN109">
        <v>17</v>
      </c>
      <c r="AO109" t="str">
        <f t="shared" si="6"/>
        <v>4/17</v>
      </c>
      <c r="AP109" cm="1">
        <f t="array" ref="AP109">_xlfn._xlws.FILTER(Table8[[Day Total]:[Day Total]],(MONTH(Table8[[Date]:[Date]])=$AM109)*(DAY(Table8[[Date]:[Date]])=$AN109)*(YEAR(Table8[[Date]:[Date]])=AP$1),0)</f>
        <v>0</v>
      </c>
      <c r="AR109" cm="1">
        <f t="array" ref="AR109">_xlfn._xlws.FILTER(Table8[[Day Total]:[Day Total]],(MONTH(Table8[[Date]:[Date]])=$AM109)*(DAY(Table8[[Date]:[Date]])=$AN109)*(YEAR(Table8[[Date]:[Date]])=AR$1),0)</f>
        <v>0</v>
      </c>
      <c r="AS109">
        <f t="shared" si="5"/>
        <v>2238</v>
      </c>
      <c r="AT109" cm="1">
        <f t="array" ref="AT109">_xlfn._xlws.FILTER(Table8[[Day Total]:[Day Total]],(MONTH(Table8[[Date]:[Date]])=$AM109)*(DAY(Table8[[Date]:[Date]])=$AN109)*(YEAR(Table8[[Date]:[Date]])=AT$1),0)</f>
        <v>0</v>
      </c>
      <c r="AU109">
        <f t="shared" si="8"/>
        <v>782</v>
      </c>
      <c r="AV109" cm="1">
        <f t="array" ref="AV109">_xlfn._xlws.FILTER(Table8[[Day Total]:[Day Total]],(MONTH(Table8[[Date]:[Date]])=$AM109)*(DAY(Table8[[Date]:[Date]])=$AN109)*(YEAR(Table8[[Date]:[Date]])=AV$1),0)</f>
        <v>0</v>
      </c>
      <c r="AW109">
        <f t="shared" si="7"/>
        <v>1411</v>
      </c>
    </row>
    <row r="110" spans="22:49" x14ac:dyDescent="0.25">
      <c r="V110" t="s">
        <v>167</v>
      </c>
      <c r="W110">
        <f>_xlfn.IFNA(_xlfn.XMATCH(books[[#This Row],[Book]],Table8[[#Headers],[The Golden Compass]:[end]]),-1)</f>
        <v>48</v>
      </c>
      <c r="X110">
        <v>109</v>
      </c>
      <c r="Y110">
        <v>52</v>
      </c>
      <c r="Z110">
        <v>111</v>
      </c>
      <c r="AA110">
        <f>_xlfn.IFNA(SUM(INDEX(Table8[],,_xlfn.XMATCH(books[[#This Row],[Book]],Table8[#Headers]))),0)</f>
        <v>329</v>
      </c>
      <c r="AB110">
        <v>329</v>
      </c>
      <c r="AC110" s="2">
        <f>IF(ISBLANK(books[[#This Row],[pages]]),"",books[[#This Row],[pages read]]/books[[#This Row],[pages]])</f>
        <v>1</v>
      </c>
      <c r="AK110" s="4">
        <v>46331</v>
      </c>
      <c r="AM110">
        <v>4</v>
      </c>
      <c r="AN110">
        <v>18</v>
      </c>
      <c r="AO110" t="str">
        <f t="shared" si="6"/>
        <v>4/18</v>
      </c>
      <c r="AP110" cm="1">
        <f t="array" ref="AP110">_xlfn._xlws.FILTER(Table8[[Day Total]:[Day Total]],(MONTH(Table8[[Date]:[Date]])=$AM110)*(DAY(Table8[[Date]:[Date]])=$AN110)*(YEAR(Table8[[Date]:[Date]])=AP$1),0)</f>
        <v>0</v>
      </c>
      <c r="AR110" cm="1">
        <f t="array" ref="AR110">_xlfn._xlws.FILTER(Table8[[Day Total]:[Day Total]],(MONTH(Table8[[Date]:[Date]])=$AM110)*(DAY(Table8[[Date]:[Date]])=$AN110)*(YEAR(Table8[[Date]:[Date]])=AR$1),0)</f>
        <v>36</v>
      </c>
      <c r="AS110">
        <f t="shared" si="5"/>
        <v>2274</v>
      </c>
      <c r="AT110" cm="1">
        <f t="array" ref="AT110">_xlfn._xlws.FILTER(Table8[[Day Total]:[Day Total]],(MONTH(Table8[[Date]:[Date]])=$AM110)*(DAY(Table8[[Date]:[Date]])=$AN110)*(YEAR(Table8[[Date]:[Date]])=AT$1),0)</f>
        <v>0</v>
      </c>
      <c r="AU110">
        <f t="shared" si="8"/>
        <v>782</v>
      </c>
      <c r="AV110" cm="1">
        <f t="array" ref="AV110">_xlfn._xlws.FILTER(Table8[[Day Total]:[Day Total]],(MONTH(Table8[[Date]:[Date]])=$AM110)*(DAY(Table8[[Date]:[Date]])=$AN110)*(YEAR(Table8[[Date]:[Date]])=AV$1),0)</f>
        <v>0</v>
      </c>
      <c r="AW110">
        <f t="shared" si="7"/>
        <v>1411</v>
      </c>
    </row>
    <row r="111" spans="22:49" x14ac:dyDescent="0.25">
      <c r="V111" t="s">
        <v>168</v>
      </c>
      <c r="W111">
        <f>_xlfn.IFNA(_xlfn.XMATCH(books[[#This Row],[Book]],Table8[[#Headers],[The Golden Compass]:[end]]),-1)</f>
        <v>-1</v>
      </c>
      <c r="X111">
        <v>110</v>
      </c>
      <c r="Y111">
        <v>53</v>
      </c>
      <c r="Z111">
        <v>112</v>
      </c>
      <c r="AA111">
        <f>_xlfn.IFNA(SUM(INDEX(Table8[],,_xlfn.XMATCH(books[[#This Row],[Book]],Table8[#Headers]))),0)</f>
        <v>0</v>
      </c>
      <c r="AC111" s="2" t="str">
        <f>IF(ISBLANK(books[[#This Row],[pages]]),"",books[[#This Row],[pages read]]/books[[#This Row],[pages]])</f>
        <v/>
      </c>
      <c r="AK111" s="4">
        <v>46332</v>
      </c>
      <c r="AM111">
        <v>4</v>
      </c>
      <c r="AN111">
        <v>19</v>
      </c>
      <c r="AO111" t="str">
        <f t="shared" si="6"/>
        <v>4/19</v>
      </c>
      <c r="AP111" cm="1">
        <f t="array" ref="AP111">_xlfn._xlws.FILTER(Table8[[Day Total]:[Day Total]],(MONTH(Table8[[Date]:[Date]])=$AM111)*(DAY(Table8[[Date]:[Date]])=$AN111)*(YEAR(Table8[[Date]:[Date]])=AP$1),0)</f>
        <v>0</v>
      </c>
      <c r="AR111" cm="1">
        <f t="array" ref="AR111">_xlfn._xlws.FILTER(Table8[[Day Total]:[Day Total]],(MONTH(Table8[[Date]:[Date]])=$AM111)*(DAY(Table8[[Date]:[Date]])=$AN111)*(YEAR(Table8[[Date]:[Date]])=AR$1),0)</f>
        <v>0</v>
      </c>
      <c r="AS111">
        <f t="shared" si="5"/>
        <v>2274</v>
      </c>
      <c r="AT111" cm="1">
        <f t="array" ref="AT111">_xlfn._xlws.FILTER(Table8[[Day Total]:[Day Total]],(MONTH(Table8[[Date]:[Date]])=$AM111)*(DAY(Table8[[Date]:[Date]])=$AN111)*(YEAR(Table8[[Date]:[Date]])=AT$1),0)</f>
        <v>0</v>
      </c>
      <c r="AU111">
        <f t="shared" si="8"/>
        <v>782</v>
      </c>
      <c r="AV111" cm="1">
        <f t="array" ref="AV111">_xlfn._xlws.FILTER(Table8[[Day Total]:[Day Total]],(MONTH(Table8[[Date]:[Date]])=$AM111)*(DAY(Table8[[Date]:[Date]])=$AN111)*(YEAR(Table8[[Date]:[Date]])=AV$1),0)</f>
        <v>0</v>
      </c>
      <c r="AW111">
        <f t="shared" si="7"/>
        <v>1411</v>
      </c>
    </row>
    <row r="112" spans="22:49" x14ac:dyDescent="0.25">
      <c r="AK112" s="4">
        <v>46333</v>
      </c>
      <c r="AM112">
        <v>4</v>
      </c>
      <c r="AN112">
        <v>20</v>
      </c>
      <c r="AO112" t="str">
        <f t="shared" si="6"/>
        <v>4/20</v>
      </c>
      <c r="AP112" cm="1">
        <f t="array" ref="AP112">_xlfn._xlws.FILTER(Table8[[Day Total]:[Day Total]],(MONTH(Table8[[Date]:[Date]])=$AM112)*(DAY(Table8[[Date]:[Date]])=$AN112)*(YEAR(Table8[[Date]:[Date]])=AP$1),0)</f>
        <v>0</v>
      </c>
      <c r="AR112" cm="1">
        <f t="array" ref="AR112">_xlfn._xlws.FILTER(Table8[[Day Total]:[Day Total]],(MONTH(Table8[[Date]:[Date]])=$AM112)*(DAY(Table8[[Date]:[Date]])=$AN112)*(YEAR(Table8[[Date]:[Date]])=AR$1),0)</f>
        <v>0</v>
      </c>
      <c r="AS112">
        <f t="shared" si="5"/>
        <v>2274</v>
      </c>
      <c r="AT112" cm="1">
        <f t="array" ref="AT112">_xlfn._xlws.FILTER(Table8[[Day Total]:[Day Total]],(MONTH(Table8[[Date]:[Date]])=$AM112)*(DAY(Table8[[Date]:[Date]])=$AN112)*(YEAR(Table8[[Date]:[Date]])=AT$1),0)</f>
        <v>0</v>
      </c>
      <c r="AU112">
        <f t="shared" si="8"/>
        <v>782</v>
      </c>
      <c r="AV112" cm="1">
        <f t="array" ref="AV112">_xlfn._xlws.FILTER(Table8[[Day Total]:[Day Total]],(MONTH(Table8[[Date]:[Date]])=$AM112)*(DAY(Table8[[Date]:[Date]])=$AN112)*(YEAR(Table8[[Date]:[Date]])=AV$1),0)</f>
        <v>113</v>
      </c>
      <c r="AW112">
        <f t="shared" si="7"/>
        <v>1524</v>
      </c>
    </row>
    <row r="113" spans="38:49" x14ac:dyDescent="0.25">
      <c r="AM113">
        <v>4</v>
      </c>
      <c r="AN113">
        <v>21</v>
      </c>
      <c r="AO113" t="str">
        <f t="shared" si="6"/>
        <v>4/21</v>
      </c>
      <c r="AP113" cm="1">
        <f t="array" ref="AP113">_xlfn._xlws.FILTER(Table8[[Day Total]:[Day Total]],(MONTH(Table8[[Date]:[Date]])=$AM113)*(DAY(Table8[[Date]:[Date]])=$AN113)*(YEAR(Table8[[Date]:[Date]])=AP$1),0)</f>
        <v>0</v>
      </c>
      <c r="AR113" cm="1">
        <f t="array" ref="AR113">_xlfn._xlws.FILTER(Table8[[Day Total]:[Day Total]],(MONTH(Table8[[Date]:[Date]])=$AM113)*(DAY(Table8[[Date]:[Date]])=$AN113)*(YEAR(Table8[[Date]:[Date]])=AR$1),0)</f>
        <v>0</v>
      </c>
      <c r="AS113">
        <f t="shared" si="5"/>
        <v>2274</v>
      </c>
      <c r="AT113" cm="1">
        <f t="array" ref="AT113">_xlfn._xlws.FILTER(Table8[[Day Total]:[Day Total]],(MONTH(Table8[[Date]:[Date]])=$AM113)*(DAY(Table8[[Date]:[Date]])=$AN113)*(YEAR(Table8[[Date]:[Date]])=AT$1),0)</f>
        <v>0</v>
      </c>
      <c r="AU113">
        <f t="shared" si="8"/>
        <v>782</v>
      </c>
      <c r="AV113" cm="1">
        <f t="array" ref="AV113">_xlfn._xlws.FILTER(Table8[[Day Total]:[Day Total]],(MONTH(Table8[[Date]:[Date]])=$AM113)*(DAY(Table8[[Date]:[Date]])=$AN113)*(YEAR(Table8[[Date]:[Date]])=AV$1),0)</f>
        <v>55</v>
      </c>
      <c r="AW113">
        <f t="shared" si="7"/>
        <v>1579</v>
      </c>
    </row>
    <row r="114" spans="38:49" x14ac:dyDescent="0.25">
      <c r="AM114">
        <v>4</v>
      </c>
      <c r="AN114">
        <v>22</v>
      </c>
      <c r="AO114" t="str">
        <f t="shared" si="6"/>
        <v>4/22</v>
      </c>
      <c r="AP114" cm="1">
        <f t="array" ref="AP114">_xlfn._xlws.FILTER(Table8[[Day Total]:[Day Total]],(MONTH(Table8[[Date]:[Date]])=$AM114)*(DAY(Table8[[Date]:[Date]])=$AN114)*(YEAR(Table8[[Date]:[Date]])=AP$1),0)</f>
        <v>0</v>
      </c>
      <c r="AR114" cm="1">
        <f t="array" ref="AR114">_xlfn._xlws.FILTER(Table8[[Day Total]:[Day Total]],(MONTH(Table8[[Date]:[Date]])=$AM114)*(DAY(Table8[[Date]:[Date]])=$AN114)*(YEAR(Table8[[Date]:[Date]])=AR$1),0)</f>
        <v>112</v>
      </c>
      <c r="AS114">
        <f t="shared" si="5"/>
        <v>2386</v>
      </c>
      <c r="AT114" cm="1">
        <f t="array" ref="AT114">_xlfn._xlws.FILTER(Table8[[Day Total]:[Day Total]],(MONTH(Table8[[Date]:[Date]])=$AM114)*(DAY(Table8[[Date]:[Date]])=$AN114)*(YEAR(Table8[[Date]:[Date]])=AT$1),0)</f>
        <v>0</v>
      </c>
      <c r="AU114">
        <f t="shared" si="8"/>
        <v>782</v>
      </c>
      <c r="AV114" cm="1">
        <f t="array" ref="AV114">_xlfn._xlws.FILTER(Table8[[Day Total]:[Day Total]],(MONTH(Table8[[Date]:[Date]])=$AM114)*(DAY(Table8[[Date]:[Date]])=$AN114)*(YEAR(Table8[[Date]:[Date]])=AV$1),0)</f>
        <v>0</v>
      </c>
      <c r="AW114">
        <f t="shared" si="7"/>
        <v>1579</v>
      </c>
    </row>
    <row r="115" spans="38:49" x14ac:dyDescent="0.25">
      <c r="AM115">
        <v>4</v>
      </c>
      <c r="AN115">
        <v>23</v>
      </c>
      <c r="AO115" t="str">
        <f t="shared" si="6"/>
        <v>4/23</v>
      </c>
      <c r="AP115" cm="1">
        <f t="array" ref="AP115">_xlfn._xlws.FILTER(Table8[[Day Total]:[Day Total]],(MONTH(Table8[[Date]:[Date]])=$AM115)*(DAY(Table8[[Date]:[Date]])=$AN115)*(YEAR(Table8[[Date]:[Date]])=AP$1),0)</f>
        <v>0</v>
      </c>
      <c r="AR115" cm="1">
        <f t="array" ref="AR115">_xlfn._xlws.FILTER(Table8[[Day Total]:[Day Total]],(MONTH(Table8[[Date]:[Date]])=$AM115)*(DAY(Table8[[Date]:[Date]])=$AN115)*(YEAR(Table8[[Date]:[Date]])=AR$1),0)</f>
        <v>44</v>
      </c>
      <c r="AS115">
        <f t="shared" si="5"/>
        <v>2430</v>
      </c>
      <c r="AT115" cm="1">
        <f t="array" ref="AT115">_xlfn._xlws.FILTER(Table8[[Day Total]:[Day Total]],(MONTH(Table8[[Date]:[Date]])=$AM115)*(DAY(Table8[[Date]:[Date]])=$AN115)*(YEAR(Table8[[Date]:[Date]])=AT$1),0)</f>
        <v>0</v>
      </c>
      <c r="AU115">
        <f t="shared" si="8"/>
        <v>782</v>
      </c>
      <c r="AV115" cm="1">
        <f t="array" ref="AV115">_xlfn._xlws.FILTER(Table8[[Day Total]:[Day Total]],(MONTH(Table8[[Date]:[Date]])=$AM115)*(DAY(Table8[[Date]:[Date]])=$AN115)*(YEAR(Table8[[Date]:[Date]])=AV$1),0)</f>
        <v>10</v>
      </c>
      <c r="AW115">
        <f t="shared" si="7"/>
        <v>1589</v>
      </c>
    </row>
    <row r="116" spans="38:49" x14ac:dyDescent="0.25">
      <c r="AM116">
        <v>4</v>
      </c>
      <c r="AN116">
        <v>24</v>
      </c>
      <c r="AO116" t="str">
        <f t="shared" si="6"/>
        <v>4/24</v>
      </c>
      <c r="AP116" cm="1">
        <f t="array" ref="AP116">_xlfn._xlws.FILTER(Table8[[Day Total]:[Day Total]],(MONTH(Table8[[Date]:[Date]])=$AM116)*(DAY(Table8[[Date]:[Date]])=$AN116)*(YEAR(Table8[[Date]:[Date]])=AP$1),0)</f>
        <v>0</v>
      </c>
      <c r="AR116" cm="1">
        <f t="array" ref="AR116">_xlfn._xlws.FILTER(Table8[[Day Total]:[Day Total]],(MONTH(Table8[[Date]:[Date]])=$AM116)*(DAY(Table8[[Date]:[Date]])=$AN116)*(YEAR(Table8[[Date]:[Date]])=AR$1),0)</f>
        <v>37</v>
      </c>
      <c r="AS116">
        <f t="shared" si="5"/>
        <v>2467</v>
      </c>
      <c r="AT116" cm="1">
        <f t="array" ref="AT116">_xlfn._xlws.FILTER(Table8[[Day Total]:[Day Total]],(MONTH(Table8[[Date]:[Date]])=$AM116)*(DAY(Table8[[Date]:[Date]])=$AN116)*(YEAR(Table8[[Date]:[Date]])=AT$1),0)</f>
        <v>0</v>
      </c>
      <c r="AU116">
        <f t="shared" si="8"/>
        <v>782</v>
      </c>
      <c r="AV116" cm="1">
        <f t="array" ref="AV116">_xlfn._xlws.FILTER(Table8[[Day Total]:[Day Total]],(MONTH(Table8[[Date]:[Date]])=$AM116)*(DAY(Table8[[Date]:[Date]])=$AN116)*(YEAR(Table8[[Date]:[Date]])=AV$1),0)</f>
        <v>0</v>
      </c>
      <c r="AW116">
        <f t="shared" si="7"/>
        <v>1589</v>
      </c>
    </row>
    <row r="117" spans="38:49" x14ac:dyDescent="0.25">
      <c r="AM117">
        <v>4</v>
      </c>
      <c r="AN117">
        <v>25</v>
      </c>
      <c r="AO117" t="str">
        <f t="shared" si="6"/>
        <v>4/25</v>
      </c>
      <c r="AP117" cm="1">
        <f t="array" ref="AP117">_xlfn._xlws.FILTER(Table8[[Day Total]:[Day Total]],(MONTH(Table8[[Date]:[Date]])=$AM117)*(DAY(Table8[[Date]:[Date]])=$AN117)*(YEAR(Table8[[Date]:[Date]])=AP$1),0)</f>
        <v>0</v>
      </c>
      <c r="AR117" cm="1">
        <f t="array" ref="AR117">_xlfn._xlws.FILTER(Table8[[Day Total]:[Day Total]],(MONTH(Table8[[Date]:[Date]])=$AM117)*(DAY(Table8[[Date]:[Date]])=$AN117)*(YEAR(Table8[[Date]:[Date]])=AR$1),0)</f>
        <v>104</v>
      </c>
      <c r="AS117">
        <f t="shared" si="5"/>
        <v>2571</v>
      </c>
      <c r="AT117" cm="1">
        <f t="array" ref="AT117">_xlfn._xlws.FILTER(Table8[[Day Total]:[Day Total]],(MONTH(Table8[[Date]:[Date]])=$AM117)*(DAY(Table8[[Date]:[Date]])=$AN117)*(YEAR(Table8[[Date]:[Date]])=AT$1),0)</f>
        <v>0</v>
      </c>
      <c r="AU117">
        <f t="shared" si="8"/>
        <v>782</v>
      </c>
      <c r="AV117" cm="1">
        <f t="array" ref="AV117">_xlfn._xlws.FILTER(Table8[[Day Total]:[Day Total]],(MONTH(Table8[[Date]:[Date]])=$AM117)*(DAY(Table8[[Date]:[Date]])=$AN117)*(YEAR(Table8[[Date]:[Date]])=AV$1),0)</f>
        <v>0</v>
      </c>
      <c r="AW117">
        <f t="shared" si="7"/>
        <v>1589</v>
      </c>
    </row>
    <row r="118" spans="38:49" x14ac:dyDescent="0.25">
      <c r="AM118">
        <v>4</v>
      </c>
      <c r="AN118">
        <v>26</v>
      </c>
      <c r="AO118" t="str">
        <f t="shared" si="6"/>
        <v>4/26</v>
      </c>
      <c r="AP118" cm="1">
        <f t="array" ref="AP118">_xlfn._xlws.FILTER(Table8[[Day Total]:[Day Total]],(MONTH(Table8[[Date]:[Date]])=$AM118)*(DAY(Table8[[Date]:[Date]])=$AN118)*(YEAR(Table8[[Date]:[Date]])=AP$1),0)</f>
        <v>0</v>
      </c>
      <c r="AR118" cm="1">
        <f t="array" ref="AR118">_xlfn._xlws.FILTER(Table8[[Day Total]:[Day Total]],(MONTH(Table8[[Date]:[Date]])=$AM118)*(DAY(Table8[[Date]:[Date]])=$AN118)*(YEAR(Table8[[Date]:[Date]])=AR$1),0)</f>
        <v>79</v>
      </c>
      <c r="AS118">
        <f t="shared" si="5"/>
        <v>2650</v>
      </c>
      <c r="AT118" cm="1">
        <f t="array" ref="AT118">_xlfn._xlws.FILTER(Table8[[Day Total]:[Day Total]],(MONTH(Table8[[Date]:[Date]])=$AM118)*(DAY(Table8[[Date]:[Date]])=$AN118)*(YEAR(Table8[[Date]:[Date]])=AT$1),0)</f>
        <v>0</v>
      </c>
      <c r="AU118">
        <f t="shared" si="8"/>
        <v>782</v>
      </c>
      <c r="AV118" cm="1">
        <f t="array" ref="AV118">_xlfn._xlws.FILTER(Table8[[Day Total]:[Day Total]],(MONTH(Table8[[Date]:[Date]])=$AM118)*(DAY(Table8[[Date]:[Date]])=$AN118)*(YEAR(Table8[[Date]:[Date]])=AV$1),0)</f>
        <v>0</v>
      </c>
      <c r="AW118">
        <f t="shared" si="7"/>
        <v>1589</v>
      </c>
    </row>
    <row r="119" spans="38:49" x14ac:dyDescent="0.25">
      <c r="AM119">
        <v>4</v>
      </c>
      <c r="AN119">
        <v>27</v>
      </c>
      <c r="AO119" t="str">
        <f t="shared" si="6"/>
        <v>4/27</v>
      </c>
      <c r="AP119" cm="1">
        <f t="array" ref="AP119">_xlfn._xlws.FILTER(Table8[[Day Total]:[Day Total]],(MONTH(Table8[[Date]:[Date]])=$AM119)*(DAY(Table8[[Date]:[Date]])=$AN119)*(YEAR(Table8[[Date]:[Date]])=AP$1),0)</f>
        <v>0</v>
      </c>
      <c r="AR119" cm="1">
        <f t="array" ref="AR119">_xlfn._xlws.FILTER(Table8[[Day Total]:[Day Total]],(MONTH(Table8[[Date]:[Date]])=$AM119)*(DAY(Table8[[Date]:[Date]])=$AN119)*(YEAR(Table8[[Date]:[Date]])=AR$1),0)</f>
        <v>64</v>
      </c>
      <c r="AS119">
        <f t="shared" si="5"/>
        <v>2714</v>
      </c>
      <c r="AT119" cm="1">
        <f t="array" ref="AT119">_xlfn._xlws.FILTER(Table8[[Day Total]:[Day Total]],(MONTH(Table8[[Date]:[Date]])=$AM119)*(DAY(Table8[[Date]:[Date]])=$AN119)*(YEAR(Table8[[Date]:[Date]])=AT$1),0)</f>
        <v>0</v>
      </c>
      <c r="AU119">
        <f t="shared" si="8"/>
        <v>782</v>
      </c>
      <c r="AV119" cm="1">
        <f t="array" ref="AV119">_xlfn._xlws.FILTER(Table8[[Day Total]:[Day Total]],(MONTH(Table8[[Date]:[Date]])=$AM119)*(DAY(Table8[[Date]:[Date]])=$AN119)*(YEAR(Table8[[Date]:[Date]])=AV$1),0)</f>
        <v>0</v>
      </c>
      <c r="AW119">
        <f t="shared" si="7"/>
        <v>1589</v>
      </c>
    </row>
    <row r="120" spans="38:49" x14ac:dyDescent="0.25">
      <c r="AM120">
        <v>4</v>
      </c>
      <c r="AN120">
        <v>28</v>
      </c>
      <c r="AO120" t="str">
        <f t="shared" si="6"/>
        <v>4/28</v>
      </c>
      <c r="AP120" cm="1">
        <f t="array" ref="AP120">_xlfn._xlws.FILTER(Table8[[Day Total]:[Day Total]],(MONTH(Table8[[Date]:[Date]])=$AM120)*(DAY(Table8[[Date]:[Date]])=$AN120)*(YEAR(Table8[[Date]:[Date]])=AP$1),0)</f>
        <v>0</v>
      </c>
      <c r="AR120" cm="1">
        <f t="array" ref="AR120">_xlfn._xlws.FILTER(Table8[[Day Total]:[Day Total]],(MONTH(Table8[[Date]:[Date]])=$AM120)*(DAY(Table8[[Date]:[Date]])=$AN120)*(YEAR(Table8[[Date]:[Date]])=AR$1),0)</f>
        <v>64</v>
      </c>
      <c r="AS120">
        <f t="shared" si="5"/>
        <v>2778</v>
      </c>
      <c r="AT120" cm="1">
        <f t="array" ref="AT120">_xlfn._xlws.FILTER(Table8[[Day Total]:[Day Total]],(MONTH(Table8[[Date]:[Date]])=$AM120)*(DAY(Table8[[Date]:[Date]])=$AN120)*(YEAR(Table8[[Date]:[Date]])=AT$1),0)</f>
        <v>0</v>
      </c>
      <c r="AU120">
        <f t="shared" si="8"/>
        <v>782</v>
      </c>
      <c r="AV120" cm="1">
        <f t="array" ref="AV120">_xlfn._xlws.FILTER(Table8[[Day Total]:[Day Total]],(MONTH(Table8[[Date]:[Date]])=$AM120)*(DAY(Table8[[Date]:[Date]])=$AN120)*(YEAR(Table8[[Date]:[Date]])=AV$1),0)</f>
        <v>0</v>
      </c>
      <c r="AW120">
        <f t="shared" si="7"/>
        <v>1589</v>
      </c>
    </row>
    <row r="121" spans="38:49" x14ac:dyDescent="0.25">
      <c r="AM121">
        <v>4</v>
      </c>
      <c r="AN121">
        <v>29</v>
      </c>
      <c r="AO121" t="str">
        <f t="shared" si="6"/>
        <v>4/29</v>
      </c>
      <c r="AP121" cm="1">
        <f t="array" ref="AP121">_xlfn._xlws.FILTER(Table8[[Day Total]:[Day Total]],(MONTH(Table8[[Date]:[Date]])=$AM121)*(DAY(Table8[[Date]:[Date]])=$AN121)*(YEAR(Table8[[Date]:[Date]])=AP$1),0)</f>
        <v>0</v>
      </c>
      <c r="AR121" cm="1">
        <f t="array" ref="AR121">_xlfn._xlws.FILTER(Table8[[Day Total]:[Day Total]],(MONTH(Table8[[Date]:[Date]])=$AM121)*(DAY(Table8[[Date]:[Date]])=$AN121)*(YEAR(Table8[[Date]:[Date]])=AR$1),0)</f>
        <v>81</v>
      </c>
      <c r="AS121">
        <f t="shared" si="5"/>
        <v>2859</v>
      </c>
      <c r="AT121" cm="1">
        <f t="array" ref="AT121">_xlfn._xlws.FILTER(Table8[[Day Total]:[Day Total]],(MONTH(Table8[[Date]:[Date]])=$AM121)*(DAY(Table8[[Date]:[Date]])=$AN121)*(YEAR(Table8[[Date]:[Date]])=AT$1),0)</f>
        <v>0</v>
      </c>
      <c r="AU121">
        <f t="shared" si="8"/>
        <v>782</v>
      </c>
      <c r="AV121" cm="1">
        <f t="array" ref="AV121">_xlfn._xlws.FILTER(Table8[[Day Total]:[Day Total]],(MONTH(Table8[[Date]:[Date]])=$AM121)*(DAY(Table8[[Date]:[Date]])=$AN121)*(YEAR(Table8[[Date]:[Date]])=AV$1),0)</f>
        <v>0</v>
      </c>
      <c r="AW121">
        <f t="shared" si="7"/>
        <v>1589</v>
      </c>
    </row>
    <row r="122" spans="38:49" x14ac:dyDescent="0.25">
      <c r="AM122">
        <v>4</v>
      </c>
      <c r="AN122">
        <v>30</v>
      </c>
      <c r="AO122" t="str">
        <f t="shared" si="6"/>
        <v>4/30</v>
      </c>
      <c r="AP122" cm="1">
        <f t="array" ref="AP122">_xlfn._xlws.FILTER(Table8[[Day Total]:[Day Total]],(MONTH(Table8[[Date]:[Date]])=$AM122)*(DAY(Table8[[Date]:[Date]])=$AN122)*(YEAR(Table8[[Date]:[Date]])=AP$1),0)</f>
        <v>0</v>
      </c>
      <c r="AR122" cm="1">
        <f t="array" ref="AR122">_xlfn._xlws.FILTER(Table8[[Day Total]:[Day Total]],(MONTH(Table8[[Date]:[Date]])=$AM122)*(DAY(Table8[[Date]:[Date]])=$AN122)*(YEAR(Table8[[Date]:[Date]])=AR$1),0)</f>
        <v>54</v>
      </c>
      <c r="AS122">
        <f t="shared" si="5"/>
        <v>2913</v>
      </c>
      <c r="AT122" cm="1">
        <f t="array" ref="AT122">_xlfn._xlws.FILTER(Table8[[Day Total]:[Day Total]],(MONTH(Table8[[Date]:[Date]])=$AM122)*(DAY(Table8[[Date]:[Date]])=$AN122)*(YEAR(Table8[[Date]:[Date]])=AT$1),0)</f>
        <v>0</v>
      </c>
      <c r="AU122">
        <f t="shared" si="8"/>
        <v>782</v>
      </c>
      <c r="AV122" cm="1">
        <f t="array" ref="AV122">_xlfn._xlws.FILTER(Table8[[Day Total]:[Day Total]],(MONTH(Table8[[Date]:[Date]])=$AM122)*(DAY(Table8[[Date]:[Date]])=$AN122)*(YEAR(Table8[[Date]:[Date]])=AV$1),0)</f>
        <v>0</v>
      </c>
      <c r="AW122">
        <f t="shared" si="7"/>
        <v>1589</v>
      </c>
    </row>
    <row r="123" spans="38:49" x14ac:dyDescent="0.25">
      <c r="AL123" t="s">
        <v>2</v>
      </c>
      <c r="AM123">
        <v>5</v>
      </c>
      <c r="AN123">
        <v>1</v>
      </c>
      <c r="AO123" t="str">
        <f t="shared" si="6"/>
        <v>5/1</v>
      </c>
      <c r="AP123" cm="1">
        <f t="array" ref="AP123">_xlfn._xlws.FILTER(Table8[[Day Total]:[Day Total]],(MONTH(Table8[[Date]:[Date]])=$AM123)*(DAY(Table8[[Date]:[Date]])=$AN123)*(YEAR(Table8[[Date]:[Date]])=AP$1),0)</f>
        <v>0</v>
      </c>
      <c r="AR123" cm="1">
        <f t="array" ref="AR123">_xlfn._xlws.FILTER(Table8[[Day Total]:[Day Total]],(MONTH(Table8[[Date]:[Date]])=$AM123)*(DAY(Table8[[Date]:[Date]])=$AN123)*(YEAR(Table8[[Date]:[Date]])=AR$1),0)</f>
        <v>39</v>
      </c>
      <c r="AS123">
        <f t="shared" si="5"/>
        <v>2952</v>
      </c>
      <c r="AT123" cm="1">
        <f t="array" ref="AT123">_xlfn._xlws.FILTER(Table8[[Day Total]:[Day Total]],(MONTH(Table8[[Date]:[Date]])=$AM123)*(DAY(Table8[[Date]:[Date]])=$AN123)*(YEAR(Table8[[Date]:[Date]])=AT$1),0)</f>
        <v>0</v>
      </c>
      <c r="AU123">
        <f t="shared" si="8"/>
        <v>782</v>
      </c>
      <c r="AV123" cm="1">
        <f t="array" ref="AV123">_xlfn._xlws.FILTER(Table8[[Day Total]:[Day Total]],(MONTH(Table8[[Date]:[Date]])=$AM123)*(DAY(Table8[[Date]:[Date]])=$AN123)*(YEAR(Table8[[Date]:[Date]])=AV$1),0)</f>
        <v>0</v>
      </c>
      <c r="AW123">
        <f t="shared" si="7"/>
        <v>1589</v>
      </c>
    </row>
    <row r="124" spans="38:49" x14ac:dyDescent="0.25">
      <c r="AM124">
        <v>5</v>
      </c>
      <c r="AN124">
        <v>2</v>
      </c>
      <c r="AO124" t="str">
        <f t="shared" si="6"/>
        <v>5/2</v>
      </c>
      <c r="AP124" cm="1">
        <f t="array" ref="AP124">_xlfn._xlws.FILTER(Table8[[Day Total]:[Day Total]],(MONTH(Table8[[Date]:[Date]])=$AM124)*(DAY(Table8[[Date]:[Date]])=$AN124)*(YEAR(Table8[[Date]:[Date]])=AP$1),0)</f>
        <v>0</v>
      </c>
      <c r="AR124" cm="1">
        <f t="array" ref="AR124">_xlfn._xlws.FILTER(Table8[[Day Total]:[Day Total]],(MONTH(Table8[[Date]:[Date]])=$AM124)*(DAY(Table8[[Date]:[Date]])=$AN124)*(YEAR(Table8[[Date]:[Date]])=AR$1),0)</f>
        <v>0</v>
      </c>
      <c r="AS124">
        <f t="shared" si="5"/>
        <v>2952</v>
      </c>
      <c r="AT124" cm="1">
        <f t="array" ref="AT124">_xlfn._xlws.FILTER(Table8[[Day Total]:[Day Total]],(MONTH(Table8[[Date]:[Date]])=$AM124)*(DAY(Table8[[Date]:[Date]])=$AN124)*(YEAR(Table8[[Date]:[Date]])=AT$1),0)</f>
        <v>0</v>
      </c>
      <c r="AU124">
        <f t="shared" si="8"/>
        <v>782</v>
      </c>
      <c r="AV124" cm="1">
        <f t="array" ref="AV124">_xlfn._xlws.FILTER(Table8[[Day Total]:[Day Total]],(MONTH(Table8[[Date]:[Date]])=$AM124)*(DAY(Table8[[Date]:[Date]])=$AN124)*(YEAR(Table8[[Date]:[Date]])=AV$1),0)</f>
        <v>0</v>
      </c>
      <c r="AW124">
        <f t="shared" si="7"/>
        <v>1589</v>
      </c>
    </row>
    <row r="125" spans="38:49" x14ac:dyDescent="0.25">
      <c r="AM125">
        <v>5</v>
      </c>
      <c r="AN125">
        <v>3</v>
      </c>
      <c r="AO125" t="str">
        <f t="shared" si="6"/>
        <v>5/3</v>
      </c>
      <c r="AP125" cm="1">
        <f t="array" ref="AP125">_xlfn._xlws.FILTER(Table8[[Day Total]:[Day Total]],(MONTH(Table8[[Date]:[Date]])=$AM125)*(DAY(Table8[[Date]:[Date]])=$AN125)*(YEAR(Table8[[Date]:[Date]])=AP$1),0)</f>
        <v>0</v>
      </c>
      <c r="AR125" cm="1">
        <f t="array" ref="AR125">_xlfn._xlws.FILTER(Table8[[Day Total]:[Day Total]],(MONTH(Table8[[Date]:[Date]])=$AM125)*(DAY(Table8[[Date]:[Date]])=$AN125)*(YEAR(Table8[[Date]:[Date]])=AR$1),0)</f>
        <v>0</v>
      </c>
      <c r="AS125">
        <f t="shared" si="5"/>
        <v>2952</v>
      </c>
      <c r="AT125" cm="1">
        <f t="array" ref="AT125">_xlfn._xlws.FILTER(Table8[[Day Total]:[Day Total]],(MONTH(Table8[[Date]:[Date]])=$AM125)*(DAY(Table8[[Date]:[Date]])=$AN125)*(YEAR(Table8[[Date]:[Date]])=AT$1),0)</f>
        <v>0</v>
      </c>
      <c r="AU125">
        <f t="shared" si="8"/>
        <v>782</v>
      </c>
      <c r="AV125" cm="1">
        <f t="array" ref="AV125">_xlfn._xlws.FILTER(Table8[[Day Total]:[Day Total]],(MONTH(Table8[[Date]:[Date]])=$AM125)*(DAY(Table8[[Date]:[Date]])=$AN125)*(YEAR(Table8[[Date]:[Date]])=AV$1),0)</f>
        <v>0</v>
      </c>
      <c r="AW125">
        <f t="shared" si="7"/>
        <v>1589</v>
      </c>
    </row>
    <row r="126" spans="38:49" x14ac:dyDescent="0.25">
      <c r="AM126">
        <v>5</v>
      </c>
      <c r="AN126">
        <v>4</v>
      </c>
      <c r="AO126" t="str">
        <f t="shared" si="6"/>
        <v>5/4</v>
      </c>
      <c r="AP126" cm="1">
        <f t="array" ref="AP126">_xlfn._xlws.FILTER(Table8[[Day Total]:[Day Total]],(MONTH(Table8[[Date]:[Date]])=$AM126)*(DAY(Table8[[Date]:[Date]])=$AN126)*(YEAR(Table8[[Date]:[Date]])=AP$1),0)</f>
        <v>0</v>
      </c>
      <c r="AR126" cm="1">
        <f t="array" ref="AR126">_xlfn._xlws.FILTER(Table8[[Day Total]:[Day Total]],(MONTH(Table8[[Date]:[Date]])=$AM126)*(DAY(Table8[[Date]:[Date]])=$AN126)*(YEAR(Table8[[Date]:[Date]])=AR$1),0)</f>
        <v>0</v>
      </c>
      <c r="AS126">
        <f t="shared" si="5"/>
        <v>2952</v>
      </c>
      <c r="AT126" cm="1">
        <f t="array" ref="AT126">_xlfn._xlws.FILTER(Table8[[Day Total]:[Day Total]],(MONTH(Table8[[Date]:[Date]])=$AM126)*(DAY(Table8[[Date]:[Date]])=$AN126)*(YEAR(Table8[[Date]:[Date]])=AT$1),0)</f>
        <v>0</v>
      </c>
      <c r="AU126">
        <f t="shared" si="8"/>
        <v>782</v>
      </c>
      <c r="AV126" cm="1">
        <f t="array" ref="AV126">_xlfn._xlws.FILTER(Table8[[Day Total]:[Day Total]],(MONTH(Table8[[Date]:[Date]])=$AM126)*(DAY(Table8[[Date]:[Date]])=$AN126)*(YEAR(Table8[[Date]:[Date]])=AV$1),0)</f>
        <v>0</v>
      </c>
      <c r="AW126">
        <f t="shared" si="7"/>
        <v>1589</v>
      </c>
    </row>
    <row r="127" spans="38:49" x14ac:dyDescent="0.25">
      <c r="AM127">
        <v>5</v>
      </c>
      <c r="AN127">
        <v>5</v>
      </c>
      <c r="AO127" t="str">
        <f t="shared" si="6"/>
        <v>5/5</v>
      </c>
      <c r="AP127" cm="1">
        <f t="array" ref="AP127">_xlfn._xlws.FILTER(Table8[[Day Total]:[Day Total]],(MONTH(Table8[[Date]:[Date]])=$AM127)*(DAY(Table8[[Date]:[Date]])=$AN127)*(YEAR(Table8[[Date]:[Date]])=AP$1),0)</f>
        <v>0</v>
      </c>
      <c r="AR127" cm="1">
        <f t="array" ref="AR127">_xlfn._xlws.FILTER(Table8[[Day Total]:[Day Total]],(MONTH(Table8[[Date]:[Date]])=$AM127)*(DAY(Table8[[Date]:[Date]])=$AN127)*(YEAR(Table8[[Date]:[Date]])=AR$1),0)</f>
        <v>0</v>
      </c>
      <c r="AS127">
        <f t="shared" si="5"/>
        <v>2952</v>
      </c>
      <c r="AT127" cm="1">
        <f t="array" ref="AT127">_xlfn._xlws.FILTER(Table8[[Day Total]:[Day Total]],(MONTH(Table8[[Date]:[Date]])=$AM127)*(DAY(Table8[[Date]:[Date]])=$AN127)*(YEAR(Table8[[Date]:[Date]])=AT$1),0)</f>
        <v>0</v>
      </c>
      <c r="AU127">
        <f t="shared" si="8"/>
        <v>782</v>
      </c>
      <c r="AV127" cm="1">
        <f t="array" ref="AV127">_xlfn._xlws.FILTER(Table8[[Day Total]:[Day Total]],(MONTH(Table8[[Date]:[Date]])=$AM127)*(DAY(Table8[[Date]:[Date]])=$AN127)*(YEAR(Table8[[Date]:[Date]])=AV$1),0)</f>
        <v>0</v>
      </c>
      <c r="AW127">
        <f t="shared" si="7"/>
        <v>1589</v>
      </c>
    </row>
    <row r="128" spans="38:49" x14ac:dyDescent="0.25">
      <c r="AM128">
        <v>5</v>
      </c>
      <c r="AN128">
        <v>6</v>
      </c>
      <c r="AO128" t="str">
        <f t="shared" si="6"/>
        <v>5/6</v>
      </c>
      <c r="AP128" cm="1">
        <f t="array" ref="AP128">_xlfn._xlws.FILTER(Table8[[Day Total]:[Day Total]],(MONTH(Table8[[Date]:[Date]])=$AM128)*(DAY(Table8[[Date]:[Date]])=$AN128)*(YEAR(Table8[[Date]:[Date]])=AP$1),0)</f>
        <v>0</v>
      </c>
      <c r="AR128" cm="1">
        <f t="array" ref="AR128">_xlfn._xlws.FILTER(Table8[[Day Total]:[Day Total]],(MONTH(Table8[[Date]:[Date]])=$AM128)*(DAY(Table8[[Date]:[Date]])=$AN128)*(YEAR(Table8[[Date]:[Date]])=AR$1),0)</f>
        <v>44</v>
      </c>
      <c r="AS128">
        <f t="shared" si="5"/>
        <v>2996</v>
      </c>
      <c r="AT128" cm="1">
        <f t="array" ref="AT128">_xlfn._xlws.FILTER(Table8[[Day Total]:[Day Total]],(MONTH(Table8[[Date]:[Date]])=$AM128)*(DAY(Table8[[Date]:[Date]])=$AN128)*(YEAR(Table8[[Date]:[Date]])=AT$1),0)</f>
        <v>0</v>
      </c>
      <c r="AU128">
        <f t="shared" si="8"/>
        <v>782</v>
      </c>
      <c r="AV128" cm="1">
        <f t="array" ref="AV128">_xlfn._xlws.FILTER(Table8[[Day Total]:[Day Total]],(MONTH(Table8[[Date]:[Date]])=$AM128)*(DAY(Table8[[Date]:[Date]])=$AN128)*(YEAR(Table8[[Date]:[Date]])=AV$1),0)</f>
        <v>0</v>
      </c>
      <c r="AW128">
        <f t="shared" si="7"/>
        <v>1589</v>
      </c>
    </row>
    <row r="129" spans="39:49" x14ac:dyDescent="0.25">
      <c r="AM129">
        <v>5</v>
      </c>
      <c r="AN129">
        <v>7</v>
      </c>
      <c r="AO129" t="str">
        <f t="shared" si="6"/>
        <v>5/7</v>
      </c>
      <c r="AP129" cm="1">
        <f t="array" ref="AP129">_xlfn._xlws.FILTER(Table8[[Day Total]:[Day Total]],(MONTH(Table8[[Date]:[Date]])=$AM129)*(DAY(Table8[[Date]:[Date]])=$AN129)*(YEAR(Table8[[Date]:[Date]])=AP$1),0)</f>
        <v>0</v>
      </c>
      <c r="AR129" cm="1">
        <f t="array" ref="AR129">_xlfn._xlws.FILTER(Table8[[Day Total]:[Day Total]],(MONTH(Table8[[Date]:[Date]])=$AM129)*(DAY(Table8[[Date]:[Date]])=$AN129)*(YEAR(Table8[[Date]:[Date]])=AR$1),0)</f>
        <v>24</v>
      </c>
      <c r="AS129">
        <f t="shared" si="5"/>
        <v>3020</v>
      </c>
      <c r="AT129" cm="1">
        <f t="array" ref="AT129">_xlfn._xlws.FILTER(Table8[[Day Total]:[Day Total]],(MONTH(Table8[[Date]:[Date]])=$AM129)*(DAY(Table8[[Date]:[Date]])=$AN129)*(YEAR(Table8[[Date]:[Date]])=AT$1),0)</f>
        <v>0</v>
      </c>
      <c r="AU129">
        <f t="shared" si="8"/>
        <v>782</v>
      </c>
      <c r="AV129" cm="1">
        <f t="array" ref="AV129">_xlfn._xlws.FILTER(Table8[[Day Total]:[Day Total]],(MONTH(Table8[[Date]:[Date]])=$AM129)*(DAY(Table8[[Date]:[Date]])=$AN129)*(YEAR(Table8[[Date]:[Date]])=AV$1),0)</f>
        <v>0</v>
      </c>
      <c r="AW129">
        <f t="shared" si="7"/>
        <v>1589</v>
      </c>
    </row>
    <row r="130" spans="39:49" x14ac:dyDescent="0.25">
      <c r="AM130">
        <v>5</v>
      </c>
      <c r="AN130">
        <v>8</v>
      </c>
      <c r="AO130" t="str">
        <f t="shared" si="6"/>
        <v>5/8</v>
      </c>
      <c r="AP130" cm="1">
        <f t="array" ref="AP130">_xlfn._xlws.FILTER(Table8[[Day Total]:[Day Total]],(MONTH(Table8[[Date]:[Date]])=$AM130)*(DAY(Table8[[Date]:[Date]])=$AN130)*(YEAR(Table8[[Date]:[Date]])=AP$1),0)</f>
        <v>0</v>
      </c>
      <c r="AR130" cm="1">
        <f t="array" ref="AR130">_xlfn._xlws.FILTER(Table8[[Day Total]:[Day Total]],(MONTH(Table8[[Date]:[Date]])=$AM130)*(DAY(Table8[[Date]:[Date]])=$AN130)*(YEAR(Table8[[Date]:[Date]])=AR$1),0)</f>
        <v>1</v>
      </c>
      <c r="AS130">
        <f t="shared" ref="AS130:AS193" si="9">AS129+AR130</f>
        <v>3021</v>
      </c>
      <c r="AT130" cm="1">
        <f t="array" ref="AT130">_xlfn._xlws.FILTER(Table8[[Day Total]:[Day Total]],(MONTH(Table8[[Date]:[Date]])=$AM130)*(DAY(Table8[[Date]:[Date]])=$AN130)*(YEAR(Table8[[Date]:[Date]])=AT$1),0)</f>
        <v>0</v>
      </c>
      <c r="AU130">
        <f t="shared" si="8"/>
        <v>782</v>
      </c>
      <c r="AV130" cm="1">
        <f t="array" ref="AV130">_xlfn._xlws.FILTER(Table8[[Day Total]:[Day Total]],(MONTH(Table8[[Date]:[Date]])=$AM130)*(DAY(Table8[[Date]:[Date]])=$AN130)*(YEAR(Table8[[Date]:[Date]])=AV$1),0)</f>
        <v>0</v>
      </c>
      <c r="AW130">
        <f t="shared" si="7"/>
        <v>1589</v>
      </c>
    </row>
    <row r="131" spans="39:49" x14ac:dyDescent="0.25">
      <c r="AM131">
        <v>5</v>
      </c>
      <c r="AN131">
        <v>9</v>
      </c>
      <c r="AO131" t="str">
        <f t="shared" ref="AO131:AO194" si="10">_xlfn.CONCAT(AM131,"/",AN131)</f>
        <v>5/9</v>
      </c>
      <c r="AP131" cm="1">
        <f t="array" ref="AP131">_xlfn._xlws.FILTER(Table8[[Day Total]:[Day Total]],(MONTH(Table8[[Date]:[Date]])=$AM131)*(DAY(Table8[[Date]:[Date]])=$AN131)*(YEAR(Table8[[Date]:[Date]])=AP$1),0)</f>
        <v>0</v>
      </c>
      <c r="AR131" cm="1">
        <f t="array" ref="AR131">_xlfn._xlws.FILTER(Table8[[Day Total]:[Day Total]],(MONTH(Table8[[Date]:[Date]])=$AM131)*(DAY(Table8[[Date]:[Date]])=$AN131)*(YEAR(Table8[[Date]:[Date]])=AR$1),0)</f>
        <v>22</v>
      </c>
      <c r="AS131">
        <f t="shared" si="9"/>
        <v>3043</v>
      </c>
      <c r="AT131" cm="1">
        <f t="array" ref="AT131">_xlfn._xlws.FILTER(Table8[[Day Total]:[Day Total]],(MONTH(Table8[[Date]:[Date]])=$AM131)*(DAY(Table8[[Date]:[Date]])=$AN131)*(YEAR(Table8[[Date]:[Date]])=AT$1),0)</f>
        <v>0</v>
      </c>
      <c r="AU131">
        <f t="shared" si="8"/>
        <v>782</v>
      </c>
      <c r="AV131" cm="1">
        <f t="array" ref="AV131">_xlfn._xlws.FILTER(Table8[[Day Total]:[Day Total]],(MONTH(Table8[[Date]:[Date]])=$AM131)*(DAY(Table8[[Date]:[Date]])=$AN131)*(YEAR(Table8[[Date]:[Date]])=AV$1),0)</f>
        <v>0</v>
      </c>
      <c r="AW131">
        <f t="shared" si="7"/>
        <v>1589</v>
      </c>
    </row>
    <row r="132" spans="39:49" x14ac:dyDescent="0.25">
      <c r="AM132">
        <v>5</v>
      </c>
      <c r="AN132">
        <v>10</v>
      </c>
      <c r="AO132" t="str">
        <f t="shared" si="10"/>
        <v>5/10</v>
      </c>
      <c r="AP132" cm="1">
        <f t="array" ref="AP132">_xlfn._xlws.FILTER(Table8[[Day Total]:[Day Total]],(MONTH(Table8[[Date]:[Date]])=$AM132)*(DAY(Table8[[Date]:[Date]])=$AN132)*(YEAR(Table8[[Date]:[Date]])=AP$1),0)</f>
        <v>0</v>
      </c>
      <c r="AR132" cm="1">
        <f t="array" ref="AR132">_xlfn._xlws.FILTER(Table8[[Day Total]:[Day Total]],(MONTH(Table8[[Date]:[Date]])=$AM132)*(DAY(Table8[[Date]:[Date]])=$AN132)*(YEAR(Table8[[Date]:[Date]])=AR$1),0)</f>
        <v>0</v>
      </c>
      <c r="AS132">
        <f t="shared" si="9"/>
        <v>3043</v>
      </c>
      <c r="AT132" cm="1">
        <f t="array" ref="AT132">_xlfn._xlws.FILTER(Table8[[Day Total]:[Day Total]],(MONTH(Table8[[Date]:[Date]])=$AM132)*(DAY(Table8[[Date]:[Date]])=$AN132)*(YEAR(Table8[[Date]:[Date]])=AT$1),0)</f>
        <v>0</v>
      </c>
      <c r="AU132">
        <f t="shared" si="8"/>
        <v>782</v>
      </c>
      <c r="AV132" cm="1">
        <f t="array" ref="AV132">_xlfn._xlws.FILTER(Table8[[Day Total]:[Day Total]],(MONTH(Table8[[Date]:[Date]])=$AM132)*(DAY(Table8[[Date]:[Date]])=$AN132)*(YEAR(Table8[[Date]:[Date]])=AV$1),0)</f>
        <v>0</v>
      </c>
      <c r="AW132">
        <f t="shared" si="7"/>
        <v>1589</v>
      </c>
    </row>
    <row r="133" spans="39:49" x14ac:dyDescent="0.25">
      <c r="AM133">
        <v>5</v>
      </c>
      <c r="AN133">
        <v>11</v>
      </c>
      <c r="AO133" t="str">
        <f t="shared" si="10"/>
        <v>5/11</v>
      </c>
      <c r="AP133" cm="1">
        <f t="array" ref="AP133">_xlfn._xlws.FILTER(Table8[[Day Total]:[Day Total]],(MONTH(Table8[[Date]:[Date]])=$AM133)*(DAY(Table8[[Date]:[Date]])=$AN133)*(YEAR(Table8[[Date]:[Date]])=AP$1),0)</f>
        <v>0</v>
      </c>
      <c r="AR133" cm="1">
        <f t="array" ref="AR133">_xlfn._xlws.FILTER(Table8[[Day Total]:[Day Total]],(MONTH(Table8[[Date]:[Date]])=$AM133)*(DAY(Table8[[Date]:[Date]])=$AN133)*(YEAR(Table8[[Date]:[Date]])=AR$1),0)</f>
        <v>10</v>
      </c>
      <c r="AS133">
        <f t="shared" si="9"/>
        <v>3053</v>
      </c>
      <c r="AT133" cm="1">
        <f t="array" ref="AT133">_xlfn._xlws.FILTER(Table8[[Day Total]:[Day Total]],(MONTH(Table8[[Date]:[Date]])=$AM133)*(DAY(Table8[[Date]:[Date]])=$AN133)*(YEAR(Table8[[Date]:[Date]])=AT$1),0)</f>
        <v>0</v>
      </c>
      <c r="AU133">
        <f t="shared" si="8"/>
        <v>782</v>
      </c>
      <c r="AV133" cm="1">
        <f t="array" ref="AV133">_xlfn._xlws.FILTER(Table8[[Day Total]:[Day Total]],(MONTH(Table8[[Date]:[Date]])=$AM133)*(DAY(Table8[[Date]:[Date]])=$AN133)*(YEAR(Table8[[Date]:[Date]])=AV$1),0)</f>
        <v>0</v>
      </c>
      <c r="AW133">
        <f t="shared" si="7"/>
        <v>1589</v>
      </c>
    </row>
    <row r="134" spans="39:49" x14ac:dyDescent="0.25">
      <c r="AM134">
        <v>5</v>
      </c>
      <c r="AN134">
        <v>12</v>
      </c>
      <c r="AO134" t="str">
        <f t="shared" si="10"/>
        <v>5/12</v>
      </c>
      <c r="AP134" cm="1">
        <f t="array" ref="AP134">_xlfn._xlws.FILTER(Table8[[Day Total]:[Day Total]],(MONTH(Table8[[Date]:[Date]])=$AM134)*(DAY(Table8[[Date]:[Date]])=$AN134)*(YEAR(Table8[[Date]:[Date]])=AP$1),0)</f>
        <v>0</v>
      </c>
      <c r="AR134" cm="1">
        <f t="array" ref="AR134">_xlfn._xlws.FILTER(Table8[[Day Total]:[Day Total]],(MONTH(Table8[[Date]:[Date]])=$AM134)*(DAY(Table8[[Date]:[Date]])=$AN134)*(YEAR(Table8[[Date]:[Date]])=AR$1),0)</f>
        <v>0</v>
      </c>
      <c r="AS134">
        <f t="shared" si="9"/>
        <v>3053</v>
      </c>
      <c r="AT134" cm="1">
        <f t="array" ref="AT134">_xlfn._xlws.FILTER(Table8[[Day Total]:[Day Total]],(MONTH(Table8[[Date]:[Date]])=$AM134)*(DAY(Table8[[Date]:[Date]])=$AN134)*(YEAR(Table8[[Date]:[Date]])=AT$1),0)</f>
        <v>0</v>
      </c>
      <c r="AU134">
        <f t="shared" si="8"/>
        <v>782</v>
      </c>
      <c r="AV134" cm="1">
        <f t="array" ref="AV134">_xlfn._xlws.FILTER(Table8[[Day Total]:[Day Total]],(MONTH(Table8[[Date]:[Date]])=$AM134)*(DAY(Table8[[Date]:[Date]])=$AN134)*(YEAR(Table8[[Date]:[Date]])=AV$1),0)</f>
        <v>0</v>
      </c>
      <c r="AW134">
        <f t="shared" ref="AW134:AW197" si="11">AW133+AV134</f>
        <v>1589</v>
      </c>
    </row>
    <row r="135" spans="39:49" x14ac:dyDescent="0.25">
      <c r="AM135">
        <v>5</v>
      </c>
      <c r="AN135">
        <v>13</v>
      </c>
      <c r="AO135" t="str">
        <f t="shared" si="10"/>
        <v>5/13</v>
      </c>
      <c r="AP135" cm="1">
        <f t="array" ref="AP135">_xlfn._xlws.FILTER(Table8[[Day Total]:[Day Total]],(MONTH(Table8[[Date]:[Date]])=$AM135)*(DAY(Table8[[Date]:[Date]])=$AN135)*(YEAR(Table8[[Date]:[Date]])=AP$1),0)</f>
        <v>0</v>
      </c>
      <c r="AR135" cm="1">
        <f t="array" ref="AR135">_xlfn._xlws.FILTER(Table8[[Day Total]:[Day Total]],(MONTH(Table8[[Date]:[Date]])=$AM135)*(DAY(Table8[[Date]:[Date]])=$AN135)*(YEAR(Table8[[Date]:[Date]])=AR$1),0)</f>
        <v>51</v>
      </c>
      <c r="AS135">
        <f t="shared" si="9"/>
        <v>3104</v>
      </c>
      <c r="AT135" cm="1">
        <f t="array" ref="AT135">_xlfn._xlws.FILTER(Table8[[Day Total]:[Day Total]],(MONTH(Table8[[Date]:[Date]])=$AM135)*(DAY(Table8[[Date]:[Date]])=$AN135)*(YEAR(Table8[[Date]:[Date]])=AT$1),0)</f>
        <v>0</v>
      </c>
      <c r="AU135">
        <f t="shared" si="8"/>
        <v>782</v>
      </c>
      <c r="AV135" cm="1">
        <f t="array" ref="AV135">_xlfn._xlws.FILTER(Table8[[Day Total]:[Day Total]],(MONTH(Table8[[Date]:[Date]])=$AM135)*(DAY(Table8[[Date]:[Date]])=$AN135)*(YEAR(Table8[[Date]:[Date]])=AV$1),0)</f>
        <v>0</v>
      </c>
      <c r="AW135">
        <f t="shared" si="11"/>
        <v>1589</v>
      </c>
    </row>
    <row r="136" spans="39:49" x14ac:dyDescent="0.25">
      <c r="AM136">
        <v>5</v>
      </c>
      <c r="AN136">
        <v>14</v>
      </c>
      <c r="AO136" t="str">
        <f t="shared" si="10"/>
        <v>5/14</v>
      </c>
      <c r="AP136" cm="1">
        <f t="array" ref="AP136">_xlfn._xlws.FILTER(Table8[[Day Total]:[Day Total]],(MONTH(Table8[[Date]:[Date]])=$AM136)*(DAY(Table8[[Date]:[Date]])=$AN136)*(YEAR(Table8[[Date]:[Date]])=AP$1),0)</f>
        <v>0</v>
      </c>
      <c r="AR136" cm="1">
        <f t="array" ref="AR136">_xlfn._xlws.FILTER(Table8[[Day Total]:[Day Total]],(MONTH(Table8[[Date]:[Date]])=$AM136)*(DAY(Table8[[Date]:[Date]])=$AN136)*(YEAR(Table8[[Date]:[Date]])=AR$1),0)</f>
        <v>120</v>
      </c>
      <c r="AS136">
        <f t="shared" si="9"/>
        <v>3224</v>
      </c>
      <c r="AT136" cm="1">
        <f t="array" ref="AT136">_xlfn._xlws.FILTER(Table8[[Day Total]:[Day Total]],(MONTH(Table8[[Date]:[Date]])=$AM136)*(DAY(Table8[[Date]:[Date]])=$AN136)*(YEAR(Table8[[Date]:[Date]])=AT$1),0)</f>
        <v>45</v>
      </c>
      <c r="AU136">
        <f t="shared" si="8"/>
        <v>827</v>
      </c>
      <c r="AV136" cm="1">
        <f t="array" ref="AV136">_xlfn._xlws.FILTER(Table8[[Day Total]:[Day Total]],(MONTH(Table8[[Date]:[Date]])=$AM136)*(DAY(Table8[[Date]:[Date]])=$AN136)*(YEAR(Table8[[Date]:[Date]])=AV$1),0)</f>
        <v>0</v>
      </c>
      <c r="AW136">
        <f t="shared" si="11"/>
        <v>1589</v>
      </c>
    </row>
    <row r="137" spans="39:49" x14ac:dyDescent="0.25">
      <c r="AM137">
        <v>5</v>
      </c>
      <c r="AN137">
        <v>15</v>
      </c>
      <c r="AO137" t="str">
        <f t="shared" si="10"/>
        <v>5/15</v>
      </c>
      <c r="AP137" cm="1">
        <f t="array" ref="AP137">_xlfn._xlws.FILTER(Table8[[Day Total]:[Day Total]],(MONTH(Table8[[Date]:[Date]])=$AM137)*(DAY(Table8[[Date]:[Date]])=$AN137)*(YEAR(Table8[[Date]:[Date]])=AP$1),0)</f>
        <v>0</v>
      </c>
      <c r="AR137" cm="1">
        <f t="array" ref="AR137">_xlfn._xlws.FILTER(Table8[[Day Total]:[Day Total]],(MONTH(Table8[[Date]:[Date]])=$AM137)*(DAY(Table8[[Date]:[Date]])=$AN137)*(YEAR(Table8[[Date]:[Date]])=AR$1),0)</f>
        <v>85</v>
      </c>
      <c r="AS137">
        <f t="shared" si="9"/>
        <v>3309</v>
      </c>
      <c r="AT137" cm="1">
        <f t="array" ref="AT137">_xlfn._xlws.FILTER(Table8[[Day Total]:[Day Total]],(MONTH(Table8[[Date]:[Date]])=$AM137)*(DAY(Table8[[Date]:[Date]])=$AN137)*(YEAR(Table8[[Date]:[Date]])=AT$1),0)</f>
        <v>0</v>
      </c>
      <c r="AU137">
        <f t="shared" si="8"/>
        <v>827</v>
      </c>
      <c r="AV137" cm="1">
        <f t="array" ref="AV137">_xlfn._xlws.FILTER(Table8[[Day Total]:[Day Total]],(MONTH(Table8[[Date]:[Date]])=$AM137)*(DAY(Table8[[Date]:[Date]])=$AN137)*(YEAR(Table8[[Date]:[Date]])=AV$1),0)</f>
        <v>0</v>
      </c>
      <c r="AW137">
        <f t="shared" si="11"/>
        <v>1589</v>
      </c>
    </row>
    <row r="138" spans="39:49" x14ac:dyDescent="0.25">
      <c r="AM138">
        <v>5</v>
      </c>
      <c r="AN138">
        <v>16</v>
      </c>
      <c r="AO138" t="str">
        <f t="shared" si="10"/>
        <v>5/16</v>
      </c>
      <c r="AP138" cm="1">
        <f t="array" ref="AP138">_xlfn._xlws.FILTER(Table8[[Day Total]:[Day Total]],(MONTH(Table8[[Date]:[Date]])=$AM138)*(DAY(Table8[[Date]:[Date]])=$AN138)*(YEAR(Table8[[Date]:[Date]])=AP$1),0)</f>
        <v>0</v>
      </c>
      <c r="AR138" cm="1">
        <f t="array" ref="AR138">_xlfn._xlws.FILTER(Table8[[Day Total]:[Day Total]],(MONTH(Table8[[Date]:[Date]])=$AM138)*(DAY(Table8[[Date]:[Date]])=$AN138)*(YEAR(Table8[[Date]:[Date]])=AR$1),0)</f>
        <v>210</v>
      </c>
      <c r="AS138">
        <f t="shared" si="9"/>
        <v>3519</v>
      </c>
      <c r="AT138" cm="1">
        <f t="array" ref="AT138">_xlfn._xlws.FILTER(Table8[[Day Total]:[Day Total]],(MONTH(Table8[[Date]:[Date]])=$AM138)*(DAY(Table8[[Date]:[Date]])=$AN138)*(YEAR(Table8[[Date]:[Date]])=AT$1),0)</f>
        <v>0</v>
      </c>
      <c r="AU138">
        <f t="shared" ref="AU138:AU201" si="12">AU137+AT138</f>
        <v>827</v>
      </c>
      <c r="AV138" cm="1">
        <f t="array" ref="AV138">_xlfn._xlws.FILTER(Table8[[Day Total]:[Day Total]],(MONTH(Table8[[Date]:[Date]])=$AM138)*(DAY(Table8[[Date]:[Date]])=$AN138)*(YEAR(Table8[[Date]:[Date]])=AV$1),0)</f>
        <v>0</v>
      </c>
      <c r="AW138">
        <f t="shared" si="11"/>
        <v>1589</v>
      </c>
    </row>
    <row r="139" spans="39:49" x14ac:dyDescent="0.25">
      <c r="AM139">
        <v>5</v>
      </c>
      <c r="AN139">
        <v>17</v>
      </c>
      <c r="AO139" t="str">
        <f t="shared" si="10"/>
        <v>5/17</v>
      </c>
      <c r="AP139" cm="1">
        <f t="array" ref="AP139">_xlfn._xlws.FILTER(Table8[[Day Total]:[Day Total]],(MONTH(Table8[[Date]:[Date]])=$AM139)*(DAY(Table8[[Date]:[Date]])=$AN139)*(YEAR(Table8[[Date]:[Date]])=AP$1),0)</f>
        <v>0</v>
      </c>
      <c r="AR139" cm="1">
        <f t="array" ref="AR139">_xlfn._xlws.FILTER(Table8[[Day Total]:[Day Total]],(MONTH(Table8[[Date]:[Date]])=$AM139)*(DAY(Table8[[Date]:[Date]])=$AN139)*(YEAR(Table8[[Date]:[Date]])=AR$1),0)</f>
        <v>46</v>
      </c>
      <c r="AS139">
        <f t="shared" si="9"/>
        <v>3565</v>
      </c>
      <c r="AT139" cm="1">
        <f t="array" ref="AT139">_xlfn._xlws.FILTER(Table8[[Day Total]:[Day Total]],(MONTH(Table8[[Date]:[Date]])=$AM139)*(DAY(Table8[[Date]:[Date]])=$AN139)*(YEAR(Table8[[Date]:[Date]])=AT$1),0)</f>
        <v>0</v>
      </c>
      <c r="AU139">
        <f t="shared" si="12"/>
        <v>827</v>
      </c>
      <c r="AV139" cm="1">
        <f t="array" ref="AV139">_xlfn._xlws.FILTER(Table8[[Day Total]:[Day Total]],(MONTH(Table8[[Date]:[Date]])=$AM139)*(DAY(Table8[[Date]:[Date]])=$AN139)*(YEAR(Table8[[Date]:[Date]])=AV$1),0)</f>
        <v>0</v>
      </c>
      <c r="AW139">
        <f t="shared" si="11"/>
        <v>1589</v>
      </c>
    </row>
    <row r="140" spans="39:49" x14ac:dyDescent="0.25">
      <c r="AM140">
        <v>5</v>
      </c>
      <c r="AN140">
        <v>18</v>
      </c>
      <c r="AO140" t="str">
        <f t="shared" si="10"/>
        <v>5/18</v>
      </c>
      <c r="AP140" cm="1">
        <f t="array" ref="AP140">_xlfn._xlws.FILTER(Table8[[Day Total]:[Day Total]],(MONTH(Table8[[Date]:[Date]])=$AM140)*(DAY(Table8[[Date]:[Date]])=$AN140)*(YEAR(Table8[[Date]:[Date]])=AP$1),0)</f>
        <v>0</v>
      </c>
      <c r="AR140" cm="1">
        <f t="array" ref="AR140">_xlfn._xlws.FILTER(Table8[[Day Total]:[Day Total]],(MONTH(Table8[[Date]:[Date]])=$AM140)*(DAY(Table8[[Date]:[Date]])=$AN140)*(YEAR(Table8[[Date]:[Date]])=AR$1),0)</f>
        <v>83</v>
      </c>
      <c r="AS140">
        <f t="shared" si="9"/>
        <v>3648</v>
      </c>
      <c r="AT140" cm="1">
        <f t="array" ref="AT140">_xlfn._xlws.FILTER(Table8[[Day Total]:[Day Total]],(MONTH(Table8[[Date]:[Date]])=$AM140)*(DAY(Table8[[Date]:[Date]])=$AN140)*(YEAR(Table8[[Date]:[Date]])=AT$1),0)</f>
        <v>0</v>
      </c>
      <c r="AU140">
        <f t="shared" si="12"/>
        <v>827</v>
      </c>
      <c r="AV140" cm="1">
        <f t="array" ref="AV140">_xlfn._xlws.FILTER(Table8[[Day Total]:[Day Total]],(MONTH(Table8[[Date]:[Date]])=$AM140)*(DAY(Table8[[Date]:[Date]])=$AN140)*(YEAR(Table8[[Date]:[Date]])=AV$1),0)</f>
        <v>0</v>
      </c>
      <c r="AW140">
        <f t="shared" si="11"/>
        <v>1589</v>
      </c>
    </row>
    <row r="141" spans="39:49" x14ac:dyDescent="0.25">
      <c r="AM141">
        <v>5</v>
      </c>
      <c r="AN141">
        <v>19</v>
      </c>
      <c r="AO141" t="str">
        <f t="shared" si="10"/>
        <v>5/19</v>
      </c>
      <c r="AP141" cm="1">
        <f t="array" ref="AP141">_xlfn._xlws.FILTER(Table8[[Day Total]:[Day Total]],(MONTH(Table8[[Date]:[Date]])=$AM141)*(DAY(Table8[[Date]:[Date]])=$AN141)*(YEAR(Table8[[Date]:[Date]])=AP$1),0)</f>
        <v>0</v>
      </c>
      <c r="AR141" cm="1">
        <f t="array" ref="AR141">_xlfn._xlws.FILTER(Table8[[Day Total]:[Day Total]],(MONTH(Table8[[Date]:[Date]])=$AM141)*(DAY(Table8[[Date]:[Date]])=$AN141)*(YEAR(Table8[[Date]:[Date]])=AR$1),0)</f>
        <v>84</v>
      </c>
      <c r="AS141">
        <f t="shared" si="9"/>
        <v>3732</v>
      </c>
      <c r="AT141" cm="1">
        <f t="array" ref="AT141">_xlfn._xlws.FILTER(Table8[[Day Total]:[Day Total]],(MONTH(Table8[[Date]:[Date]])=$AM141)*(DAY(Table8[[Date]:[Date]])=$AN141)*(YEAR(Table8[[Date]:[Date]])=AT$1),0)</f>
        <v>0</v>
      </c>
      <c r="AU141">
        <f t="shared" si="12"/>
        <v>827</v>
      </c>
      <c r="AV141" cm="1">
        <f t="array" ref="AV141">_xlfn._xlws.FILTER(Table8[[Day Total]:[Day Total]],(MONTH(Table8[[Date]:[Date]])=$AM141)*(DAY(Table8[[Date]:[Date]])=$AN141)*(YEAR(Table8[[Date]:[Date]])=AV$1),0)</f>
        <v>0</v>
      </c>
      <c r="AW141">
        <f t="shared" si="11"/>
        <v>1589</v>
      </c>
    </row>
    <row r="142" spans="39:49" x14ac:dyDescent="0.25">
      <c r="AM142">
        <v>5</v>
      </c>
      <c r="AN142">
        <v>20</v>
      </c>
      <c r="AO142" t="str">
        <f t="shared" si="10"/>
        <v>5/20</v>
      </c>
      <c r="AP142" cm="1">
        <f t="array" ref="AP142">_xlfn._xlws.FILTER(Table8[[Day Total]:[Day Total]],(MONTH(Table8[[Date]:[Date]])=$AM142)*(DAY(Table8[[Date]:[Date]])=$AN142)*(YEAR(Table8[[Date]:[Date]])=AP$1),0)</f>
        <v>0</v>
      </c>
      <c r="AR142" cm="1">
        <f t="array" ref="AR142">_xlfn._xlws.FILTER(Table8[[Day Total]:[Day Total]],(MONTH(Table8[[Date]:[Date]])=$AM142)*(DAY(Table8[[Date]:[Date]])=$AN142)*(YEAR(Table8[[Date]:[Date]])=AR$1),0)</f>
        <v>140</v>
      </c>
      <c r="AS142">
        <f t="shared" si="9"/>
        <v>3872</v>
      </c>
      <c r="AT142" cm="1">
        <f t="array" ref="AT142">_xlfn._xlws.FILTER(Table8[[Day Total]:[Day Total]],(MONTH(Table8[[Date]:[Date]])=$AM142)*(DAY(Table8[[Date]:[Date]])=$AN142)*(YEAR(Table8[[Date]:[Date]])=AT$1),0)</f>
        <v>0</v>
      </c>
      <c r="AU142">
        <f t="shared" si="12"/>
        <v>827</v>
      </c>
      <c r="AV142" cm="1">
        <f t="array" ref="AV142">_xlfn._xlws.FILTER(Table8[[Day Total]:[Day Total]],(MONTH(Table8[[Date]:[Date]])=$AM142)*(DAY(Table8[[Date]:[Date]])=$AN142)*(YEAR(Table8[[Date]:[Date]])=AV$1),0)</f>
        <v>0</v>
      </c>
      <c r="AW142">
        <f t="shared" si="11"/>
        <v>1589</v>
      </c>
    </row>
    <row r="143" spans="39:49" x14ac:dyDescent="0.25">
      <c r="AM143">
        <v>5</v>
      </c>
      <c r="AN143">
        <v>21</v>
      </c>
      <c r="AO143" t="str">
        <f t="shared" si="10"/>
        <v>5/21</v>
      </c>
      <c r="AP143" cm="1">
        <f t="array" ref="AP143">_xlfn._xlws.FILTER(Table8[[Day Total]:[Day Total]],(MONTH(Table8[[Date]:[Date]])=$AM143)*(DAY(Table8[[Date]:[Date]])=$AN143)*(YEAR(Table8[[Date]:[Date]])=AP$1),0)</f>
        <v>0</v>
      </c>
      <c r="AR143" cm="1">
        <f t="array" ref="AR143">_xlfn._xlws.FILTER(Table8[[Day Total]:[Day Total]],(MONTH(Table8[[Date]:[Date]])=$AM143)*(DAY(Table8[[Date]:[Date]])=$AN143)*(YEAR(Table8[[Date]:[Date]])=AR$1),0)</f>
        <v>98</v>
      </c>
      <c r="AS143">
        <f t="shared" si="9"/>
        <v>3970</v>
      </c>
      <c r="AT143" cm="1">
        <f t="array" ref="AT143">_xlfn._xlws.FILTER(Table8[[Day Total]:[Day Total]],(MONTH(Table8[[Date]:[Date]])=$AM143)*(DAY(Table8[[Date]:[Date]])=$AN143)*(YEAR(Table8[[Date]:[Date]])=AT$1),0)</f>
        <v>0</v>
      </c>
      <c r="AU143">
        <f t="shared" si="12"/>
        <v>827</v>
      </c>
      <c r="AV143" cm="1">
        <f t="array" ref="AV143">_xlfn._xlws.FILTER(Table8[[Day Total]:[Day Total]],(MONTH(Table8[[Date]:[Date]])=$AM143)*(DAY(Table8[[Date]:[Date]])=$AN143)*(YEAR(Table8[[Date]:[Date]])=AV$1),0)</f>
        <v>0</v>
      </c>
      <c r="AW143">
        <f t="shared" si="11"/>
        <v>1589</v>
      </c>
    </row>
    <row r="144" spans="39:49" x14ac:dyDescent="0.25">
      <c r="AM144">
        <v>5</v>
      </c>
      <c r="AN144">
        <v>22</v>
      </c>
      <c r="AO144" t="str">
        <f t="shared" si="10"/>
        <v>5/22</v>
      </c>
      <c r="AP144" cm="1">
        <f t="array" ref="AP144">_xlfn._xlws.FILTER(Table8[[Day Total]:[Day Total]],(MONTH(Table8[[Date]:[Date]])=$AM144)*(DAY(Table8[[Date]:[Date]])=$AN144)*(YEAR(Table8[[Date]:[Date]])=AP$1),0)</f>
        <v>0</v>
      </c>
      <c r="AR144" cm="1">
        <f t="array" ref="AR144">_xlfn._xlws.FILTER(Table8[[Day Total]:[Day Total]],(MONTH(Table8[[Date]:[Date]])=$AM144)*(DAY(Table8[[Date]:[Date]])=$AN144)*(YEAR(Table8[[Date]:[Date]])=AR$1),0)</f>
        <v>27</v>
      </c>
      <c r="AS144">
        <f t="shared" si="9"/>
        <v>3997</v>
      </c>
      <c r="AT144" cm="1">
        <f t="array" ref="AT144">_xlfn._xlws.FILTER(Table8[[Day Total]:[Day Total]],(MONTH(Table8[[Date]:[Date]])=$AM144)*(DAY(Table8[[Date]:[Date]])=$AN144)*(YEAR(Table8[[Date]:[Date]])=AT$1),0)</f>
        <v>0</v>
      </c>
      <c r="AU144">
        <f t="shared" si="12"/>
        <v>827</v>
      </c>
      <c r="AV144" cm="1">
        <f t="array" ref="AV144">_xlfn._xlws.FILTER(Table8[[Day Total]:[Day Total]],(MONTH(Table8[[Date]:[Date]])=$AM144)*(DAY(Table8[[Date]:[Date]])=$AN144)*(YEAR(Table8[[Date]:[Date]])=AV$1),0)</f>
        <v>0</v>
      </c>
      <c r="AW144">
        <f t="shared" si="11"/>
        <v>1589</v>
      </c>
    </row>
    <row r="145" spans="38:49" x14ac:dyDescent="0.25">
      <c r="AM145">
        <v>5</v>
      </c>
      <c r="AN145">
        <v>23</v>
      </c>
      <c r="AO145" t="str">
        <f t="shared" si="10"/>
        <v>5/23</v>
      </c>
      <c r="AP145" cm="1">
        <f t="array" ref="AP145">_xlfn._xlws.FILTER(Table8[[Day Total]:[Day Total]],(MONTH(Table8[[Date]:[Date]])=$AM145)*(DAY(Table8[[Date]:[Date]])=$AN145)*(YEAR(Table8[[Date]:[Date]])=AP$1),0)</f>
        <v>0</v>
      </c>
      <c r="AR145" cm="1">
        <f t="array" ref="AR145">_xlfn._xlws.FILTER(Table8[[Day Total]:[Day Total]],(MONTH(Table8[[Date]:[Date]])=$AM145)*(DAY(Table8[[Date]:[Date]])=$AN145)*(YEAR(Table8[[Date]:[Date]])=AR$1),0)</f>
        <v>0</v>
      </c>
      <c r="AS145">
        <f t="shared" si="9"/>
        <v>3997</v>
      </c>
      <c r="AT145" cm="1">
        <f t="array" ref="AT145">_xlfn._xlws.FILTER(Table8[[Day Total]:[Day Total]],(MONTH(Table8[[Date]:[Date]])=$AM145)*(DAY(Table8[[Date]:[Date]])=$AN145)*(YEAR(Table8[[Date]:[Date]])=AT$1),0)</f>
        <v>0</v>
      </c>
      <c r="AU145">
        <f t="shared" si="12"/>
        <v>827</v>
      </c>
      <c r="AV145" cm="1">
        <f t="array" ref="AV145">_xlfn._xlws.FILTER(Table8[[Day Total]:[Day Total]],(MONTH(Table8[[Date]:[Date]])=$AM145)*(DAY(Table8[[Date]:[Date]])=$AN145)*(YEAR(Table8[[Date]:[Date]])=AV$1),0)</f>
        <v>0</v>
      </c>
      <c r="AW145">
        <f t="shared" si="11"/>
        <v>1589</v>
      </c>
    </row>
    <row r="146" spans="38:49" x14ac:dyDescent="0.25">
      <c r="AM146">
        <v>5</v>
      </c>
      <c r="AN146">
        <v>24</v>
      </c>
      <c r="AO146" t="str">
        <f t="shared" si="10"/>
        <v>5/24</v>
      </c>
      <c r="AP146" cm="1">
        <f t="array" ref="AP146">_xlfn._xlws.FILTER(Table8[[Day Total]:[Day Total]],(MONTH(Table8[[Date]:[Date]])=$AM146)*(DAY(Table8[[Date]:[Date]])=$AN146)*(YEAR(Table8[[Date]:[Date]])=AP$1),0)</f>
        <v>0</v>
      </c>
      <c r="AR146" cm="1">
        <f t="array" ref="AR146">_xlfn._xlws.FILTER(Table8[[Day Total]:[Day Total]],(MONTH(Table8[[Date]:[Date]])=$AM146)*(DAY(Table8[[Date]:[Date]])=$AN146)*(YEAR(Table8[[Date]:[Date]])=AR$1),0)</f>
        <v>1</v>
      </c>
      <c r="AS146">
        <f t="shared" si="9"/>
        <v>3998</v>
      </c>
      <c r="AT146" cm="1">
        <f t="array" ref="AT146">_xlfn._xlws.FILTER(Table8[[Day Total]:[Day Total]],(MONTH(Table8[[Date]:[Date]])=$AM146)*(DAY(Table8[[Date]:[Date]])=$AN146)*(YEAR(Table8[[Date]:[Date]])=AT$1),0)</f>
        <v>0</v>
      </c>
      <c r="AU146">
        <f t="shared" si="12"/>
        <v>827</v>
      </c>
      <c r="AV146" cm="1">
        <f t="array" ref="AV146">_xlfn._xlws.FILTER(Table8[[Day Total]:[Day Total]],(MONTH(Table8[[Date]:[Date]])=$AM146)*(DAY(Table8[[Date]:[Date]])=$AN146)*(YEAR(Table8[[Date]:[Date]])=AV$1),0)</f>
        <v>0</v>
      </c>
      <c r="AW146">
        <f t="shared" si="11"/>
        <v>1589</v>
      </c>
    </row>
    <row r="147" spans="38:49" x14ac:dyDescent="0.25">
      <c r="AM147">
        <v>5</v>
      </c>
      <c r="AN147">
        <v>25</v>
      </c>
      <c r="AO147" t="str">
        <f t="shared" si="10"/>
        <v>5/25</v>
      </c>
      <c r="AP147" cm="1">
        <f t="array" ref="AP147">_xlfn._xlws.FILTER(Table8[[Day Total]:[Day Total]],(MONTH(Table8[[Date]:[Date]])=$AM147)*(DAY(Table8[[Date]:[Date]])=$AN147)*(YEAR(Table8[[Date]:[Date]])=AP$1),0)</f>
        <v>0</v>
      </c>
      <c r="AR147" cm="1">
        <f t="array" ref="AR147">_xlfn._xlws.FILTER(Table8[[Day Total]:[Day Total]],(MONTH(Table8[[Date]:[Date]])=$AM147)*(DAY(Table8[[Date]:[Date]])=$AN147)*(YEAR(Table8[[Date]:[Date]])=AR$1),0)</f>
        <v>0</v>
      </c>
      <c r="AS147">
        <f t="shared" si="9"/>
        <v>3998</v>
      </c>
      <c r="AT147" cm="1">
        <f t="array" ref="AT147">_xlfn._xlws.FILTER(Table8[[Day Total]:[Day Total]],(MONTH(Table8[[Date]:[Date]])=$AM147)*(DAY(Table8[[Date]:[Date]])=$AN147)*(YEAR(Table8[[Date]:[Date]])=AT$1),0)</f>
        <v>0</v>
      </c>
      <c r="AU147">
        <f t="shared" si="12"/>
        <v>827</v>
      </c>
      <c r="AV147" cm="1">
        <f t="array" ref="AV147">_xlfn._xlws.FILTER(Table8[[Day Total]:[Day Total]],(MONTH(Table8[[Date]:[Date]])=$AM147)*(DAY(Table8[[Date]:[Date]])=$AN147)*(YEAR(Table8[[Date]:[Date]])=AV$1),0)</f>
        <v>0</v>
      </c>
      <c r="AW147">
        <f t="shared" si="11"/>
        <v>1589</v>
      </c>
    </row>
    <row r="148" spans="38:49" x14ac:dyDescent="0.25">
      <c r="AM148">
        <v>5</v>
      </c>
      <c r="AN148">
        <v>26</v>
      </c>
      <c r="AO148" t="str">
        <f t="shared" si="10"/>
        <v>5/26</v>
      </c>
      <c r="AP148" cm="1">
        <f t="array" ref="AP148">_xlfn._xlws.FILTER(Table8[[Day Total]:[Day Total]],(MONTH(Table8[[Date]:[Date]])=$AM148)*(DAY(Table8[[Date]:[Date]])=$AN148)*(YEAR(Table8[[Date]:[Date]])=AP$1),0)</f>
        <v>0</v>
      </c>
      <c r="AR148" cm="1">
        <f t="array" ref="AR148">_xlfn._xlws.FILTER(Table8[[Day Total]:[Day Total]],(MONTH(Table8[[Date]:[Date]])=$AM148)*(DAY(Table8[[Date]:[Date]])=$AN148)*(YEAR(Table8[[Date]:[Date]])=AR$1),0)</f>
        <v>0</v>
      </c>
      <c r="AS148">
        <f t="shared" si="9"/>
        <v>3998</v>
      </c>
      <c r="AT148" cm="1">
        <f t="array" ref="AT148">_xlfn._xlws.FILTER(Table8[[Day Total]:[Day Total]],(MONTH(Table8[[Date]:[Date]])=$AM148)*(DAY(Table8[[Date]:[Date]])=$AN148)*(YEAR(Table8[[Date]:[Date]])=AT$1),0)</f>
        <v>0</v>
      </c>
      <c r="AU148">
        <f t="shared" si="12"/>
        <v>827</v>
      </c>
      <c r="AV148" cm="1">
        <f t="array" ref="AV148">_xlfn._xlws.FILTER(Table8[[Day Total]:[Day Total]],(MONTH(Table8[[Date]:[Date]])=$AM148)*(DAY(Table8[[Date]:[Date]])=$AN148)*(YEAR(Table8[[Date]:[Date]])=AV$1),0)</f>
        <v>0</v>
      </c>
      <c r="AW148">
        <f t="shared" si="11"/>
        <v>1589</v>
      </c>
    </row>
    <row r="149" spans="38:49" x14ac:dyDescent="0.25">
      <c r="AM149">
        <v>5</v>
      </c>
      <c r="AN149">
        <v>27</v>
      </c>
      <c r="AO149" t="str">
        <f t="shared" si="10"/>
        <v>5/27</v>
      </c>
      <c r="AP149" cm="1">
        <f t="array" ref="AP149">_xlfn._xlws.FILTER(Table8[[Day Total]:[Day Total]],(MONTH(Table8[[Date]:[Date]])=$AM149)*(DAY(Table8[[Date]:[Date]])=$AN149)*(YEAR(Table8[[Date]:[Date]])=AP$1),0)</f>
        <v>0</v>
      </c>
      <c r="AR149" cm="1">
        <f t="array" ref="AR149">_xlfn._xlws.FILTER(Table8[[Day Total]:[Day Total]],(MONTH(Table8[[Date]:[Date]])=$AM149)*(DAY(Table8[[Date]:[Date]])=$AN149)*(YEAR(Table8[[Date]:[Date]])=AR$1),0)</f>
        <v>0</v>
      </c>
      <c r="AS149">
        <f t="shared" si="9"/>
        <v>3998</v>
      </c>
      <c r="AT149" cm="1">
        <f t="array" ref="AT149">_xlfn._xlws.FILTER(Table8[[Day Total]:[Day Total]],(MONTH(Table8[[Date]:[Date]])=$AM149)*(DAY(Table8[[Date]:[Date]])=$AN149)*(YEAR(Table8[[Date]:[Date]])=AT$1),0)</f>
        <v>0</v>
      </c>
      <c r="AU149">
        <f t="shared" si="12"/>
        <v>827</v>
      </c>
      <c r="AV149" cm="1">
        <f t="array" ref="AV149">_xlfn._xlws.FILTER(Table8[[Day Total]:[Day Total]],(MONTH(Table8[[Date]:[Date]])=$AM149)*(DAY(Table8[[Date]:[Date]])=$AN149)*(YEAR(Table8[[Date]:[Date]])=AV$1),0)</f>
        <v>0</v>
      </c>
      <c r="AW149">
        <f t="shared" si="11"/>
        <v>1589</v>
      </c>
    </row>
    <row r="150" spans="38:49" x14ac:dyDescent="0.25">
      <c r="AM150">
        <v>5</v>
      </c>
      <c r="AN150">
        <v>28</v>
      </c>
      <c r="AO150" t="str">
        <f t="shared" si="10"/>
        <v>5/28</v>
      </c>
      <c r="AP150" cm="1">
        <f t="array" ref="AP150">_xlfn._xlws.FILTER(Table8[[Day Total]:[Day Total]],(MONTH(Table8[[Date]:[Date]])=$AM150)*(DAY(Table8[[Date]:[Date]])=$AN150)*(YEAR(Table8[[Date]:[Date]])=AP$1),0)</f>
        <v>0</v>
      </c>
      <c r="AR150" cm="1">
        <f t="array" ref="AR150">_xlfn._xlws.FILTER(Table8[[Day Total]:[Day Total]],(MONTH(Table8[[Date]:[Date]])=$AM150)*(DAY(Table8[[Date]:[Date]])=$AN150)*(YEAR(Table8[[Date]:[Date]])=AR$1),0)</f>
        <v>3</v>
      </c>
      <c r="AS150">
        <f t="shared" si="9"/>
        <v>4001</v>
      </c>
      <c r="AT150" cm="1">
        <f t="array" ref="AT150">_xlfn._xlws.FILTER(Table8[[Day Total]:[Day Total]],(MONTH(Table8[[Date]:[Date]])=$AM150)*(DAY(Table8[[Date]:[Date]])=$AN150)*(YEAR(Table8[[Date]:[Date]])=AT$1),0)</f>
        <v>0</v>
      </c>
      <c r="AU150">
        <f t="shared" si="12"/>
        <v>827</v>
      </c>
      <c r="AV150" cm="1">
        <f t="array" ref="AV150">_xlfn._xlws.FILTER(Table8[[Day Total]:[Day Total]],(MONTH(Table8[[Date]:[Date]])=$AM150)*(DAY(Table8[[Date]:[Date]])=$AN150)*(YEAR(Table8[[Date]:[Date]])=AV$1),0)</f>
        <v>0</v>
      </c>
      <c r="AW150">
        <f t="shared" si="11"/>
        <v>1589</v>
      </c>
    </row>
    <row r="151" spans="38:49" x14ac:dyDescent="0.25">
      <c r="AM151">
        <v>5</v>
      </c>
      <c r="AN151">
        <v>29</v>
      </c>
      <c r="AO151" t="str">
        <f t="shared" si="10"/>
        <v>5/29</v>
      </c>
      <c r="AP151" cm="1">
        <f t="array" ref="AP151">_xlfn._xlws.FILTER(Table8[[Day Total]:[Day Total]],(MONTH(Table8[[Date]:[Date]])=$AM151)*(DAY(Table8[[Date]:[Date]])=$AN151)*(YEAR(Table8[[Date]:[Date]])=AP$1),0)</f>
        <v>0</v>
      </c>
      <c r="AR151" cm="1">
        <f t="array" ref="AR151">_xlfn._xlws.FILTER(Table8[[Day Total]:[Day Total]],(MONTH(Table8[[Date]:[Date]])=$AM151)*(DAY(Table8[[Date]:[Date]])=$AN151)*(YEAR(Table8[[Date]:[Date]])=AR$1),0)</f>
        <v>75</v>
      </c>
      <c r="AS151">
        <f t="shared" si="9"/>
        <v>4076</v>
      </c>
      <c r="AT151" cm="1">
        <f t="array" ref="AT151">_xlfn._xlws.FILTER(Table8[[Day Total]:[Day Total]],(MONTH(Table8[[Date]:[Date]])=$AM151)*(DAY(Table8[[Date]:[Date]])=$AN151)*(YEAR(Table8[[Date]:[Date]])=AT$1),0)</f>
        <v>0</v>
      </c>
      <c r="AU151">
        <f t="shared" si="12"/>
        <v>827</v>
      </c>
      <c r="AV151" cm="1">
        <f t="array" ref="AV151">_xlfn._xlws.FILTER(Table8[[Day Total]:[Day Total]],(MONTH(Table8[[Date]:[Date]])=$AM151)*(DAY(Table8[[Date]:[Date]])=$AN151)*(YEAR(Table8[[Date]:[Date]])=AV$1),0)</f>
        <v>0</v>
      </c>
      <c r="AW151">
        <f t="shared" si="11"/>
        <v>1589</v>
      </c>
    </row>
    <row r="152" spans="38:49" x14ac:dyDescent="0.25">
      <c r="AM152">
        <v>5</v>
      </c>
      <c r="AN152">
        <v>30</v>
      </c>
      <c r="AO152" t="str">
        <f t="shared" si="10"/>
        <v>5/30</v>
      </c>
      <c r="AP152" cm="1">
        <f t="array" ref="AP152">_xlfn._xlws.FILTER(Table8[[Day Total]:[Day Total]],(MONTH(Table8[[Date]:[Date]])=$AM152)*(DAY(Table8[[Date]:[Date]])=$AN152)*(YEAR(Table8[[Date]:[Date]])=AP$1),0)</f>
        <v>0</v>
      </c>
      <c r="AR152" cm="1">
        <f t="array" ref="AR152">_xlfn._xlws.FILTER(Table8[[Day Total]:[Day Total]],(MONTH(Table8[[Date]:[Date]])=$AM152)*(DAY(Table8[[Date]:[Date]])=$AN152)*(YEAR(Table8[[Date]:[Date]])=AR$1),0)</f>
        <v>0</v>
      </c>
      <c r="AS152">
        <f t="shared" si="9"/>
        <v>4076</v>
      </c>
      <c r="AT152" cm="1">
        <f t="array" ref="AT152">_xlfn._xlws.FILTER(Table8[[Day Total]:[Day Total]],(MONTH(Table8[[Date]:[Date]])=$AM152)*(DAY(Table8[[Date]:[Date]])=$AN152)*(YEAR(Table8[[Date]:[Date]])=AT$1),0)</f>
        <v>0</v>
      </c>
      <c r="AU152">
        <f t="shared" si="12"/>
        <v>827</v>
      </c>
      <c r="AV152" cm="1">
        <f t="array" ref="AV152">_xlfn._xlws.FILTER(Table8[[Day Total]:[Day Total]],(MONTH(Table8[[Date]:[Date]])=$AM152)*(DAY(Table8[[Date]:[Date]])=$AN152)*(YEAR(Table8[[Date]:[Date]])=AV$1),0)</f>
        <v>0</v>
      </c>
      <c r="AW152">
        <f t="shared" si="11"/>
        <v>1589</v>
      </c>
    </row>
    <row r="153" spans="38:49" x14ac:dyDescent="0.25">
      <c r="AM153">
        <v>5</v>
      </c>
      <c r="AN153">
        <v>31</v>
      </c>
      <c r="AO153" t="str">
        <f t="shared" si="10"/>
        <v>5/31</v>
      </c>
      <c r="AP153" cm="1">
        <f t="array" ref="AP153">_xlfn._xlws.FILTER(Table8[[Day Total]:[Day Total]],(MONTH(Table8[[Date]:[Date]])=$AM153)*(DAY(Table8[[Date]:[Date]])=$AN153)*(YEAR(Table8[[Date]:[Date]])=AP$1),0)</f>
        <v>0</v>
      </c>
      <c r="AR153" cm="1">
        <f t="array" ref="AR153">_xlfn._xlws.FILTER(Table8[[Day Total]:[Day Total]],(MONTH(Table8[[Date]:[Date]])=$AM153)*(DAY(Table8[[Date]:[Date]])=$AN153)*(YEAR(Table8[[Date]:[Date]])=AR$1),0)</f>
        <v>111</v>
      </c>
      <c r="AS153">
        <f t="shared" si="9"/>
        <v>4187</v>
      </c>
      <c r="AT153" cm="1">
        <f t="array" ref="AT153">_xlfn._xlws.FILTER(Table8[[Day Total]:[Day Total]],(MONTH(Table8[[Date]:[Date]])=$AM153)*(DAY(Table8[[Date]:[Date]])=$AN153)*(YEAR(Table8[[Date]:[Date]])=AT$1),0)</f>
        <v>0</v>
      </c>
      <c r="AU153">
        <f t="shared" si="12"/>
        <v>827</v>
      </c>
      <c r="AV153" cm="1">
        <f t="array" ref="AV153">_xlfn._xlws.FILTER(Table8[[Day Total]:[Day Total]],(MONTH(Table8[[Date]:[Date]])=$AM153)*(DAY(Table8[[Date]:[Date]])=$AN153)*(YEAR(Table8[[Date]:[Date]])=AV$1),0)</f>
        <v>0</v>
      </c>
      <c r="AW153">
        <f t="shared" si="11"/>
        <v>1589</v>
      </c>
    </row>
    <row r="154" spans="38:49" x14ac:dyDescent="0.25">
      <c r="AL154" t="s">
        <v>3</v>
      </c>
      <c r="AM154">
        <v>6</v>
      </c>
      <c r="AN154">
        <v>1</v>
      </c>
      <c r="AO154" t="str">
        <f t="shared" si="10"/>
        <v>6/1</v>
      </c>
      <c r="AP154" cm="1">
        <f t="array" ref="AP154">_xlfn._xlws.FILTER(Table8[[Day Total]:[Day Total]],(MONTH(Table8[[Date]:[Date]])=$AM154)*(DAY(Table8[[Date]:[Date]])=$AN154)*(YEAR(Table8[[Date]:[Date]])=AP$1),0)</f>
        <v>0</v>
      </c>
      <c r="AR154" cm="1">
        <f t="array" ref="AR154">_xlfn._xlws.FILTER(Table8[[Day Total]:[Day Total]],(MONTH(Table8[[Date]:[Date]])=$AM154)*(DAY(Table8[[Date]:[Date]])=$AN154)*(YEAR(Table8[[Date]:[Date]])=AR$1),0)</f>
        <v>0</v>
      </c>
      <c r="AS154">
        <f t="shared" si="9"/>
        <v>4187</v>
      </c>
      <c r="AT154" cm="1">
        <f t="array" ref="AT154">_xlfn._xlws.FILTER(Table8[[Day Total]:[Day Total]],(MONTH(Table8[[Date]:[Date]])=$AM154)*(DAY(Table8[[Date]:[Date]])=$AN154)*(YEAR(Table8[[Date]:[Date]])=AT$1),0)</f>
        <v>0</v>
      </c>
      <c r="AU154">
        <f t="shared" si="12"/>
        <v>827</v>
      </c>
      <c r="AV154" cm="1">
        <f t="array" ref="AV154">_xlfn._xlws.FILTER(Table8[[Day Total]:[Day Total]],(MONTH(Table8[[Date]:[Date]])=$AM154)*(DAY(Table8[[Date]:[Date]])=$AN154)*(YEAR(Table8[[Date]:[Date]])=AV$1),0)</f>
        <v>0</v>
      </c>
      <c r="AW154">
        <f t="shared" si="11"/>
        <v>1589</v>
      </c>
    </row>
    <row r="155" spans="38:49" x14ac:dyDescent="0.25">
      <c r="AM155">
        <v>6</v>
      </c>
      <c r="AN155">
        <v>2</v>
      </c>
      <c r="AO155" t="str">
        <f t="shared" si="10"/>
        <v>6/2</v>
      </c>
      <c r="AP155" cm="1">
        <f t="array" ref="AP155">_xlfn._xlws.FILTER(Table8[[Day Total]:[Day Total]],(MONTH(Table8[[Date]:[Date]])=$AM155)*(DAY(Table8[[Date]:[Date]])=$AN155)*(YEAR(Table8[[Date]:[Date]])=AP$1),0)</f>
        <v>0</v>
      </c>
      <c r="AR155" cm="1">
        <f t="array" ref="AR155">_xlfn._xlws.FILTER(Table8[[Day Total]:[Day Total]],(MONTH(Table8[[Date]:[Date]])=$AM155)*(DAY(Table8[[Date]:[Date]])=$AN155)*(YEAR(Table8[[Date]:[Date]])=AR$1),0)</f>
        <v>0</v>
      </c>
      <c r="AS155">
        <f t="shared" si="9"/>
        <v>4187</v>
      </c>
      <c r="AT155" cm="1">
        <f t="array" ref="AT155">_xlfn._xlws.FILTER(Table8[[Day Total]:[Day Total]],(MONTH(Table8[[Date]:[Date]])=$AM155)*(DAY(Table8[[Date]:[Date]])=$AN155)*(YEAR(Table8[[Date]:[Date]])=AT$1),0)</f>
        <v>0</v>
      </c>
      <c r="AU155">
        <f t="shared" si="12"/>
        <v>827</v>
      </c>
      <c r="AV155" cm="1">
        <f t="array" ref="AV155">_xlfn._xlws.FILTER(Table8[[Day Total]:[Day Total]],(MONTH(Table8[[Date]:[Date]])=$AM155)*(DAY(Table8[[Date]:[Date]])=$AN155)*(YEAR(Table8[[Date]:[Date]])=AV$1),0)</f>
        <v>0</v>
      </c>
      <c r="AW155">
        <f t="shared" si="11"/>
        <v>1589</v>
      </c>
    </row>
    <row r="156" spans="38:49" x14ac:dyDescent="0.25">
      <c r="AM156">
        <v>6</v>
      </c>
      <c r="AN156">
        <v>3</v>
      </c>
      <c r="AO156" t="str">
        <f t="shared" si="10"/>
        <v>6/3</v>
      </c>
      <c r="AP156" cm="1">
        <f t="array" ref="AP156">_xlfn._xlws.FILTER(Table8[[Day Total]:[Day Total]],(MONTH(Table8[[Date]:[Date]])=$AM156)*(DAY(Table8[[Date]:[Date]])=$AN156)*(YEAR(Table8[[Date]:[Date]])=AP$1),0)</f>
        <v>0</v>
      </c>
      <c r="AR156" cm="1">
        <f t="array" ref="AR156">_xlfn._xlws.FILTER(Table8[[Day Total]:[Day Total]],(MONTH(Table8[[Date]:[Date]])=$AM156)*(DAY(Table8[[Date]:[Date]])=$AN156)*(YEAR(Table8[[Date]:[Date]])=AR$1),0)</f>
        <v>0</v>
      </c>
      <c r="AS156">
        <f t="shared" si="9"/>
        <v>4187</v>
      </c>
      <c r="AT156" cm="1">
        <f t="array" ref="AT156">_xlfn._xlws.FILTER(Table8[[Day Total]:[Day Total]],(MONTH(Table8[[Date]:[Date]])=$AM156)*(DAY(Table8[[Date]:[Date]])=$AN156)*(YEAR(Table8[[Date]:[Date]])=AT$1),0)</f>
        <v>0</v>
      </c>
      <c r="AU156">
        <f t="shared" si="12"/>
        <v>827</v>
      </c>
      <c r="AV156" cm="1">
        <f t="array" ref="AV156">_xlfn._xlws.FILTER(Table8[[Day Total]:[Day Total]],(MONTH(Table8[[Date]:[Date]])=$AM156)*(DAY(Table8[[Date]:[Date]])=$AN156)*(YEAR(Table8[[Date]:[Date]])=AV$1),0)</f>
        <v>0</v>
      </c>
      <c r="AW156">
        <f t="shared" si="11"/>
        <v>1589</v>
      </c>
    </row>
    <row r="157" spans="38:49" x14ac:dyDescent="0.25">
      <c r="AM157">
        <v>6</v>
      </c>
      <c r="AN157">
        <v>4</v>
      </c>
      <c r="AO157" t="str">
        <f t="shared" si="10"/>
        <v>6/4</v>
      </c>
      <c r="AP157" cm="1">
        <f t="array" ref="AP157">_xlfn._xlws.FILTER(Table8[[Day Total]:[Day Total]],(MONTH(Table8[[Date]:[Date]])=$AM157)*(DAY(Table8[[Date]:[Date]])=$AN157)*(YEAR(Table8[[Date]:[Date]])=AP$1),0)</f>
        <v>0</v>
      </c>
      <c r="AR157" cm="1">
        <f t="array" ref="AR157">_xlfn._xlws.FILTER(Table8[[Day Total]:[Day Total]],(MONTH(Table8[[Date]:[Date]])=$AM157)*(DAY(Table8[[Date]:[Date]])=$AN157)*(YEAR(Table8[[Date]:[Date]])=AR$1),0)</f>
        <v>0</v>
      </c>
      <c r="AS157">
        <f t="shared" si="9"/>
        <v>4187</v>
      </c>
      <c r="AT157" cm="1">
        <f t="array" ref="AT157">_xlfn._xlws.FILTER(Table8[[Day Total]:[Day Total]],(MONTH(Table8[[Date]:[Date]])=$AM157)*(DAY(Table8[[Date]:[Date]])=$AN157)*(YEAR(Table8[[Date]:[Date]])=AT$1),0)</f>
        <v>0</v>
      </c>
      <c r="AU157">
        <f t="shared" si="12"/>
        <v>827</v>
      </c>
      <c r="AV157" cm="1">
        <f t="array" ref="AV157">_xlfn._xlws.FILTER(Table8[[Day Total]:[Day Total]],(MONTH(Table8[[Date]:[Date]])=$AM157)*(DAY(Table8[[Date]:[Date]])=$AN157)*(YEAR(Table8[[Date]:[Date]])=AV$1),0)</f>
        <v>0</v>
      </c>
      <c r="AW157">
        <f t="shared" si="11"/>
        <v>1589</v>
      </c>
    </row>
    <row r="158" spans="38:49" x14ac:dyDescent="0.25">
      <c r="AM158">
        <v>6</v>
      </c>
      <c r="AN158">
        <v>5</v>
      </c>
      <c r="AO158" t="str">
        <f t="shared" si="10"/>
        <v>6/5</v>
      </c>
      <c r="AP158" cm="1">
        <f t="array" ref="AP158">_xlfn._xlws.FILTER(Table8[[Day Total]:[Day Total]],(MONTH(Table8[[Date]:[Date]])=$AM158)*(DAY(Table8[[Date]:[Date]])=$AN158)*(YEAR(Table8[[Date]:[Date]])=AP$1),0)</f>
        <v>0</v>
      </c>
      <c r="AR158" cm="1">
        <f t="array" ref="AR158">_xlfn._xlws.FILTER(Table8[[Day Total]:[Day Total]],(MONTH(Table8[[Date]:[Date]])=$AM158)*(DAY(Table8[[Date]:[Date]])=$AN158)*(YEAR(Table8[[Date]:[Date]])=AR$1),0)</f>
        <v>1</v>
      </c>
      <c r="AS158">
        <f t="shared" si="9"/>
        <v>4188</v>
      </c>
      <c r="AT158" cm="1">
        <f t="array" ref="AT158">_xlfn._xlws.FILTER(Table8[[Day Total]:[Day Total]],(MONTH(Table8[[Date]:[Date]])=$AM158)*(DAY(Table8[[Date]:[Date]])=$AN158)*(YEAR(Table8[[Date]:[Date]])=AT$1),0)</f>
        <v>0</v>
      </c>
      <c r="AU158">
        <f t="shared" si="12"/>
        <v>827</v>
      </c>
      <c r="AV158" cm="1">
        <f t="array" ref="AV158">_xlfn._xlws.FILTER(Table8[[Day Total]:[Day Total]],(MONTH(Table8[[Date]:[Date]])=$AM158)*(DAY(Table8[[Date]:[Date]])=$AN158)*(YEAR(Table8[[Date]:[Date]])=AV$1),0)</f>
        <v>0</v>
      </c>
      <c r="AW158">
        <f t="shared" si="11"/>
        <v>1589</v>
      </c>
    </row>
    <row r="159" spans="38:49" x14ac:dyDescent="0.25">
      <c r="AM159">
        <v>6</v>
      </c>
      <c r="AN159">
        <v>6</v>
      </c>
      <c r="AO159" t="str">
        <f t="shared" si="10"/>
        <v>6/6</v>
      </c>
      <c r="AP159" cm="1">
        <f t="array" ref="AP159">_xlfn._xlws.FILTER(Table8[[Day Total]:[Day Total]],(MONTH(Table8[[Date]:[Date]])=$AM159)*(DAY(Table8[[Date]:[Date]])=$AN159)*(YEAR(Table8[[Date]:[Date]])=AP$1),0)</f>
        <v>0</v>
      </c>
      <c r="AR159" cm="1">
        <f t="array" ref="AR159">_xlfn._xlws.FILTER(Table8[[Day Total]:[Day Total]],(MONTH(Table8[[Date]:[Date]])=$AM159)*(DAY(Table8[[Date]:[Date]])=$AN159)*(YEAR(Table8[[Date]:[Date]])=AR$1),0)</f>
        <v>0</v>
      </c>
      <c r="AS159">
        <f t="shared" si="9"/>
        <v>4188</v>
      </c>
      <c r="AT159" cm="1">
        <f t="array" ref="AT159">_xlfn._xlws.FILTER(Table8[[Day Total]:[Day Total]],(MONTH(Table8[[Date]:[Date]])=$AM159)*(DAY(Table8[[Date]:[Date]])=$AN159)*(YEAR(Table8[[Date]:[Date]])=AT$1),0)</f>
        <v>0</v>
      </c>
      <c r="AU159">
        <f t="shared" si="12"/>
        <v>827</v>
      </c>
      <c r="AV159" cm="1">
        <f t="array" ref="AV159">_xlfn._xlws.FILTER(Table8[[Day Total]:[Day Total]],(MONTH(Table8[[Date]:[Date]])=$AM159)*(DAY(Table8[[Date]:[Date]])=$AN159)*(YEAR(Table8[[Date]:[Date]])=AV$1),0)</f>
        <v>0</v>
      </c>
      <c r="AW159">
        <f t="shared" si="11"/>
        <v>1589</v>
      </c>
    </row>
    <row r="160" spans="38:49" x14ac:dyDescent="0.25">
      <c r="AM160">
        <v>6</v>
      </c>
      <c r="AN160">
        <v>7</v>
      </c>
      <c r="AO160" t="str">
        <f t="shared" si="10"/>
        <v>6/7</v>
      </c>
      <c r="AP160" cm="1">
        <f t="array" ref="AP160">_xlfn._xlws.FILTER(Table8[[Day Total]:[Day Total]],(MONTH(Table8[[Date]:[Date]])=$AM160)*(DAY(Table8[[Date]:[Date]])=$AN160)*(YEAR(Table8[[Date]:[Date]])=AP$1),0)</f>
        <v>0</v>
      </c>
      <c r="AR160" cm="1">
        <f t="array" ref="AR160">_xlfn._xlws.FILTER(Table8[[Day Total]:[Day Total]],(MONTH(Table8[[Date]:[Date]])=$AM160)*(DAY(Table8[[Date]:[Date]])=$AN160)*(YEAR(Table8[[Date]:[Date]])=AR$1),0)</f>
        <v>0</v>
      </c>
      <c r="AS160">
        <f t="shared" si="9"/>
        <v>4188</v>
      </c>
      <c r="AT160" cm="1">
        <f t="array" ref="AT160">_xlfn._xlws.FILTER(Table8[[Day Total]:[Day Total]],(MONTH(Table8[[Date]:[Date]])=$AM160)*(DAY(Table8[[Date]:[Date]])=$AN160)*(YEAR(Table8[[Date]:[Date]])=AT$1),0)</f>
        <v>0</v>
      </c>
      <c r="AU160">
        <f t="shared" si="12"/>
        <v>827</v>
      </c>
      <c r="AV160" cm="1">
        <f t="array" ref="AV160">_xlfn._xlws.FILTER(Table8[[Day Total]:[Day Total]],(MONTH(Table8[[Date]:[Date]])=$AM160)*(DAY(Table8[[Date]:[Date]])=$AN160)*(YEAR(Table8[[Date]:[Date]])=AV$1),0)</f>
        <v>0</v>
      </c>
      <c r="AW160">
        <f t="shared" si="11"/>
        <v>1589</v>
      </c>
    </row>
    <row r="161" spans="39:49" x14ac:dyDescent="0.25">
      <c r="AM161">
        <v>6</v>
      </c>
      <c r="AN161">
        <v>8</v>
      </c>
      <c r="AO161" t="str">
        <f t="shared" si="10"/>
        <v>6/8</v>
      </c>
      <c r="AP161" cm="1">
        <f t="array" ref="AP161">_xlfn._xlws.FILTER(Table8[[Day Total]:[Day Total]],(MONTH(Table8[[Date]:[Date]])=$AM161)*(DAY(Table8[[Date]:[Date]])=$AN161)*(YEAR(Table8[[Date]:[Date]])=AP$1),0)</f>
        <v>0</v>
      </c>
      <c r="AR161" cm="1">
        <f t="array" ref="AR161">_xlfn._xlws.FILTER(Table8[[Day Total]:[Day Total]],(MONTH(Table8[[Date]:[Date]])=$AM161)*(DAY(Table8[[Date]:[Date]])=$AN161)*(YEAR(Table8[[Date]:[Date]])=AR$1),0)</f>
        <v>0</v>
      </c>
      <c r="AS161">
        <f t="shared" si="9"/>
        <v>4188</v>
      </c>
      <c r="AT161" cm="1">
        <f t="array" ref="AT161">_xlfn._xlws.FILTER(Table8[[Day Total]:[Day Total]],(MONTH(Table8[[Date]:[Date]])=$AM161)*(DAY(Table8[[Date]:[Date]])=$AN161)*(YEAR(Table8[[Date]:[Date]])=AT$1),0)</f>
        <v>0</v>
      </c>
      <c r="AU161">
        <f t="shared" si="12"/>
        <v>827</v>
      </c>
      <c r="AV161" cm="1">
        <f t="array" ref="AV161">_xlfn._xlws.FILTER(Table8[[Day Total]:[Day Total]],(MONTH(Table8[[Date]:[Date]])=$AM161)*(DAY(Table8[[Date]:[Date]])=$AN161)*(YEAR(Table8[[Date]:[Date]])=AV$1),0)</f>
        <v>0</v>
      </c>
      <c r="AW161">
        <f t="shared" si="11"/>
        <v>1589</v>
      </c>
    </row>
    <row r="162" spans="39:49" x14ac:dyDescent="0.25">
      <c r="AM162">
        <v>6</v>
      </c>
      <c r="AN162">
        <v>9</v>
      </c>
      <c r="AO162" t="str">
        <f t="shared" si="10"/>
        <v>6/9</v>
      </c>
      <c r="AP162" cm="1">
        <f t="array" ref="AP162">_xlfn._xlws.FILTER(Table8[[Day Total]:[Day Total]],(MONTH(Table8[[Date]:[Date]])=$AM162)*(DAY(Table8[[Date]:[Date]])=$AN162)*(YEAR(Table8[[Date]:[Date]])=AP$1),0)</f>
        <v>0</v>
      </c>
      <c r="AR162" cm="1">
        <f t="array" ref="AR162">_xlfn._xlws.FILTER(Table8[[Day Total]:[Day Total]],(MONTH(Table8[[Date]:[Date]])=$AM162)*(DAY(Table8[[Date]:[Date]])=$AN162)*(YEAR(Table8[[Date]:[Date]])=AR$1),0)</f>
        <v>0</v>
      </c>
      <c r="AS162">
        <f t="shared" si="9"/>
        <v>4188</v>
      </c>
      <c r="AT162" cm="1">
        <f t="array" ref="AT162">_xlfn._xlws.FILTER(Table8[[Day Total]:[Day Total]],(MONTH(Table8[[Date]:[Date]])=$AM162)*(DAY(Table8[[Date]:[Date]])=$AN162)*(YEAR(Table8[[Date]:[Date]])=AT$1),0)</f>
        <v>0</v>
      </c>
      <c r="AU162">
        <f t="shared" si="12"/>
        <v>827</v>
      </c>
      <c r="AV162" cm="1">
        <f t="array" ref="AV162">_xlfn._xlws.FILTER(Table8[[Day Total]:[Day Total]],(MONTH(Table8[[Date]:[Date]])=$AM162)*(DAY(Table8[[Date]:[Date]])=$AN162)*(YEAR(Table8[[Date]:[Date]])=AV$1),0)</f>
        <v>0</v>
      </c>
      <c r="AW162">
        <f t="shared" si="11"/>
        <v>1589</v>
      </c>
    </row>
    <row r="163" spans="39:49" x14ac:dyDescent="0.25">
      <c r="AM163">
        <v>6</v>
      </c>
      <c r="AN163">
        <v>10</v>
      </c>
      <c r="AO163" t="str">
        <f t="shared" si="10"/>
        <v>6/10</v>
      </c>
      <c r="AP163" cm="1">
        <f t="array" ref="AP163">_xlfn._xlws.FILTER(Table8[[Day Total]:[Day Total]],(MONTH(Table8[[Date]:[Date]])=$AM163)*(DAY(Table8[[Date]:[Date]])=$AN163)*(YEAR(Table8[[Date]:[Date]])=AP$1),0)</f>
        <v>0</v>
      </c>
      <c r="AR163" cm="1">
        <f t="array" ref="AR163">_xlfn._xlws.FILTER(Table8[[Day Total]:[Day Total]],(MONTH(Table8[[Date]:[Date]])=$AM163)*(DAY(Table8[[Date]:[Date]])=$AN163)*(YEAR(Table8[[Date]:[Date]])=AR$1),0)</f>
        <v>0</v>
      </c>
      <c r="AS163">
        <f t="shared" si="9"/>
        <v>4188</v>
      </c>
      <c r="AT163" cm="1">
        <f t="array" ref="AT163">_xlfn._xlws.FILTER(Table8[[Day Total]:[Day Total]],(MONTH(Table8[[Date]:[Date]])=$AM163)*(DAY(Table8[[Date]:[Date]])=$AN163)*(YEAR(Table8[[Date]:[Date]])=AT$1),0)</f>
        <v>0</v>
      </c>
      <c r="AU163">
        <f t="shared" si="12"/>
        <v>827</v>
      </c>
      <c r="AV163" cm="1">
        <f t="array" ref="AV163">_xlfn._xlws.FILTER(Table8[[Day Total]:[Day Total]],(MONTH(Table8[[Date]:[Date]])=$AM163)*(DAY(Table8[[Date]:[Date]])=$AN163)*(YEAR(Table8[[Date]:[Date]])=AV$1),0)</f>
        <v>0</v>
      </c>
      <c r="AW163">
        <f t="shared" si="11"/>
        <v>1589</v>
      </c>
    </row>
    <row r="164" spans="39:49" x14ac:dyDescent="0.25">
      <c r="AM164">
        <v>6</v>
      </c>
      <c r="AN164">
        <v>11</v>
      </c>
      <c r="AO164" t="str">
        <f t="shared" si="10"/>
        <v>6/11</v>
      </c>
      <c r="AP164" cm="1">
        <f t="array" ref="AP164">_xlfn._xlws.FILTER(Table8[[Day Total]:[Day Total]],(MONTH(Table8[[Date]:[Date]])=$AM164)*(DAY(Table8[[Date]:[Date]])=$AN164)*(YEAR(Table8[[Date]:[Date]])=AP$1),0)</f>
        <v>0</v>
      </c>
      <c r="AR164" cm="1">
        <f t="array" ref="AR164">_xlfn._xlws.FILTER(Table8[[Day Total]:[Day Total]],(MONTH(Table8[[Date]:[Date]])=$AM164)*(DAY(Table8[[Date]:[Date]])=$AN164)*(YEAR(Table8[[Date]:[Date]])=AR$1),0)</f>
        <v>0</v>
      </c>
      <c r="AS164">
        <f t="shared" si="9"/>
        <v>4188</v>
      </c>
      <c r="AT164" cm="1">
        <f t="array" ref="AT164">_xlfn._xlws.FILTER(Table8[[Day Total]:[Day Total]],(MONTH(Table8[[Date]:[Date]])=$AM164)*(DAY(Table8[[Date]:[Date]])=$AN164)*(YEAR(Table8[[Date]:[Date]])=AT$1),0)</f>
        <v>4</v>
      </c>
      <c r="AU164">
        <f t="shared" si="12"/>
        <v>831</v>
      </c>
      <c r="AV164" cm="1">
        <f t="array" ref="AV164">_xlfn._xlws.FILTER(Table8[[Day Total]:[Day Total]],(MONTH(Table8[[Date]:[Date]])=$AM164)*(DAY(Table8[[Date]:[Date]])=$AN164)*(YEAR(Table8[[Date]:[Date]])=AV$1),0)</f>
        <v>0</v>
      </c>
      <c r="AW164">
        <f t="shared" si="11"/>
        <v>1589</v>
      </c>
    </row>
    <row r="165" spans="39:49" x14ac:dyDescent="0.25">
      <c r="AM165">
        <v>6</v>
      </c>
      <c r="AN165">
        <v>12</v>
      </c>
      <c r="AO165" t="str">
        <f t="shared" si="10"/>
        <v>6/12</v>
      </c>
      <c r="AP165" cm="1">
        <f t="array" ref="AP165">_xlfn._xlws.FILTER(Table8[[Day Total]:[Day Total]],(MONTH(Table8[[Date]:[Date]])=$AM165)*(DAY(Table8[[Date]:[Date]])=$AN165)*(YEAR(Table8[[Date]:[Date]])=AP$1),0)</f>
        <v>0</v>
      </c>
      <c r="AR165" cm="1">
        <f t="array" ref="AR165">_xlfn._xlws.FILTER(Table8[[Day Total]:[Day Total]],(MONTH(Table8[[Date]:[Date]])=$AM165)*(DAY(Table8[[Date]:[Date]])=$AN165)*(YEAR(Table8[[Date]:[Date]])=AR$1),0)</f>
        <v>0</v>
      </c>
      <c r="AS165">
        <f t="shared" si="9"/>
        <v>4188</v>
      </c>
      <c r="AT165" cm="1">
        <f t="array" ref="AT165">_xlfn._xlws.FILTER(Table8[[Day Total]:[Day Total]],(MONTH(Table8[[Date]:[Date]])=$AM165)*(DAY(Table8[[Date]:[Date]])=$AN165)*(YEAR(Table8[[Date]:[Date]])=AT$1),0)</f>
        <v>0</v>
      </c>
      <c r="AU165">
        <f t="shared" si="12"/>
        <v>831</v>
      </c>
      <c r="AV165" cm="1">
        <f t="array" ref="AV165">_xlfn._xlws.FILTER(Table8[[Day Total]:[Day Total]],(MONTH(Table8[[Date]:[Date]])=$AM165)*(DAY(Table8[[Date]:[Date]])=$AN165)*(YEAR(Table8[[Date]:[Date]])=AV$1),0)</f>
        <v>0</v>
      </c>
      <c r="AW165">
        <f t="shared" si="11"/>
        <v>1589</v>
      </c>
    </row>
    <row r="166" spans="39:49" x14ac:dyDescent="0.25">
      <c r="AM166">
        <v>6</v>
      </c>
      <c r="AN166">
        <v>13</v>
      </c>
      <c r="AO166" t="str">
        <f t="shared" si="10"/>
        <v>6/13</v>
      </c>
      <c r="AP166" cm="1">
        <f t="array" ref="AP166">_xlfn._xlws.FILTER(Table8[[Day Total]:[Day Total]],(MONTH(Table8[[Date]:[Date]])=$AM166)*(DAY(Table8[[Date]:[Date]])=$AN166)*(YEAR(Table8[[Date]:[Date]])=AP$1),0)</f>
        <v>0</v>
      </c>
      <c r="AR166" cm="1">
        <f t="array" ref="AR166">_xlfn._xlws.FILTER(Table8[[Day Total]:[Day Total]],(MONTH(Table8[[Date]:[Date]])=$AM166)*(DAY(Table8[[Date]:[Date]])=$AN166)*(YEAR(Table8[[Date]:[Date]])=AR$1),0)</f>
        <v>0</v>
      </c>
      <c r="AS166">
        <f t="shared" si="9"/>
        <v>4188</v>
      </c>
      <c r="AT166" cm="1">
        <f t="array" ref="AT166">_xlfn._xlws.FILTER(Table8[[Day Total]:[Day Total]],(MONTH(Table8[[Date]:[Date]])=$AM166)*(DAY(Table8[[Date]:[Date]])=$AN166)*(YEAR(Table8[[Date]:[Date]])=AT$1),0)</f>
        <v>0</v>
      </c>
      <c r="AU166">
        <f t="shared" si="12"/>
        <v>831</v>
      </c>
      <c r="AV166" cm="1">
        <f t="array" ref="AV166">_xlfn._xlws.FILTER(Table8[[Day Total]:[Day Total]],(MONTH(Table8[[Date]:[Date]])=$AM166)*(DAY(Table8[[Date]:[Date]])=$AN166)*(YEAR(Table8[[Date]:[Date]])=AV$1),0)</f>
        <v>0</v>
      </c>
      <c r="AW166">
        <f t="shared" si="11"/>
        <v>1589</v>
      </c>
    </row>
    <row r="167" spans="39:49" x14ac:dyDescent="0.25">
      <c r="AM167">
        <v>6</v>
      </c>
      <c r="AN167">
        <v>14</v>
      </c>
      <c r="AO167" t="str">
        <f t="shared" si="10"/>
        <v>6/14</v>
      </c>
      <c r="AP167" cm="1">
        <f t="array" ref="AP167">_xlfn._xlws.FILTER(Table8[[Day Total]:[Day Total]],(MONTH(Table8[[Date]:[Date]])=$AM167)*(DAY(Table8[[Date]:[Date]])=$AN167)*(YEAR(Table8[[Date]:[Date]])=AP$1),0)</f>
        <v>0</v>
      </c>
      <c r="AR167" cm="1">
        <f t="array" ref="AR167">_xlfn._xlws.FILTER(Table8[[Day Total]:[Day Total]],(MONTH(Table8[[Date]:[Date]])=$AM167)*(DAY(Table8[[Date]:[Date]])=$AN167)*(YEAR(Table8[[Date]:[Date]])=AR$1),0)</f>
        <v>0</v>
      </c>
      <c r="AS167">
        <f t="shared" si="9"/>
        <v>4188</v>
      </c>
      <c r="AT167" cm="1">
        <f t="array" ref="AT167">_xlfn._xlws.FILTER(Table8[[Day Total]:[Day Total]],(MONTH(Table8[[Date]:[Date]])=$AM167)*(DAY(Table8[[Date]:[Date]])=$AN167)*(YEAR(Table8[[Date]:[Date]])=AT$1),0)</f>
        <v>0</v>
      </c>
      <c r="AU167">
        <f t="shared" si="12"/>
        <v>831</v>
      </c>
      <c r="AV167" cm="1">
        <f t="array" ref="AV167">_xlfn._xlws.FILTER(Table8[[Day Total]:[Day Total]],(MONTH(Table8[[Date]:[Date]])=$AM167)*(DAY(Table8[[Date]:[Date]])=$AN167)*(YEAR(Table8[[Date]:[Date]])=AV$1),0)</f>
        <v>0</v>
      </c>
      <c r="AW167">
        <f t="shared" si="11"/>
        <v>1589</v>
      </c>
    </row>
    <row r="168" spans="39:49" x14ac:dyDescent="0.25">
      <c r="AM168">
        <v>6</v>
      </c>
      <c r="AN168">
        <v>15</v>
      </c>
      <c r="AO168" t="str">
        <f t="shared" si="10"/>
        <v>6/15</v>
      </c>
      <c r="AP168" cm="1">
        <f t="array" ref="AP168">_xlfn._xlws.FILTER(Table8[[Day Total]:[Day Total]],(MONTH(Table8[[Date]:[Date]])=$AM168)*(DAY(Table8[[Date]:[Date]])=$AN168)*(YEAR(Table8[[Date]:[Date]])=AP$1),0)</f>
        <v>0</v>
      </c>
      <c r="AR168" cm="1">
        <f t="array" ref="AR168">_xlfn._xlws.FILTER(Table8[[Day Total]:[Day Total]],(MONTH(Table8[[Date]:[Date]])=$AM168)*(DAY(Table8[[Date]:[Date]])=$AN168)*(YEAR(Table8[[Date]:[Date]])=AR$1),0)</f>
        <v>0</v>
      </c>
      <c r="AS168">
        <f t="shared" si="9"/>
        <v>4188</v>
      </c>
      <c r="AT168" cm="1">
        <f t="array" ref="AT168">_xlfn._xlws.FILTER(Table8[[Day Total]:[Day Total]],(MONTH(Table8[[Date]:[Date]])=$AM168)*(DAY(Table8[[Date]:[Date]])=$AN168)*(YEAR(Table8[[Date]:[Date]])=AT$1),0)</f>
        <v>0</v>
      </c>
      <c r="AU168">
        <f t="shared" si="12"/>
        <v>831</v>
      </c>
      <c r="AV168" cm="1">
        <f t="array" ref="AV168">_xlfn._xlws.FILTER(Table8[[Day Total]:[Day Total]],(MONTH(Table8[[Date]:[Date]])=$AM168)*(DAY(Table8[[Date]:[Date]])=$AN168)*(YEAR(Table8[[Date]:[Date]])=AV$1),0)</f>
        <v>0</v>
      </c>
      <c r="AW168">
        <f t="shared" si="11"/>
        <v>1589</v>
      </c>
    </row>
    <row r="169" spans="39:49" x14ac:dyDescent="0.25">
      <c r="AM169">
        <v>6</v>
      </c>
      <c r="AN169">
        <v>16</v>
      </c>
      <c r="AO169" t="str">
        <f t="shared" si="10"/>
        <v>6/16</v>
      </c>
      <c r="AP169" cm="1">
        <f t="array" ref="AP169">_xlfn._xlws.FILTER(Table8[[Day Total]:[Day Total]],(MONTH(Table8[[Date]:[Date]])=$AM169)*(DAY(Table8[[Date]:[Date]])=$AN169)*(YEAR(Table8[[Date]:[Date]])=AP$1),0)</f>
        <v>0</v>
      </c>
      <c r="AR169" cm="1">
        <f t="array" ref="AR169">_xlfn._xlws.FILTER(Table8[[Day Total]:[Day Total]],(MONTH(Table8[[Date]:[Date]])=$AM169)*(DAY(Table8[[Date]:[Date]])=$AN169)*(YEAR(Table8[[Date]:[Date]])=AR$1),0)</f>
        <v>0</v>
      </c>
      <c r="AS169">
        <f t="shared" si="9"/>
        <v>4188</v>
      </c>
      <c r="AT169" cm="1">
        <f t="array" ref="AT169">_xlfn._xlws.FILTER(Table8[[Day Total]:[Day Total]],(MONTH(Table8[[Date]:[Date]])=$AM169)*(DAY(Table8[[Date]:[Date]])=$AN169)*(YEAR(Table8[[Date]:[Date]])=AT$1),0)</f>
        <v>0</v>
      </c>
      <c r="AU169">
        <f t="shared" si="12"/>
        <v>831</v>
      </c>
      <c r="AV169" cm="1">
        <f t="array" ref="AV169">_xlfn._xlws.FILTER(Table8[[Day Total]:[Day Total]],(MONTH(Table8[[Date]:[Date]])=$AM169)*(DAY(Table8[[Date]:[Date]])=$AN169)*(YEAR(Table8[[Date]:[Date]])=AV$1),0)</f>
        <v>0</v>
      </c>
      <c r="AW169">
        <f t="shared" si="11"/>
        <v>1589</v>
      </c>
    </row>
    <row r="170" spans="39:49" x14ac:dyDescent="0.25">
      <c r="AM170">
        <v>6</v>
      </c>
      <c r="AN170">
        <v>17</v>
      </c>
      <c r="AO170" t="str">
        <f t="shared" si="10"/>
        <v>6/17</v>
      </c>
      <c r="AP170" cm="1">
        <f t="array" ref="AP170">_xlfn._xlws.FILTER(Table8[[Day Total]:[Day Total]],(MONTH(Table8[[Date]:[Date]])=$AM170)*(DAY(Table8[[Date]:[Date]])=$AN170)*(YEAR(Table8[[Date]:[Date]])=AP$1),0)</f>
        <v>0</v>
      </c>
      <c r="AR170" cm="1">
        <f t="array" ref="AR170">_xlfn._xlws.FILTER(Table8[[Day Total]:[Day Total]],(MONTH(Table8[[Date]:[Date]])=$AM170)*(DAY(Table8[[Date]:[Date]])=$AN170)*(YEAR(Table8[[Date]:[Date]])=AR$1),0)</f>
        <v>1</v>
      </c>
      <c r="AS170">
        <f t="shared" si="9"/>
        <v>4189</v>
      </c>
      <c r="AT170" cm="1">
        <f t="array" ref="AT170">_xlfn._xlws.FILTER(Table8[[Day Total]:[Day Total]],(MONTH(Table8[[Date]:[Date]])=$AM170)*(DAY(Table8[[Date]:[Date]])=$AN170)*(YEAR(Table8[[Date]:[Date]])=AT$1),0)</f>
        <v>0</v>
      </c>
      <c r="AU170">
        <f t="shared" si="12"/>
        <v>831</v>
      </c>
      <c r="AV170" cm="1">
        <f t="array" ref="AV170">_xlfn._xlws.FILTER(Table8[[Day Total]:[Day Total]],(MONTH(Table8[[Date]:[Date]])=$AM170)*(DAY(Table8[[Date]:[Date]])=$AN170)*(YEAR(Table8[[Date]:[Date]])=AV$1),0)</f>
        <v>0</v>
      </c>
      <c r="AW170">
        <f t="shared" si="11"/>
        <v>1589</v>
      </c>
    </row>
    <row r="171" spans="39:49" x14ac:dyDescent="0.25">
      <c r="AM171">
        <v>6</v>
      </c>
      <c r="AN171">
        <v>18</v>
      </c>
      <c r="AO171" t="str">
        <f t="shared" si="10"/>
        <v>6/18</v>
      </c>
      <c r="AP171" cm="1">
        <f t="array" ref="AP171">_xlfn._xlws.FILTER(Table8[[Day Total]:[Day Total]],(MONTH(Table8[[Date]:[Date]])=$AM171)*(DAY(Table8[[Date]:[Date]])=$AN171)*(YEAR(Table8[[Date]:[Date]])=AP$1),0)</f>
        <v>0</v>
      </c>
      <c r="AR171" cm="1">
        <f t="array" ref="AR171">_xlfn._xlws.FILTER(Table8[[Day Total]:[Day Total]],(MONTH(Table8[[Date]:[Date]])=$AM171)*(DAY(Table8[[Date]:[Date]])=$AN171)*(YEAR(Table8[[Date]:[Date]])=AR$1),0)</f>
        <v>1</v>
      </c>
      <c r="AS171">
        <f t="shared" si="9"/>
        <v>4190</v>
      </c>
      <c r="AT171" cm="1">
        <f t="array" ref="AT171">_xlfn._xlws.FILTER(Table8[[Day Total]:[Day Total]],(MONTH(Table8[[Date]:[Date]])=$AM171)*(DAY(Table8[[Date]:[Date]])=$AN171)*(YEAR(Table8[[Date]:[Date]])=AT$1),0)</f>
        <v>0</v>
      </c>
      <c r="AU171">
        <f t="shared" si="12"/>
        <v>831</v>
      </c>
      <c r="AV171" cm="1">
        <f t="array" ref="AV171">_xlfn._xlws.FILTER(Table8[[Day Total]:[Day Total]],(MONTH(Table8[[Date]:[Date]])=$AM171)*(DAY(Table8[[Date]:[Date]])=$AN171)*(YEAR(Table8[[Date]:[Date]])=AV$1),0)</f>
        <v>0</v>
      </c>
      <c r="AW171">
        <f t="shared" si="11"/>
        <v>1589</v>
      </c>
    </row>
    <row r="172" spans="39:49" x14ac:dyDescent="0.25">
      <c r="AM172">
        <v>6</v>
      </c>
      <c r="AN172">
        <v>19</v>
      </c>
      <c r="AO172" t="str">
        <f t="shared" si="10"/>
        <v>6/19</v>
      </c>
      <c r="AP172" cm="1">
        <f t="array" ref="AP172">_xlfn._xlws.FILTER(Table8[[Day Total]:[Day Total]],(MONTH(Table8[[Date]:[Date]])=$AM172)*(DAY(Table8[[Date]:[Date]])=$AN172)*(YEAR(Table8[[Date]:[Date]])=AP$1),0)</f>
        <v>0</v>
      </c>
      <c r="AR172" cm="1">
        <f t="array" ref="AR172">_xlfn._xlws.FILTER(Table8[[Day Total]:[Day Total]],(MONTH(Table8[[Date]:[Date]])=$AM172)*(DAY(Table8[[Date]:[Date]])=$AN172)*(YEAR(Table8[[Date]:[Date]])=AR$1),0)</f>
        <v>0</v>
      </c>
      <c r="AS172">
        <f t="shared" si="9"/>
        <v>4190</v>
      </c>
      <c r="AT172" cm="1">
        <f t="array" ref="AT172">_xlfn._xlws.FILTER(Table8[[Day Total]:[Day Total]],(MONTH(Table8[[Date]:[Date]])=$AM172)*(DAY(Table8[[Date]:[Date]])=$AN172)*(YEAR(Table8[[Date]:[Date]])=AT$1),0)</f>
        <v>0</v>
      </c>
      <c r="AU172">
        <f t="shared" si="12"/>
        <v>831</v>
      </c>
      <c r="AV172" cm="1">
        <f t="array" ref="AV172">_xlfn._xlws.FILTER(Table8[[Day Total]:[Day Total]],(MONTH(Table8[[Date]:[Date]])=$AM172)*(DAY(Table8[[Date]:[Date]])=$AN172)*(YEAR(Table8[[Date]:[Date]])=AV$1),0)</f>
        <v>0</v>
      </c>
      <c r="AW172">
        <f t="shared" si="11"/>
        <v>1589</v>
      </c>
    </row>
    <row r="173" spans="39:49" x14ac:dyDescent="0.25">
      <c r="AM173">
        <v>6</v>
      </c>
      <c r="AN173">
        <v>20</v>
      </c>
      <c r="AO173" t="str">
        <f t="shared" si="10"/>
        <v>6/20</v>
      </c>
      <c r="AP173" cm="1">
        <f t="array" ref="AP173">_xlfn._xlws.FILTER(Table8[[Day Total]:[Day Total]],(MONTH(Table8[[Date]:[Date]])=$AM173)*(DAY(Table8[[Date]:[Date]])=$AN173)*(YEAR(Table8[[Date]:[Date]])=AP$1),0)</f>
        <v>0</v>
      </c>
      <c r="AR173" cm="1">
        <f t="array" ref="AR173">_xlfn._xlws.FILTER(Table8[[Day Total]:[Day Total]],(MONTH(Table8[[Date]:[Date]])=$AM173)*(DAY(Table8[[Date]:[Date]])=$AN173)*(YEAR(Table8[[Date]:[Date]])=AR$1),0)</f>
        <v>0</v>
      </c>
      <c r="AS173">
        <f t="shared" si="9"/>
        <v>4190</v>
      </c>
      <c r="AT173" cm="1">
        <f t="array" ref="AT173">_xlfn._xlws.FILTER(Table8[[Day Total]:[Day Total]],(MONTH(Table8[[Date]:[Date]])=$AM173)*(DAY(Table8[[Date]:[Date]])=$AN173)*(YEAR(Table8[[Date]:[Date]])=AT$1),0)</f>
        <v>0</v>
      </c>
      <c r="AU173">
        <f t="shared" si="12"/>
        <v>831</v>
      </c>
      <c r="AV173" cm="1">
        <f t="array" ref="AV173">_xlfn._xlws.FILTER(Table8[[Day Total]:[Day Total]],(MONTH(Table8[[Date]:[Date]])=$AM173)*(DAY(Table8[[Date]:[Date]])=$AN173)*(YEAR(Table8[[Date]:[Date]])=AV$1),0)</f>
        <v>0</v>
      </c>
      <c r="AW173">
        <f t="shared" si="11"/>
        <v>1589</v>
      </c>
    </row>
    <row r="174" spans="39:49" x14ac:dyDescent="0.25">
      <c r="AM174">
        <v>6</v>
      </c>
      <c r="AN174">
        <v>21</v>
      </c>
      <c r="AO174" t="str">
        <f t="shared" si="10"/>
        <v>6/21</v>
      </c>
      <c r="AP174" cm="1">
        <f t="array" ref="AP174">_xlfn._xlws.FILTER(Table8[[Day Total]:[Day Total]],(MONTH(Table8[[Date]:[Date]])=$AM174)*(DAY(Table8[[Date]:[Date]])=$AN174)*(YEAR(Table8[[Date]:[Date]])=AP$1),0)</f>
        <v>0</v>
      </c>
      <c r="AR174" cm="1">
        <f t="array" ref="AR174">_xlfn._xlws.FILTER(Table8[[Day Total]:[Day Total]],(MONTH(Table8[[Date]:[Date]])=$AM174)*(DAY(Table8[[Date]:[Date]])=$AN174)*(YEAR(Table8[[Date]:[Date]])=AR$1),0)</f>
        <v>0</v>
      </c>
      <c r="AS174">
        <f t="shared" si="9"/>
        <v>4190</v>
      </c>
      <c r="AT174" cm="1">
        <f t="array" ref="AT174">_xlfn._xlws.FILTER(Table8[[Day Total]:[Day Total]],(MONTH(Table8[[Date]:[Date]])=$AM174)*(DAY(Table8[[Date]:[Date]])=$AN174)*(YEAR(Table8[[Date]:[Date]])=AT$1),0)</f>
        <v>0</v>
      </c>
      <c r="AU174">
        <f t="shared" si="12"/>
        <v>831</v>
      </c>
      <c r="AV174" cm="1">
        <f t="array" ref="AV174">_xlfn._xlws.FILTER(Table8[[Day Total]:[Day Total]],(MONTH(Table8[[Date]:[Date]])=$AM174)*(DAY(Table8[[Date]:[Date]])=$AN174)*(YEAR(Table8[[Date]:[Date]])=AV$1),0)</f>
        <v>0</v>
      </c>
      <c r="AW174">
        <f t="shared" si="11"/>
        <v>1589</v>
      </c>
    </row>
    <row r="175" spans="39:49" x14ac:dyDescent="0.25">
      <c r="AM175">
        <v>6</v>
      </c>
      <c r="AN175">
        <v>22</v>
      </c>
      <c r="AO175" t="str">
        <f t="shared" si="10"/>
        <v>6/22</v>
      </c>
      <c r="AP175" cm="1">
        <f t="array" ref="AP175">_xlfn._xlws.FILTER(Table8[[Day Total]:[Day Total]],(MONTH(Table8[[Date]:[Date]])=$AM175)*(DAY(Table8[[Date]:[Date]])=$AN175)*(YEAR(Table8[[Date]:[Date]])=AP$1),0)</f>
        <v>0</v>
      </c>
      <c r="AR175" cm="1">
        <f t="array" ref="AR175">_xlfn._xlws.FILTER(Table8[[Day Total]:[Day Total]],(MONTH(Table8[[Date]:[Date]])=$AM175)*(DAY(Table8[[Date]:[Date]])=$AN175)*(YEAR(Table8[[Date]:[Date]])=AR$1),0)</f>
        <v>0</v>
      </c>
      <c r="AS175">
        <f t="shared" si="9"/>
        <v>4190</v>
      </c>
      <c r="AT175" cm="1">
        <f t="array" ref="AT175">_xlfn._xlws.FILTER(Table8[[Day Total]:[Day Total]],(MONTH(Table8[[Date]:[Date]])=$AM175)*(DAY(Table8[[Date]:[Date]])=$AN175)*(YEAR(Table8[[Date]:[Date]])=AT$1),0)</f>
        <v>0</v>
      </c>
      <c r="AU175">
        <f t="shared" si="12"/>
        <v>831</v>
      </c>
      <c r="AV175" cm="1">
        <f t="array" ref="AV175">_xlfn._xlws.FILTER(Table8[[Day Total]:[Day Total]],(MONTH(Table8[[Date]:[Date]])=$AM175)*(DAY(Table8[[Date]:[Date]])=$AN175)*(YEAR(Table8[[Date]:[Date]])=AV$1),0)</f>
        <v>0</v>
      </c>
      <c r="AW175">
        <f t="shared" si="11"/>
        <v>1589</v>
      </c>
    </row>
    <row r="176" spans="39:49" x14ac:dyDescent="0.25">
      <c r="AM176">
        <v>6</v>
      </c>
      <c r="AN176">
        <v>23</v>
      </c>
      <c r="AO176" t="str">
        <f t="shared" si="10"/>
        <v>6/23</v>
      </c>
      <c r="AP176" cm="1">
        <f t="array" ref="AP176">_xlfn._xlws.FILTER(Table8[[Day Total]:[Day Total]],(MONTH(Table8[[Date]:[Date]])=$AM176)*(DAY(Table8[[Date]:[Date]])=$AN176)*(YEAR(Table8[[Date]:[Date]])=AP$1),0)</f>
        <v>0</v>
      </c>
      <c r="AR176" cm="1">
        <f t="array" ref="AR176">_xlfn._xlws.FILTER(Table8[[Day Total]:[Day Total]],(MONTH(Table8[[Date]:[Date]])=$AM176)*(DAY(Table8[[Date]:[Date]])=$AN176)*(YEAR(Table8[[Date]:[Date]])=AR$1),0)</f>
        <v>0</v>
      </c>
      <c r="AS176">
        <f t="shared" si="9"/>
        <v>4190</v>
      </c>
      <c r="AT176" cm="1">
        <f t="array" ref="AT176">_xlfn._xlws.FILTER(Table8[[Day Total]:[Day Total]],(MONTH(Table8[[Date]:[Date]])=$AM176)*(DAY(Table8[[Date]:[Date]])=$AN176)*(YEAR(Table8[[Date]:[Date]])=AT$1),0)</f>
        <v>0</v>
      </c>
      <c r="AU176">
        <f t="shared" si="12"/>
        <v>831</v>
      </c>
      <c r="AV176" cm="1">
        <f t="array" ref="AV176">_xlfn._xlws.FILTER(Table8[[Day Total]:[Day Total]],(MONTH(Table8[[Date]:[Date]])=$AM176)*(DAY(Table8[[Date]:[Date]])=$AN176)*(YEAR(Table8[[Date]:[Date]])=AV$1),0)</f>
        <v>0</v>
      </c>
      <c r="AW176">
        <f t="shared" si="11"/>
        <v>1589</v>
      </c>
    </row>
    <row r="177" spans="38:49" x14ac:dyDescent="0.25">
      <c r="AM177">
        <v>6</v>
      </c>
      <c r="AN177">
        <v>24</v>
      </c>
      <c r="AO177" t="str">
        <f t="shared" si="10"/>
        <v>6/24</v>
      </c>
      <c r="AP177" cm="1">
        <f t="array" ref="AP177">_xlfn._xlws.FILTER(Table8[[Day Total]:[Day Total]],(MONTH(Table8[[Date]:[Date]])=$AM177)*(DAY(Table8[[Date]:[Date]])=$AN177)*(YEAR(Table8[[Date]:[Date]])=AP$1),0)</f>
        <v>0</v>
      </c>
      <c r="AR177" cm="1">
        <f t="array" ref="AR177">_xlfn._xlws.FILTER(Table8[[Day Total]:[Day Total]],(MONTH(Table8[[Date]:[Date]])=$AM177)*(DAY(Table8[[Date]:[Date]])=$AN177)*(YEAR(Table8[[Date]:[Date]])=AR$1),0)</f>
        <v>1</v>
      </c>
      <c r="AS177">
        <f t="shared" si="9"/>
        <v>4191</v>
      </c>
      <c r="AT177" cm="1">
        <f t="array" ref="AT177">_xlfn._xlws.FILTER(Table8[[Day Total]:[Day Total]],(MONTH(Table8[[Date]:[Date]])=$AM177)*(DAY(Table8[[Date]:[Date]])=$AN177)*(YEAR(Table8[[Date]:[Date]])=AT$1),0)</f>
        <v>0</v>
      </c>
      <c r="AU177">
        <f t="shared" si="12"/>
        <v>831</v>
      </c>
      <c r="AV177" cm="1">
        <f t="array" ref="AV177">_xlfn._xlws.FILTER(Table8[[Day Total]:[Day Total]],(MONTH(Table8[[Date]:[Date]])=$AM177)*(DAY(Table8[[Date]:[Date]])=$AN177)*(YEAR(Table8[[Date]:[Date]])=AV$1),0)</f>
        <v>0</v>
      </c>
      <c r="AW177">
        <f t="shared" si="11"/>
        <v>1589</v>
      </c>
    </row>
    <row r="178" spans="38:49" x14ac:dyDescent="0.25">
      <c r="AM178">
        <v>6</v>
      </c>
      <c r="AN178">
        <v>25</v>
      </c>
      <c r="AO178" t="str">
        <f t="shared" si="10"/>
        <v>6/25</v>
      </c>
      <c r="AP178" cm="1">
        <f t="array" ref="AP178">_xlfn._xlws.FILTER(Table8[[Day Total]:[Day Total]],(MONTH(Table8[[Date]:[Date]])=$AM178)*(DAY(Table8[[Date]:[Date]])=$AN178)*(YEAR(Table8[[Date]:[Date]])=AP$1),0)</f>
        <v>0</v>
      </c>
      <c r="AR178" cm="1">
        <f t="array" ref="AR178">_xlfn._xlws.FILTER(Table8[[Day Total]:[Day Total]],(MONTH(Table8[[Date]:[Date]])=$AM178)*(DAY(Table8[[Date]:[Date]])=$AN178)*(YEAR(Table8[[Date]:[Date]])=AR$1),0)</f>
        <v>1</v>
      </c>
      <c r="AS178">
        <f t="shared" si="9"/>
        <v>4192</v>
      </c>
      <c r="AT178" cm="1">
        <f t="array" ref="AT178">_xlfn._xlws.FILTER(Table8[[Day Total]:[Day Total]],(MONTH(Table8[[Date]:[Date]])=$AM178)*(DAY(Table8[[Date]:[Date]])=$AN178)*(YEAR(Table8[[Date]:[Date]])=AT$1),0)</f>
        <v>0</v>
      </c>
      <c r="AU178">
        <f t="shared" si="12"/>
        <v>831</v>
      </c>
      <c r="AV178" cm="1">
        <f t="array" ref="AV178">_xlfn._xlws.FILTER(Table8[[Day Total]:[Day Total]],(MONTH(Table8[[Date]:[Date]])=$AM178)*(DAY(Table8[[Date]:[Date]])=$AN178)*(YEAR(Table8[[Date]:[Date]])=AV$1),0)</f>
        <v>0</v>
      </c>
      <c r="AW178">
        <f t="shared" si="11"/>
        <v>1589</v>
      </c>
    </row>
    <row r="179" spans="38:49" x14ac:dyDescent="0.25">
      <c r="AM179">
        <v>6</v>
      </c>
      <c r="AN179">
        <v>26</v>
      </c>
      <c r="AO179" t="str">
        <f t="shared" si="10"/>
        <v>6/26</v>
      </c>
      <c r="AP179" cm="1">
        <f t="array" ref="AP179">_xlfn._xlws.FILTER(Table8[[Day Total]:[Day Total]],(MONTH(Table8[[Date]:[Date]])=$AM179)*(DAY(Table8[[Date]:[Date]])=$AN179)*(YEAR(Table8[[Date]:[Date]])=AP$1),0)</f>
        <v>0</v>
      </c>
      <c r="AR179" cm="1">
        <f t="array" ref="AR179">_xlfn._xlws.FILTER(Table8[[Day Total]:[Day Total]],(MONTH(Table8[[Date]:[Date]])=$AM179)*(DAY(Table8[[Date]:[Date]])=$AN179)*(YEAR(Table8[[Date]:[Date]])=AR$1),0)</f>
        <v>0</v>
      </c>
      <c r="AS179">
        <f t="shared" si="9"/>
        <v>4192</v>
      </c>
      <c r="AT179" cm="1">
        <f t="array" ref="AT179">_xlfn._xlws.FILTER(Table8[[Day Total]:[Day Total]],(MONTH(Table8[[Date]:[Date]])=$AM179)*(DAY(Table8[[Date]:[Date]])=$AN179)*(YEAR(Table8[[Date]:[Date]])=AT$1),0)</f>
        <v>0</v>
      </c>
      <c r="AU179">
        <f t="shared" si="12"/>
        <v>831</v>
      </c>
      <c r="AV179" cm="1">
        <f t="array" ref="AV179">_xlfn._xlws.FILTER(Table8[[Day Total]:[Day Total]],(MONTH(Table8[[Date]:[Date]])=$AM179)*(DAY(Table8[[Date]:[Date]])=$AN179)*(YEAR(Table8[[Date]:[Date]])=AV$1),0)</f>
        <v>0</v>
      </c>
      <c r="AW179">
        <f t="shared" si="11"/>
        <v>1589</v>
      </c>
    </row>
    <row r="180" spans="38:49" x14ac:dyDescent="0.25">
      <c r="AM180">
        <v>6</v>
      </c>
      <c r="AN180">
        <v>27</v>
      </c>
      <c r="AO180" t="str">
        <f t="shared" si="10"/>
        <v>6/27</v>
      </c>
      <c r="AP180" cm="1">
        <f t="array" ref="AP180">_xlfn._xlws.FILTER(Table8[[Day Total]:[Day Total]],(MONTH(Table8[[Date]:[Date]])=$AM180)*(DAY(Table8[[Date]:[Date]])=$AN180)*(YEAR(Table8[[Date]:[Date]])=AP$1),0)</f>
        <v>0</v>
      </c>
      <c r="AR180" cm="1">
        <f t="array" ref="AR180">_xlfn._xlws.FILTER(Table8[[Day Total]:[Day Total]],(MONTH(Table8[[Date]:[Date]])=$AM180)*(DAY(Table8[[Date]:[Date]])=$AN180)*(YEAR(Table8[[Date]:[Date]])=AR$1),0)</f>
        <v>0</v>
      </c>
      <c r="AS180">
        <f t="shared" si="9"/>
        <v>4192</v>
      </c>
      <c r="AT180" cm="1">
        <f t="array" ref="AT180">_xlfn._xlws.FILTER(Table8[[Day Total]:[Day Total]],(MONTH(Table8[[Date]:[Date]])=$AM180)*(DAY(Table8[[Date]:[Date]])=$AN180)*(YEAR(Table8[[Date]:[Date]])=AT$1),0)</f>
        <v>0</v>
      </c>
      <c r="AU180">
        <f t="shared" si="12"/>
        <v>831</v>
      </c>
      <c r="AV180" cm="1">
        <f t="array" ref="AV180">_xlfn._xlws.FILTER(Table8[[Day Total]:[Day Total]],(MONTH(Table8[[Date]:[Date]])=$AM180)*(DAY(Table8[[Date]:[Date]])=$AN180)*(YEAR(Table8[[Date]:[Date]])=AV$1),0)</f>
        <v>0</v>
      </c>
      <c r="AW180">
        <f t="shared" si="11"/>
        <v>1589</v>
      </c>
    </row>
    <row r="181" spans="38:49" x14ac:dyDescent="0.25">
      <c r="AM181">
        <v>6</v>
      </c>
      <c r="AN181">
        <v>28</v>
      </c>
      <c r="AO181" t="str">
        <f t="shared" si="10"/>
        <v>6/28</v>
      </c>
      <c r="AP181" cm="1">
        <f t="array" ref="AP181">_xlfn._xlws.FILTER(Table8[[Day Total]:[Day Total]],(MONTH(Table8[[Date]:[Date]])=$AM181)*(DAY(Table8[[Date]:[Date]])=$AN181)*(YEAR(Table8[[Date]:[Date]])=AP$1),0)</f>
        <v>0</v>
      </c>
      <c r="AR181" cm="1">
        <f t="array" ref="AR181">_xlfn._xlws.FILTER(Table8[[Day Total]:[Day Total]],(MONTH(Table8[[Date]:[Date]])=$AM181)*(DAY(Table8[[Date]:[Date]])=$AN181)*(YEAR(Table8[[Date]:[Date]])=AR$1),0)</f>
        <v>0</v>
      </c>
      <c r="AS181">
        <f t="shared" si="9"/>
        <v>4192</v>
      </c>
      <c r="AT181" cm="1">
        <f t="array" ref="AT181">_xlfn._xlws.FILTER(Table8[[Day Total]:[Day Total]],(MONTH(Table8[[Date]:[Date]])=$AM181)*(DAY(Table8[[Date]:[Date]])=$AN181)*(YEAR(Table8[[Date]:[Date]])=AT$1),0)</f>
        <v>0</v>
      </c>
      <c r="AU181">
        <f t="shared" si="12"/>
        <v>831</v>
      </c>
      <c r="AV181" cm="1">
        <f t="array" ref="AV181">_xlfn._xlws.FILTER(Table8[[Day Total]:[Day Total]],(MONTH(Table8[[Date]:[Date]])=$AM181)*(DAY(Table8[[Date]:[Date]])=$AN181)*(YEAR(Table8[[Date]:[Date]])=AV$1),0)</f>
        <v>0</v>
      </c>
      <c r="AW181">
        <f t="shared" si="11"/>
        <v>1589</v>
      </c>
    </row>
    <row r="182" spans="38:49" x14ac:dyDescent="0.25">
      <c r="AM182">
        <v>6</v>
      </c>
      <c r="AN182">
        <v>29</v>
      </c>
      <c r="AO182" t="str">
        <f t="shared" si="10"/>
        <v>6/29</v>
      </c>
      <c r="AP182" cm="1">
        <f t="array" ref="AP182">_xlfn._xlws.FILTER(Table8[[Day Total]:[Day Total]],(MONTH(Table8[[Date]:[Date]])=$AM182)*(DAY(Table8[[Date]:[Date]])=$AN182)*(YEAR(Table8[[Date]:[Date]])=AP$1),0)</f>
        <v>0</v>
      </c>
      <c r="AR182" cm="1">
        <f t="array" ref="AR182">_xlfn._xlws.FILTER(Table8[[Day Total]:[Day Total]],(MONTH(Table8[[Date]:[Date]])=$AM182)*(DAY(Table8[[Date]:[Date]])=$AN182)*(YEAR(Table8[[Date]:[Date]])=AR$1),0)</f>
        <v>0</v>
      </c>
      <c r="AS182">
        <f t="shared" si="9"/>
        <v>4192</v>
      </c>
      <c r="AT182" cm="1">
        <f t="array" ref="AT182">_xlfn._xlws.FILTER(Table8[[Day Total]:[Day Total]],(MONTH(Table8[[Date]:[Date]])=$AM182)*(DAY(Table8[[Date]:[Date]])=$AN182)*(YEAR(Table8[[Date]:[Date]])=AT$1),0)</f>
        <v>0</v>
      </c>
      <c r="AU182">
        <f t="shared" si="12"/>
        <v>831</v>
      </c>
      <c r="AV182" cm="1">
        <f t="array" ref="AV182">_xlfn._xlws.FILTER(Table8[[Day Total]:[Day Total]],(MONTH(Table8[[Date]:[Date]])=$AM182)*(DAY(Table8[[Date]:[Date]])=$AN182)*(YEAR(Table8[[Date]:[Date]])=AV$1),0)</f>
        <v>0</v>
      </c>
      <c r="AW182">
        <f t="shared" si="11"/>
        <v>1589</v>
      </c>
    </row>
    <row r="183" spans="38:49" x14ac:dyDescent="0.25">
      <c r="AM183">
        <v>6</v>
      </c>
      <c r="AN183">
        <v>30</v>
      </c>
      <c r="AO183" t="str">
        <f t="shared" si="10"/>
        <v>6/30</v>
      </c>
      <c r="AP183" cm="1">
        <f t="array" ref="AP183">_xlfn._xlws.FILTER(Table8[[Day Total]:[Day Total]],(MONTH(Table8[[Date]:[Date]])=$AM183)*(DAY(Table8[[Date]:[Date]])=$AN183)*(YEAR(Table8[[Date]:[Date]])=AP$1),0)</f>
        <v>0</v>
      </c>
      <c r="AR183" cm="1">
        <f t="array" ref="AR183">_xlfn._xlws.FILTER(Table8[[Day Total]:[Day Total]],(MONTH(Table8[[Date]:[Date]])=$AM183)*(DAY(Table8[[Date]:[Date]])=$AN183)*(YEAR(Table8[[Date]:[Date]])=AR$1),0)</f>
        <v>0</v>
      </c>
      <c r="AS183">
        <f t="shared" si="9"/>
        <v>4192</v>
      </c>
      <c r="AT183" cm="1">
        <f t="array" ref="AT183">_xlfn._xlws.FILTER(Table8[[Day Total]:[Day Total]],(MONTH(Table8[[Date]:[Date]])=$AM183)*(DAY(Table8[[Date]:[Date]])=$AN183)*(YEAR(Table8[[Date]:[Date]])=AT$1),0)</f>
        <v>0</v>
      </c>
      <c r="AU183">
        <f t="shared" si="12"/>
        <v>831</v>
      </c>
      <c r="AV183" cm="1">
        <f t="array" ref="AV183">_xlfn._xlws.FILTER(Table8[[Day Total]:[Day Total]],(MONTH(Table8[[Date]:[Date]])=$AM183)*(DAY(Table8[[Date]:[Date]])=$AN183)*(YEAR(Table8[[Date]:[Date]])=AV$1),0)</f>
        <v>0</v>
      </c>
      <c r="AW183">
        <f t="shared" si="11"/>
        <v>1589</v>
      </c>
    </row>
    <row r="184" spans="38:49" x14ac:dyDescent="0.25">
      <c r="AL184" t="s">
        <v>4</v>
      </c>
      <c r="AM184">
        <v>7</v>
      </c>
      <c r="AN184">
        <v>1</v>
      </c>
      <c r="AO184" t="str">
        <f t="shared" si="10"/>
        <v>7/1</v>
      </c>
      <c r="AP184" cm="1">
        <f t="array" ref="AP184">_xlfn._xlws.FILTER(Table8[[Day Total]:[Day Total]],(MONTH(Table8[[Date]:[Date]])=$AM184)*(DAY(Table8[[Date]:[Date]])=$AN184)*(YEAR(Table8[[Date]:[Date]])=AP$1),0)</f>
        <v>0</v>
      </c>
      <c r="AR184" cm="1">
        <f t="array" ref="AR184">_xlfn._xlws.FILTER(Table8[[Day Total]:[Day Total]],(MONTH(Table8[[Date]:[Date]])=$AM184)*(DAY(Table8[[Date]:[Date]])=$AN184)*(YEAR(Table8[[Date]:[Date]])=AR$1),0)</f>
        <v>0</v>
      </c>
      <c r="AS184">
        <f t="shared" si="9"/>
        <v>4192</v>
      </c>
      <c r="AT184" cm="1">
        <f t="array" ref="AT184">_xlfn._xlws.FILTER(Table8[[Day Total]:[Day Total]],(MONTH(Table8[[Date]:[Date]])=$AM184)*(DAY(Table8[[Date]:[Date]])=$AN184)*(YEAR(Table8[[Date]:[Date]])=AT$1),0)</f>
        <v>0</v>
      </c>
      <c r="AU184">
        <f t="shared" si="12"/>
        <v>831</v>
      </c>
      <c r="AV184" cm="1">
        <f t="array" ref="AV184">_xlfn._xlws.FILTER(Table8[[Day Total]:[Day Total]],(MONTH(Table8[[Date]:[Date]])=$AM184)*(DAY(Table8[[Date]:[Date]])=$AN184)*(YEAR(Table8[[Date]:[Date]])=AV$1),0)</f>
        <v>0</v>
      </c>
      <c r="AW184">
        <f t="shared" si="11"/>
        <v>1589</v>
      </c>
    </row>
    <row r="185" spans="38:49" x14ac:dyDescent="0.25">
      <c r="AM185">
        <v>7</v>
      </c>
      <c r="AN185">
        <v>2</v>
      </c>
      <c r="AO185" t="str">
        <f t="shared" si="10"/>
        <v>7/2</v>
      </c>
      <c r="AP185" cm="1">
        <f t="array" ref="AP185">_xlfn._xlws.FILTER(Table8[[Day Total]:[Day Total]],(MONTH(Table8[[Date]:[Date]])=$AM185)*(DAY(Table8[[Date]:[Date]])=$AN185)*(YEAR(Table8[[Date]:[Date]])=AP$1),0)</f>
        <v>0</v>
      </c>
      <c r="AR185" cm="1">
        <f t="array" ref="AR185">_xlfn._xlws.FILTER(Table8[[Day Total]:[Day Total]],(MONTH(Table8[[Date]:[Date]])=$AM185)*(DAY(Table8[[Date]:[Date]])=$AN185)*(YEAR(Table8[[Date]:[Date]])=AR$1),0)</f>
        <v>0</v>
      </c>
      <c r="AS185">
        <f t="shared" si="9"/>
        <v>4192</v>
      </c>
      <c r="AT185" cm="1">
        <f t="array" ref="AT185">_xlfn._xlws.FILTER(Table8[[Day Total]:[Day Total]],(MONTH(Table8[[Date]:[Date]])=$AM185)*(DAY(Table8[[Date]:[Date]])=$AN185)*(YEAR(Table8[[Date]:[Date]])=AT$1),0)</f>
        <v>0</v>
      </c>
      <c r="AU185">
        <f t="shared" si="12"/>
        <v>831</v>
      </c>
      <c r="AV185" cm="1">
        <f t="array" ref="AV185">_xlfn._xlws.FILTER(Table8[[Day Total]:[Day Total]],(MONTH(Table8[[Date]:[Date]])=$AM185)*(DAY(Table8[[Date]:[Date]])=$AN185)*(YEAR(Table8[[Date]:[Date]])=AV$1),0)</f>
        <v>0</v>
      </c>
      <c r="AW185">
        <f t="shared" si="11"/>
        <v>1589</v>
      </c>
    </row>
    <row r="186" spans="38:49" x14ac:dyDescent="0.25">
      <c r="AM186">
        <v>7</v>
      </c>
      <c r="AN186">
        <v>3</v>
      </c>
      <c r="AO186" t="str">
        <f t="shared" si="10"/>
        <v>7/3</v>
      </c>
      <c r="AP186" cm="1">
        <f t="array" ref="AP186">_xlfn._xlws.FILTER(Table8[[Day Total]:[Day Total]],(MONTH(Table8[[Date]:[Date]])=$AM186)*(DAY(Table8[[Date]:[Date]])=$AN186)*(YEAR(Table8[[Date]:[Date]])=AP$1),0)</f>
        <v>0</v>
      </c>
      <c r="AR186" cm="1">
        <f t="array" ref="AR186">_xlfn._xlws.FILTER(Table8[[Day Total]:[Day Total]],(MONTH(Table8[[Date]:[Date]])=$AM186)*(DAY(Table8[[Date]:[Date]])=$AN186)*(YEAR(Table8[[Date]:[Date]])=AR$1),0)</f>
        <v>0</v>
      </c>
      <c r="AS186">
        <f t="shared" si="9"/>
        <v>4192</v>
      </c>
      <c r="AT186" cm="1">
        <f t="array" ref="AT186">_xlfn._xlws.FILTER(Table8[[Day Total]:[Day Total]],(MONTH(Table8[[Date]:[Date]])=$AM186)*(DAY(Table8[[Date]:[Date]])=$AN186)*(YEAR(Table8[[Date]:[Date]])=AT$1),0)</f>
        <v>0</v>
      </c>
      <c r="AU186">
        <f t="shared" si="12"/>
        <v>831</v>
      </c>
      <c r="AV186" cm="1">
        <f t="array" ref="AV186">_xlfn._xlws.FILTER(Table8[[Day Total]:[Day Total]],(MONTH(Table8[[Date]:[Date]])=$AM186)*(DAY(Table8[[Date]:[Date]])=$AN186)*(YEAR(Table8[[Date]:[Date]])=AV$1),0)</f>
        <v>0</v>
      </c>
      <c r="AW186">
        <f t="shared" si="11"/>
        <v>1589</v>
      </c>
    </row>
    <row r="187" spans="38:49" x14ac:dyDescent="0.25">
      <c r="AM187">
        <v>7</v>
      </c>
      <c r="AN187">
        <v>4</v>
      </c>
      <c r="AO187" t="str">
        <f t="shared" si="10"/>
        <v>7/4</v>
      </c>
      <c r="AP187" cm="1">
        <f t="array" ref="AP187">_xlfn._xlws.FILTER(Table8[[Day Total]:[Day Total]],(MONTH(Table8[[Date]:[Date]])=$AM187)*(DAY(Table8[[Date]:[Date]])=$AN187)*(YEAR(Table8[[Date]:[Date]])=AP$1),0)</f>
        <v>0</v>
      </c>
      <c r="AR187" cm="1">
        <f t="array" ref="AR187">_xlfn._xlws.FILTER(Table8[[Day Total]:[Day Total]],(MONTH(Table8[[Date]:[Date]])=$AM187)*(DAY(Table8[[Date]:[Date]])=$AN187)*(YEAR(Table8[[Date]:[Date]])=AR$1),0)</f>
        <v>0</v>
      </c>
      <c r="AS187">
        <f t="shared" si="9"/>
        <v>4192</v>
      </c>
      <c r="AT187" cm="1">
        <f t="array" ref="AT187">_xlfn._xlws.FILTER(Table8[[Day Total]:[Day Total]],(MONTH(Table8[[Date]:[Date]])=$AM187)*(DAY(Table8[[Date]:[Date]])=$AN187)*(YEAR(Table8[[Date]:[Date]])=AT$1),0)</f>
        <v>0</v>
      </c>
      <c r="AU187">
        <f t="shared" si="12"/>
        <v>831</v>
      </c>
      <c r="AV187" cm="1">
        <f t="array" ref="AV187">_xlfn._xlws.FILTER(Table8[[Day Total]:[Day Total]],(MONTH(Table8[[Date]:[Date]])=$AM187)*(DAY(Table8[[Date]:[Date]])=$AN187)*(YEAR(Table8[[Date]:[Date]])=AV$1),0)</f>
        <v>0</v>
      </c>
      <c r="AW187">
        <f t="shared" si="11"/>
        <v>1589</v>
      </c>
    </row>
    <row r="188" spans="38:49" x14ac:dyDescent="0.25">
      <c r="AM188">
        <v>7</v>
      </c>
      <c r="AN188">
        <v>5</v>
      </c>
      <c r="AO188" t="str">
        <f t="shared" si="10"/>
        <v>7/5</v>
      </c>
      <c r="AP188" cm="1">
        <f t="array" ref="AP188">_xlfn._xlws.FILTER(Table8[[Day Total]:[Day Total]],(MONTH(Table8[[Date]:[Date]])=$AM188)*(DAY(Table8[[Date]:[Date]])=$AN188)*(YEAR(Table8[[Date]:[Date]])=AP$1),0)</f>
        <v>0</v>
      </c>
      <c r="AR188" cm="1">
        <f t="array" ref="AR188">_xlfn._xlws.FILTER(Table8[[Day Total]:[Day Total]],(MONTH(Table8[[Date]:[Date]])=$AM188)*(DAY(Table8[[Date]:[Date]])=$AN188)*(YEAR(Table8[[Date]:[Date]])=AR$1),0)</f>
        <v>0</v>
      </c>
      <c r="AS188">
        <f t="shared" si="9"/>
        <v>4192</v>
      </c>
      <c r="AT188" cm="1">
        <f t="array" ref="AT188">_xlfn._xlws.FILTER(Table8[[Day Total]:[Day Total]],(MONTH(Table8[[Date]:[Date]])=$AM188)*(DAY(Table8[[Date]:[Date]])=$AN188)*(YEAR(Table8[[Date]:[Date]])=AT$1),0)</f>
        <v>0</v>
      </c>
      <c r="AU188">
        <f t="shared" si="12"/>
        <v>831</v>
      </c>
      <c r="AV188" cm="1">
        <f t="array" ref="AV188">_xlfn._xlws.FILTER(Table8[[Day Total]:[Day Total]],(MONTH(Table8[[Date]:[Date]])=$AM188)*(DAY(Table8[[Date]:[Date]])=$AN188)*(YEAR(Table8[[Date]:[Date]])=AV$1),0)</f>
        <v>0</v>
      </c>
      <c r="AW188">
        <f t="shared" si="11"/>
        <v>1589</v>
      </c>
    </row>
    <row r="189" spans="38:49" x14ac:dyDescent="0.25">
      <c r="AM189">
        <v>7</v>
      </c>
      <c r="AN189">
        <v>6</v>
      </c>
      <c r="AO189" t="str">
        <f t="shared" si="10"/>
        <v>7/6</v>
      </c>
      <c r="AP189" cm="1">
        <f t="array" ref="AP189">_xlfn._xlws.FILTER(Table8[[Day Total]:[Day Total]],(MONTH(Table8[[Date]:[Date]])=$AM189)*(DAY(Table8[[Date]:[Date]])=$AN189)*(YEAR(Table8[[Date]:[Date]])=AP$1),0)</f>
        <v>0</v>
      </c>
      <c r="AR189" cm="1">
        <f t="array" ref="AR189">_xlfn._xlws.FILTER(Table8[[Day Total]:[Day Total]],(MONTH(Table8[[Date]:[Date]])=$AM189)*(DAY(Table8[[Date]:[Date]])=$AN189)*(YEAR(Table8[[Date]:[Date]])=AR$1),0)</f>
        <v>0</v>
      </c>
      <c r="AS189">
        <f t="shared" si="9"/>
        <v>4192</v>
      </c>
      <c r="AT189" cm="1">
        <f t="array" ref="AT189">_xlfn._xlws.FILTER(Table8[[Day Total]:[Day Total]],(MONTH(Table8[[Date]:[Date]])=$AM189)*(DAY(Table8[[Date]:[Date]])=$AN189)*(YEAR(Table8[[Date]:[Date]])=AT$1),0)</f>
        <v>0</v>
      </c>
      <c r="AU189">
        <f t="shared" si="12"/>
        <v>831</v>
      </c>
      <c r="AV189" cm="1">
        <f t="array" ref="AV189">_xlfn._xlws.FILTER(Table8[[Day Total]:[Day Total]],(MONTH(Table8[[Date]:[Date]])=$AM189)*(DAY(Table8[[Date]:[Date]])=$AN189)*(YEAR(Table8[[Date]:[Date]])=AV$1),0)</f>
        <v>0</v>
      </c>
      <c r="AW189">
        <f t="shared" si="11"/>
        <v>1589</v>
      </c>
    </row>
    <row r="190" spans="38:49" x14ac:dyDescent="0.25">
      <c r="AM190">
        <v>7</v>
      </c>
      <c r="AN190">
        <v>7</v>
      </c>
      <c r="AO190" t="str">
        <f t="shared" si="10"/>
        <v>7/7</v>
      </c>
      <c r="AP190" cm="1">
        <f t="array" ref="AP190">_xlfn._xlws.FILTER(Table8[[Day Total]:[Day Total]],(MONTH(Table8[[Date]:[Date]])=$AM190)*(DAY(Table8[[Date]:[Date]])=$AN190)*(YEAR(Table8[[Date]:[Date]])=AP$1),0)</f>
        <v>0</v>
      </c>
      <c r="AR190" cm="1">
        <f t="array" ref="AR190">_xlfn._xlws.FILTER(Table8[[Day Total]:[Day Total]],(MONTH(Table8[[Date]:[Date]])=$AM190)*(DAY(Table8[[Date]:[Date]])=$AN190)*(YEAR(Table8[[Date]:[Date]])=AR$1),0)</f>
        <v>0</v>
      </c>
      <c r="AS190">
        <f t="shared" si="9"/>
        <v>4192</v>
      </c>
      <c r="AT190" cm="1">
        <f t="array" ref="AT190">_xlfn._xlws.FILTER(Table8[[Day Total]:[Day Total]],(MONTH(Table8[[Date]:[Date]])=$AM190)*(DAY(Table8[[Date]:[Date]])=$AN190)*(YEAR(Table8[[Date]:[Date]])=AT$1),0)</f>
        <v>0</v>
      </c>
      <c r="AU190">
        <f t="shared" si="12"/>
        <v>831</v>
      </c>
      <c r="AV190" cm="1">
        <f t="array" ref="AV190">_xlfn._xlws.FILTER(Table8[[Day Total]:[Day Total]],(MONTH(Table8[[Date]:[Date]])=$AM190)*(DAY(Table8[[Date]:[Date]])=$AN190)*(YEAR(Table8[[Date]:[Date]])=AV$1),0)</f>
        <v>0</v>
      </c>
      <c r="AW190">
        <f t="shared" si="11"/>
        <v>1589</v>
      </c>
    </row>
    <row r="191" spans="38:49" x14ac:dyDescent="0.25">
      <c r="AM191">
        <v>7</v>
      </c>
      <c r="AN191">
        <v>8</v>
      </c>
      <c r="AO191" t="str">
        <f t="shared" si="10"/>
        <v>7/8</v>
      </c>
      <c r="AP191" cm="1">
        <f t="array" ref="AP191">_xlfn._xlws.FILTER(Table8[[Day Total]:[Day Total]],(MONTH(Table8[[Date]:[Date]])=$AM191)*(DAY(Table8[[Date]:[Date]])=$AN191)*(YEAR(Table8[[Date]:[Date]])=AP$1),0)</f>
        <v>0</v>
      </c>
      <c r="AR191" cm="1">
        <f t="array" ref="AR191">_xlfn._xlws.FILTER(Table8[[Day Total]:[Day Total]],(MONTH(Table8[[Date]:[Date]])=$AM191)*(DAY(Table8[[Date]:[Date]])=$AN191)*(YEAR(Table8[[Date]:[Date]])=AR$1),0)</f>
        <v>0</v>
      </c>
      <c r="AS191">
        <f t="shared" si="9"/>
        <v>4192</v>
      </c>
      <c r="AT191" cm="1">
        <f t="array" ref="AT191">_xlfn._xlws.FILTER(Table8[[Day Total]:[Day Total]],(MONTH(Table8[[Date]:[Date]])=$AM191)*(DAY(Table8[[Date]:[Date]])=$AN191)*(YEAR(Table8[[Date]:[Date]])=AT$1),0)</f>
        <v>0</v>
      </c>
      <c r="AU191">
        <f t="shared" si="12"/>
        <v>831</v>
      </c>
      <c r="AV191" cm="1">
        <f t="array" ref="AV191">_xlfn._xlws.FILTER(Table8[[Day Total]:[Day Total]],(MONTH(Table8[[Date]:[Date]])=$AM191)*(DAY(Table8[[Date]:[Date]])=$AN191)*(YEAR(Table8[[Date]:[Date]])=AV$1),0)</f>
        <v>0</v>
      </c>
      <c r="AW191">
        <f t="shared" si="11"/>
        <v>1589</v>
      </c>
    </row>
    <row r="192" spans="38:49" x14ac:dyDescent="0.25">
      <c r="AM192">
        <v>7</v>
      </c>
      <c r="AN192">
        <v>9</v>
      </c>
      <c r="AO192" t="str">
        <f t="shared" si="10"/>
        <v>7/9</v>
      </c>
      <c r="AP192" cm="1">
        <f t="array" ref="AP192">_xlfn._xlws.FILTER(Table8[[Day Total]:[Day Total]],(MONTH(Table8[[Date]:[Date]])=$AM192)*(DAY(Table8[[Date]:[Date]])=$AN192)*(YEAR(Table8[[Date]:[Date]])=AP$1),0)</f>
        <v>0</v>
      </c>
      <c r="AR192" cm="1">
        <f t="array" ref="AR192">_xlfn._xlws.FILTER(Table8[[Day Total]:[Day Total]],(MONTH(Table8[[Date]:[Date]])=$AM192)*(DAY(Table8[[Date]:[Date]])=$AN192)*(YEAR(Table8[[Date]:[Date]])=AR$1),0)</f>
        <v>4</v>
      </c>
      <c r="AS192">
        <f t="shared" si="9"/>
        <v>4196</v>
      </c>
      <c r="AT192" cm="1">
        <f t="array" ref="AT192">_xlfn._xlws.FILTER(Table8[[Day Total]:[Day Total]],(MONTH(Table8[[Date]:[Date]])=$AM192)*(DAY(Table8[[Date]:[Date]])=$AN192)*(YEAR(Table8[[Date]:[Date]])=AT$1),0)</f>
        <v>0</v>
      </c>
      <c r="AU192">
        <f t="shared" si="12"/>
        <v>831</v>
      </c>
      <c r="AV192" cm="1">
        <f t="array" ref="AV192">_xlfn._xlws.FILTER(Table8[[Day Total]:[Day Total]],(MONTH(Table8[[Date]:[Date]])=$AM192)*(DAY(Table8[[Date]:[Date]])=$AN192)*(YEAR(Table8[[Date]:[Date]])=AV$1),0)</f>
        <v>0</v>
      </c>
      <c r="AW192">
        <f t="shared" si="11"/>
        <v>1589</v>
      </c>
    </row>
    <row r="193" spans="39:49" x14ac:dyDescent="0.25">
      <c r="AM193">
        <v>7</v>
      </c>
      <c r="AN193">
        <v>10</v>
      </c>
      <c r="AO193" t="str">
        <f t="shared" si="10"/>
        <v>7/10</v>
      </c>
      <c r="AP193" cm="1">
        <f t="array" ref="AP193">_xlfn._xlws.FILTER(Table8[[Day Total]:[Day Total]],(MONTH(Table8[[Date]:[Date]])=$AM193)*(DAY(Table8[[Date]:[Date]])=$AN193)*(YEAR(Table8[[Date]:[Date]])=AP$1),0)</f>
        <v>0</v>
      </c>
      <c r="AR193" cm="1">
        <f t="array" ref="AR193">_xlfn._xlws.FILTER(Table8[[Day Total]:[Day Total]],(MONTH(Table8[[Date]:[Date]])=$AM193)*(DAY(Table8[[Date]:[Date]])=$AN193)*(YEAR(Table8[[Date]:[Date]])=AR$1),0)</f>
        <v>0</v>
      </c>
      <c r="AS193">
        <f t="shared" si="9"/>
        <v>4196</v>
      </c>
      <c r="AT193" cm="1">
        <f t="array" ref="AT193">_xlfn._xlws.FILTER(Table8[[Day Total]:[Day Total]],(MONTH(Table8[[Date]:[Date]])=$AM193)*(DAY(Table8[[Date]:[Date]])=$AN193)*(YEAR(Table8[[Date]:[Date]])=AT$1),0)</f>
        <v>0</v>
      </c>
      <c r="AU193">
        <f t="shared" si="12"/>
        <v>831</v>
      </c>
      <c r="AV193" cm="1">
        <f t="array" ref="AV193">_xlfn._xlws.FILTER(Table8[[Day Total]:[Day Total]],(MONTH(Table8[[Date]:[Date]])=$AM193)*(DAY(Table8[[Date]:[Date]])=$AN193)*(YEAR(Table8[[Date]:[Date]])=AV$1),0)</f>
        <v>0</v>
      </c>
      <c r="AW193">
        <f t="shared" si="11"/>
        <v>1589</v>
      </c>
    </row>
    <row r="194" spans="39:49" x14ac:dyDescent="0.25">
      <c r="AM194">
        <v>7</v>
      </c>
      <c r="AN194">
        <v>11</v>
      </c>
      <c r="AO194" t="str">
        <f t="shared" si="10"/>
        <v>7/11</v>
      </c>
      <c r="AP194" cm="1">
        <f t="array" ref="AP194">_xlfn._xlws.FILTER(Table8[[Day Total]:[Day Total]],(MONTH(Table8[[Date]:[Date]])=$AM194)*(DAY(Table8[[Date]:[Date]])=$AN194)*(YEAR(Table8[[Date]:[Date]])=AP$1),0)</f>
        <v>0</v>
      </c>
      <c r="AR194" cm="1">
        <f t="array" ref="AR194">_xlfn._xlws.FILTER(Table8[[Day Total]:[Day Total]],(MONTH(Table8[[Date]:[Date]])=$AM194)*(DAY(Table8[[Date]:[Date]])=$AN194)*(YEAR(Table8[[Date]:[Date]])=AR$1),0)</f>
        <v>0</v>
      </c>
      <c r="AS194">
        <f t="shared" ref="AS194:AS257" si="13">AS193+AR194</f>
        <v>4196</v>
      </c>
      <c r="AT194" cm="1">
        <f t="array" ref="AT194">_xlfn._xlws.FILTER(Table8[[Day Total]:[Day Total]],(MONTH(Table8[[Date]:[Date]])=$AM194)*(DAY(Table8[[Date]:[Date]])=$AN194)*(YEAR(Table8[[Date]:[Date]])=AT$1),0)</f>
        <v>0</v>
      </c>
      <c r="AU194">
        <f t="shared" si="12"/>
        <v>831</v>
      </c>
      <c r="AV194" cm="1">
        <f t="array" ref="AV194">_xlfn._xlws.FILTER(Table8[[Day Total]:[Day Total]],(MONTH(Table8[[Date]:[Date]])=$AM194)*(DAY(Table8[[Date]:[Date]])=$AN194)*(YEAR(Table8[[Date]:[Date]])=AV$1),0)</f>
        <v>0</v>
      </c>
      <c r="AW194">
        <f t="shared" si="11"/>
        <v>1589</v>
      </c>
    </row>
    <row r="195" spans="39:49" x14ac:dyDescent="0.25">
      <c r="AM195">
        <v>7</v>
      </c>
      <c r="AN195">
        <v>12</v>
      </c>
      <c r="AO195" t="str">
        <f t="shared" ref="AO195:AO258" si="14">_xlfn.CONCAT(AM195,"/",AN195)</f>
        <v>7/12</v>
      </c>
      <c r="AP195" cm="1">
        <f t="array" ref="AP195">_xlfn._xlws.FILTER(Table8[[Day Total]:[Day Total]],(MONTH(Table8[[Date]:[Date]])=$AM195)*(DAY(Table8[[Date]:[Date]])=$AN195)*(YEAR(Table8[[Date]:[Date]])=AP$1),0)</f>
        <v>0</v>
      </c>
      <c r="AR195" cm="1">
        <f t="array" ref="AR195">_xlfn._xlws.FILTER(Table8[[Day Total]:[Day Total]],(MONTH(Table8[[Date]:[Date]])=$AM195)*(DAY(Table8[[Date]:[Date]])=$AN195)*(YEAR(Table8[[Date]:[Date]])=AR$1),0)</f>
        <v>0</v>
      </c>
      <c r="AS195">
        <f t="shared" si="13"/>
        <v>4196</v>
      </c>
      <c r="AT195" cm="1">
        <f t="array" ref="AT195">_xlfn._xlws.FILTER(Table8[[Day Total]:[Day Total]],(MONTH(Table8[[Date]:[Date]])=$AM195)*(DAY(Table8[[Date]:[Date]])=$AN195)*(YEAR(Table8[[Date]:[Date]])=AT$1),0)</f>
        <v>0</v>
      </c>
      <c r="AU195">
        <f t="shared" si="12"/>
        <v>831</v>
      </c>
      <c r="AV195" cm="1">
        <f t="array" ref="AV195">_xlfn._xlws.FILTER(Table8[[Day Total]:[Day Total]],(MONTH(Table8[[Date]:[Date]])=$AM195)*(DAY(Table8[[Date]:[Date]])=$AN195)*(YEAR(Table8[[Date]:[Date]])=AV$1),0)</f>
        <v>0</v>
      </c>
      <c r="AW195">
        <f t="shared" si="11"/>
        <v>1589</v>
      </c>
    </row>
    <row r="196" spans="39:49" x14ac:dyDescent="0.25">
      <c r="AM196">
        <v>7</v>
      </c>
      <c r="AN196">
        <v>13</v>
      </c>
      <c r="AO196" t="str">
        <f t="shared" si="14"/>
        <v>7/13</v>
      </c>
      <c r="AP196" cm="1">
        <f t="array" ref="AP196">_xlfn._xlws.FILTER(Table8[[Day Total]:[Day Total]],(MONTH(Table8[[Date]:[Date]])=$AM196)*(DAY(Table8[[Date]:[Date]])=$AN196)*(YEAR(Table8[[Date]:[Date]])=AP$1),0)</f>
        <v>0</v>
      </c>
      <c r="AR196" cm="1">
        <f t="array" ref="AR196">_xlfn._xlws.FILTER(Table8[[Day Total]:[Day Total]],(MONTH(Table8[[Date]:[Date]])=$AM196)*(DAY(Table8[[Date]:[Date]])=$AN196)*(YEAR(Table8[[Date]:[Date]])=AR$1),0)</f>
        <v>0</v>
      </c>
      <c r="AS196">
        <f t="shared" si="13"/>
        <v>4196</v>
      </c>
      <c r="AT196" cm="1">
        <f t="array" ref="AT196">_xlfn._xlws.FILTER(Table8[[Day Total]:[Day Total]],(MONTH(Table8[[Date]:[Date]])=$AM196)*(DAY(Table8[[Date]:[Date]])=$AN196)*(YEAR(Table8[[Date]:[Date]])=AT$1),0)</f>
        <v>0</v>
      </c>
      <c r="AU196">
        <f t="shared" si="12"/>
        <v>831</v>
      </c>
      <c r="AV196" cm="1">
        <f t="array" ref="AV196">_xlfn._xlws.FILTER(Table8[[Day Total]:[Day Total]],(MONTH(Table8[[Date]:[Date]])=$AM196)*(DAY(Table8[[Date]:[Date]])=$AN196)*(YEAR(Table8[[Date]:[Date]])=AV$1),0)</f>
        <v>0</v>
      </c>
      <c r="AW196">
        <f t="shared" si="11"/>
        <v>1589</v>
      </c>
    </row>
    <row r="197" spans="39:49" x14ac:dyDescent="0.25">
      <c r="AM197">
        <v>7</v>
      </c>
      <c r="AN197">
        <v>14</v>
      </c>
      <c r="AO197" t="str">
        <f t="shared" si="14"/>
        <v>7/14</v>
      </c>
      <c r="AP197" cm="1">
        <f t="array" ref="AP197">_xlfn._xlws.FILTER(Table8[[Day Total]:[Day Total]],(MONTH(Table8[[Date]:[Date]])=$AM197)*(DAY(Table8[[Date]:[Date]])=$AN197)*(YEAR(Table8[[Date]:[Date]])=AP$1),0)</f>
        <v>0</v>
      </c>
      <c r="AR197" cm="1">
        <f t="array" ref="AR197">_xlfn._xlws.FILTER(Table8[[Day Total]:[Day Total]],(MONTH(Table8[[Date]:[Date]])=$AM197)*(DAY(Table8[[Date]:[Date]])=$AN197)*(YEAR(Table8[[Date]:[Date]])=AR$1),0)</f>
        <v>0</v>
      </c>
      <c r="AS197">
        <f t="shared" si="13"/>
        <v>4196</v>
      </c>
      <c r="AT197" cm="1">
        <f t="array" ref="AT197">_xlfn._xlws.FILTER(Table8[[Day Total]:[Day Total]],(MONTH(Table8[[Date]:[Date]])=$AM197)*(DAY(Table8[[Date]:[Date]])=$AN197)*(YEAR(Table8[[Date]:[Date]])=AT$1),0)</f>
        <v>0</v>
      </c>
      <c r="AU197">
        <f t="shared" si="12"/>
        <v>831</v>
      </c>
      <c r="AV197" cm="1">
        <f t="array" ref="AV197">_xlfn._xlws.FILTER(Table8[[Day Total]:[Day Total]],(MONTH(Table8[[Date]:[Date]])=$AM197)*(DAY(Table8[[Date]:[Date]])=$AN197)*(YEAR(Table8[[Date]:[Date]])=AV$1),0)</f>
        <v>0</v>
      </c>
      <c r="AW197">
        <f t="shared" si="11"/>
        <v>1589</v>
      </c>
    </row>
    <row r="198" spans="39:49" x14ac:dyDescent="0.25">
      <c r="AM198">
        <v>7</v>
      </c>
      <c r="AN198">
        <v>15</v>
      </c>
      <c r="AO198" t="str">
        <f t="shared" si="14"/>
        <v>7/15</v>
      </c>
      <c r="AP198" cm="1">
        <f t="array" ref="AP198">_xlfn._xlws.FILTER(Table8[[Day Total]:[Day Total]],(MONTH(Table8[[Date]:[Date]])=$AM198)*(DAY(Table8[[Date]:[Date]])=$AN198)*(YEAR(Table8[[Date]:[Date]])=AP$1),0)</f>
        <v>0</v>
      </c>
      <c r="AR198" cm="1">
        <f t="array" ref="AR198">_xlfn._xlws.FILTER(Table8[[Day Total]:[Day Total]],(MONTH(Table8[[Date]:[Date]])=$AM198)*(DAY(Table8[[Date]:[Date]])=$AN198)*(YEAR(Table8[[Date]:[Date]])=AR$1),0)</f>
        <v>0</v>
      </c>
      <c r="AS198">
        <f t="shared" si="13"/>
        <v>4196</v>
      </c>
      <c r="AT198" cm="1">
        <f t="array" ref="AT198">_xlfn._xlws.FILTER(Table8[[Day Total]:[Day Total]],(MONTH(Table8[[Date]:[Date]])=$AM198)*(DAY(Table8[[Date]:[Date]])=$AN198)*(YEAR(Table8[[Date]:[Date]])=AT$1),0)</f>
        <v>0</v>
      </c>
      <c r="AU198">
        <f t="shared" si="12"/>
        <v>831</v>
      </c>
      <c r="AV198" cm="1">
        <f t="array" ref="AV198">_xlfn._xlws.FILTER(Table8[[Day Total]:[Day Total]],(MONTH(Table8[[Date]:[Date]])=$AM198)*(DAY(Table8[[Date]:[Date]])=$AN198)*(YEAR(Table8[[Date]:[Date]])=AV$1),0)</f>
        <v>0</v>
      </c>
      <c r="AW198">
        <f t="shared" ref="AW198:AW261" si="15">AW197+AV198</f>
        <v>1589</v>
      </c>
    </row>
    <row r="199" spans="39:49" x14ac:dyDescent="0.25">
      <c r="AM199">
        <v>7</v>
      </c>
      <c r="AN199">
        <v>16</v>
      </c>
      <c r="AO199" t="str">
        <f t="shared" si="14"/>
        <v>7/16</v>
      </c>
      <c r="AP199" cm="1">
        <f t="array" ref="AP199">_xlfn._xlws.FILTER(Table8[[Day Total]:[Day Total]],(MONTH(Table8[[Date]:[Date]])=$AM199)*(DAY(Table8[[Date]:[Date]])=$AN199)*(YEAR(Table8[[Date]:[Date]])=AP$1),0)</f>
        <v>0</v>
      </c>
      <c r="AR199" cm="1">
        <f t="array" ref="AR199">_xlfn._xlws.FILTER(Table8[[Day Total]:[Day Total]],(MONTH(Table8[[Date]:[Date]])=$AM199)*(DAY(Table8[[Date]:[Date]])=$AN199)*(YEAR(Table8[[Date]:[Date]])=AR$1),0)</f>
        <v>0</v>
      </c>
      <c r="AS199">
        <f t="shared" si="13"/>
        <v>4196</v>
      </c>
      <c r="AT199" cm="1">
        <f t="array" ref="AT199">_xlfn._xlws.FILTER(Table8[[Day Total]:[Day Total]],(MONTH(Table8[[Date]:[Date]])=$AM199)*(DAY(Table8[[Date]:[Date]])=$AN199)*(YEAR(Table8[[Date]:[Date]])=AT$1),0)</f>
        <v>0</v>
      </c>
      <c r="AU199">
        <f t="shared" si="12"/>
        <v>831</v>
      </c>
      <c r="AV199" cm="1">
        <f t="array" ref="AV199">_xlfn._xlws.FILTER(Table8[[Day Total]:[Day Total]],(MONTH(Table8[[Date]:[Date]])=$AM199)*(DAY(Table8[[Date]:[Date]])=$AN199)*(YEAR(Table8[[Date]:[Date]])=AV$1),0)</f>
        <v>0</v>
      </c>
      <c r="AW199">
        <f t="shared" si="15"/>
        <v>1589</v>
      </c>
    </row>
    <row r="200" spans="39:49" x14ac:dyDescent="0.25">
      <c r="AM200">
        <v>7</v>
      </c>
      <c r="AN200">
        <v>17</v>
      </c>
      <c r="AO200" t="str">
        <f t="shared" si="14"/>
        <v>7/17</v>
      </c>
      <c r="AP200" cm="1">
        <f t="array" ref="AP200">_xlfn._xlws.FILTER(Table8[[Day Total]:[Day Total]],(MONTH(Table8[[Date]:[Date]])=$AM200)*(DAY(Table8[[Date]:[Date]])=$AN200)*(YEAR(Table8[[Date]:[Date]])=AP$1),0)</f>
        <v>0</v>
      </c>
      <c r="AR200" cm="1">
        <f t="array" ref="AR200">_xlfn._xlws.FILTER(Table8[[Day Total]:[Day Total]],(MONTH(Table8[[Date]:[Date]])=$AM200)*(DAY(Table8[[Date]:[Date]])=$AN200)*(YEAR(Table8[[Date]:[Date]])=AR$1),0)</f>
        <v>0</v>
      </c>
      <c r="AS200">
        <f t="shared" si="13"/>
        <v>4196</v>
      </c>
      <c r="AT200" cm="1">
        <f t="array" ref="AT200">_xlfn._xlws.FILTER(Table8[[Day Total]:[Day Total]],(MONTH(Table8[[Date]:[Date]])=$AM200)*(DAY(Table8[[Date]:[Date]])=$AN200)*(YEAR(Table8[[Date]:[Date]])=AT$1),0)</f>
        <v>0</v>
      </c>
      <c r="AU200">
        <f t="shared" si="12"/>
        <v>831</v>
      </c>
      <c r="AV200" cm="1">
        <f t="array" ref="AV200">_xlfn._xlws.FILTER(Table8[[Day Total]:[Day Total]],(MONTH(Table8[[Date]:[Date]])=$AM200)*(DAY(Table8[[Date]:[Date]])=$AN200)*(YEAR(Table8[[Date]:[Date]])=AV$1),0)</f>
        <v>0</v>
      </c>
      <c r="AW200">
        <f t="shared" si="15"/>
        <v>1589</v>
      </c>
    </row>
    <row r="201" spans="39:49" x14ac:dyDescent="0.25">
      <c r="AM201">
        <v>7</v>
      </c>
      <c r="AN201">
        <v>18</v>
      </c>
      <c r="AO201" t="str">
        <f t="shared" si="14"/>
        <v>7/18</v>
      </c>
      <c r="AP201" cm="1">
        <f t="array" ref="AP201">_xlfn._xlws.FILTER(Table8[[Day Total]:[Day Total]],(MONTH(Table8[[Date]:[Date]])=$AM201)*(DAY(Table8[[Date]:[Date]])=$AN201)*(YEAR(Table8[[Date]:[Date]])=AP$1),0)</f>
        <v>0</v>
      </c>
      <c r="AR201" cm="1">
        <f t="array" ref="AR201">_xlfn._xlws.FILTER(Table8[[Day Total]:[Day Total]],(MONTH(Table8[[Date]:[Date]])=$AM201)*(DAY(Table8[[Date]:[Date]])=$AN201)*(YEAR(Table8[[Date]:[Date]])=AR$1),0)</f>
        <v>0</v>
      </c>
      <c r="AS201">
        <f t="shared" si="13"/>
        <v>4196</v>
      </c>
      <c r="AT201" cm="1">
        <f t="array" ref="AT201">_xlfn._xlws.FILTER(Table8[[Day Total]:[Day Total]],(MONTH(Table8[[Date]:[Date]])=$AM201)*(DAY(Table8[[Date]:[Date]])=$AN201)*(YEAR(Table8[[Date]:[Date]])=AT$1),0)</f>
        <v>0</v>
      </c>
      <c r="AU201">
        <f t="shared" si="12"/>
        <v>831</v>
      </c>
      <c r="AV201" cm="1">
        <f t="array" ref="AV201">_xlfn._xlws.FILTER(Table8[[Day Total]:[Day Total]],(MONTH(Table8[[Date]:[Date]])=$AM201)*(DAY(Table8[[Date]:[Date]])=$AN201)*(YEAR(Table8[[Date]:[Date]])=AV$1),0)</f>
        <v>0</v>
      </c>
      <c r="AW201">
        <f t="shared" si="15"/>
        <v>1589</v>
      </c>
    </row>
    <row r="202" spans="39:49" x14ac:dyDescent="0.25">
      <c r="AM202">
        <v>7</v>
      </c>
      <c r="AN202">
        <v>19</v>
      </c>
      <c r="AO202" t="str">
        <f t="shared" si="14"/>
        <v>7/19</v>
      </c>
      <c r="AP202" cm="1">
        <f t="array" ref="AP202">_xlfn._xlws.FILTER(Table8[[Day Total]:[Day Total]],(MONTH(Table8[[Date]:[Date]])=$AM202)*(DAY(Table8[[Date]:[Date]])=$AN202)*(YEAR(Table8[[Date]:[Date]])=AP$1),0)</f>
        <v>0</v>
      </c>
      <c r="AR202" cm="1">
        <f t="array" ref="AR202">_xlfn._xlws.FILTER(Table8[[Day Total]:[Day Total]],(MONTH(Table8[[Date]:[Date]])=$AM202)*(DAY(Table8[[Date]:[Date]])=$AN202)*(YEAR(Table8[[Date]:[Date]])=AR$1),0)</f>
        <v>0</v>
      </c>
      <c r="AS202">
        <f t="shared" si="13"/>
        <v>4196</v>
      </c>
      <c r="AT202" cm="1">
        <f t="array" ref="AT202">_xlfn._xlws.FILTER(Table8[[Day Total]:[Day Total]],(MONTH(Table8[[Date]:[Date]])=$AM202)*(DAY(Table8[[Date]:[Date]])=$AN202)*(YEAR(Table8[[Date]:[Date]])=AT$1),0)</f>
        <v>0</v>
      </c>
      <c r="AU202">
        <f t="shared" ref="AU202:AU265" si="16">AU201+AT202</f>
        <v>831</v>
      </c>
      <c r="AV202" cm="1">
        <f t="array" ref="AV202">_xlfn._xlws.FILTER(Table8[[Day Total]:[Day Total]],(MONTH(Table8[[Date]:[Date]])=$AM202)*(DAY(Table8[[Date]:[Date]])=$AN202)*(YEAR(Table8[[Date]:[Date]])=AV$1),0)</f>
        <v>0</v>
      </c>
      <c r="AW202">
        <f t="shared" si="15"/>
        <v>1589</v>
      </c>
    </row>
    <row r="203" spans="39:49" x14ac:dyDescent="0.25">
      <c r="AM203">
        <v>7</v>
      </c>
      <c r="AN203">
        <v>20</v>
      </c>
      <c r="AO203" t="str">
        <f t="shared" si="14"/>
        <v>7/20</v>
      </c>
      <c r="AP203" cm="1">
        <f t="array" ref="AP203">_xlfn._xlws.FILTER(Table8[[Day Total]:[Day Total]],(MONTH(Table8[[Date]:[Date]])=$AM203)*(DAY(Table8[[Date]:[Date]])=$AN203)*(YEAR(Table8[[Date]:[Date]])=AP$1),0)</f>
        <v>0</v>
      </c>
      <c r="AR203" cm="1">
        <f t="array" ref="AR203">_xlfn._xlws.FILTER(Table8[[Day Total]:[Day Total]],(MONTH(Table8[[Date]:[Date]])=$AM203)*(DAY(Table8[[Date]:[Date]])=$AN203)*(YEAR(Table8[[Date]:[Date]])=AR$1),0)</f>
        <v>0</v>
      </c>
      <c r="AS203">
        <f t="shared" si="13"/>
        <v>4196</v>
      </c>
      <c r="AT203" cm="1">
        <f t="array" ref="AT203">_xlfn._xlws.FILTER(Table8[[Day Total]:[Day Total]],(MONTH(Table8[[Date]:[Date]])=$AM203)*(DAY(Table8[[Date]:[Date]])=$AN203)*(YEAR(Table8[[Date]:[Date]])=AT$1),0)</f>
        <v>0</v>
      </c>
      <c r="AU203">
        <f t="shared" si="16"/>
        <v>831</v>
      </c>
      <c r="AV203" cm="1">
        <f t="array" ref="AV203">_xlfn._xlws.FILTER(Table8[[Day Total]:[Day Total]],(MONTH(Table8[[Date]:[Date]])=$AM203)*(DAY(Table8[[Date]:[Date]])=$AN203)*(YEAR(Table8[[Date]:[Date]])=AV$1),0)</f>
        <v>0</v>
      </c>
      <c r="AW203">
        <f t="shared" si="15"/>
        <v>1589</v>
      </c>
    </row>
    <row r="204" spans="39:49" x14ac:dyDescent="0.25">
      <c r="AM204">
        <v>7</v>
      </c>
      <c r="AN204">
        <v>21</v>
      </c>
      <c r="AO204" t="str">
        <f t="shared" si="14"/>
        <v>7/21</v>
      </c>
      <c r="AP204" cm="1">
        <f t="array" ref="AP204">_xlfn._xlws.FILTER(Table8[[Day Total]:[Day Total]],(MONTH(Table8[[Date]:[Date]])=$AM204)*(DAY(Table8[[Date]:[Date]])=$AN204)*(YEAR(Table8[[Date]:[Date]])=AP$1),0)</f>
        <v>0</v>
      </c>
      <c r="AR204" cm="1">
        <f t="array" ref="AR204">_xlfn._xlws.FILTER(Table8[[Day Total]:[Day Total]],(MONTH(Table8[[Date]:[Date]])=$AM204)*(DAY(Table8[[Date]:[Date]])=$AN204)*(YEAR(Table8[[Date]:[Date]])=AR$1),0)</f>
        <v>0</v>
      </c>
      <c r="AS204">
        <f t="shared" si="13"/>
        <v>4196</v>
      </c>
      <c r="AT204" cm="1">
        <f t="array" ref="AT204">_xlfn._xlws.FILTER(Table8[[Day Total]:[Day Total]],(MONTH(Table8[[Date]:[Date]])=$AM204)*(DAY(Table8[[Date]:[Date]])=$AN204)*(YEAR(Table8[[Date]:[Date]])=AT$1),0)</f>
        <v>0</v>
      </c>
      <c r="AU204">
        <f t="shared" si="16"/>
        <v>831</v>
      </c>
      <c r="AV204" cm="1">
        <f t="array" ref="AV204">_xlfn._xlws.FILTER(Table8[[Day Total]:[Day Total]],(MONTH(Table8[[Date]:[Date]])=$AM204)*(DAY(Table8[[Date]:[Date]])=$AN204)*(YEAR(Table8[[Date]:[Date]])=AV$1),0)</f>
        <v>0</v>
      </c>
      <c r="AW204">
        <f t="shared" si="15"/>
        <v>1589</v>
      </c>
    </row>
    <row r="205" spans="39:49" x14ac:dyDescent="0.25">
      <c r="AM205">
        <v>7</v>
      </c>
      <c r="AN205">
        <v>22</v>
      </c>
      <c r="AO205" t="str">
        <f t="shared" si="14"/>
        <v>7/22</v>
      </c>
      <c r="AP205" cm="1">
        <f t="array" ref="AP205">_xlfn._xlws.FILTER(Table8[[Day Total]:[Day Total]],(MONTH(Table8[[Date]:[Date]])=$AM205)*(DAY(Table8[[Date]:[Date]])=$AN205)*(YEAR(Table8[[Date]:[Date]])=AP$1),0)</f>
        <v>0</v>
      </c>
      <c r="AR205" cm="1">
        <f t="array" ref="AR205">_xlfn._xlws.FILTER(Table8[[Day Total]:[Day Total]],(MONTH(Table8[[Date]:[Date]])=$AM205)*(DAY(Table8[[Date]:[Date]])=$AN205)*(YEAR(Table8[[Date]:[Date]])=AR$1),0)</f>
        <v>0</v>
      </c>
      <c r="AS205">
        <f t="shared" si="13"/>
        <v>4196</v>
      </c>
      <c r="AT205" cm="1">
        <f t="array" ref="AT205">_xlfn._xlws.FILTER(Table8[[Day Total]:[Day Total]],(MONTH(Table8[[Date]:[Date]])=$AM205)*(DAY(Table8[[Date]:[Date]])=$AN205)*(YEAR(Table8[[Date]:[Date]])=AT$1),0)</f>
        <v>0</v>
      </c>
      <c r="AU205">
        <f t="shared" si="16"/>
        <v>831</v>
      </c>
      <c r="AV205" cm="1">
        <f t="array" ref="AV205">_xlfn._xlws.FILTER(Table8[[Day Total]:[Day Total]],(MONTH(Table8[[Date]:[Date]])=$AM205)*(DAY(Table8[[Date]:[Date]])=$AN205)*(YEAR(Table8[[Date]:[Date]])=AV$1),0)</f>
        <v>0</v>
      </c>
      <c r="AW205">
        <f t="shared" si="15"/>
        <v>1589</v>
      </c>
    </row>
    <row r="206" spans="39:49" x14ac:dyDescent="0.25">
      <c r="AM206">
        <v>7</v>
      </c>
      <c r="AN206">
        <v>23</v>
      </c>
      <c r="AO206" t="str">
        <f t="shared" si="14"/>
        <v>7/23</v>
      </c>
      <c r="AP206" cm="1">
        <f t="array" ref="AP206">_xlfn._xlws.FILTER(Table8[[Day Total]:[Day Total]],(MONTH(Table8[[Date]:[Date]])=$AM206)*(DAY(Table8[[Date]:[Date]])=$AN206)*(YEAR(Table8[[Date]:[Date]])=AP$1),0)</f>
        <v>0</v>
      </c>
      <c r="AR206" cm="1">
        <f t="array" ref="AR206">_xlfn._xlws.FILTER(Table8[[Day Total]:[Day Total]],(MONTH(Table8[[Date]:[Date]])=$AM206)*(DAY(Table8[[Date]:[Date]])=$AN206)*(YEAR(Table8[[Date]:[Date]])=AR$1),0)</f>
        <v>4</v>
      </c>
      <c r="AS206">
        <f t="shared" si="13"/>
        <v>4200</v>
      </c>
      <c r="AT206" cm="1">
        <f t="array" ref="AT206">_xlfn._xlws.FILTER(Table8[[Day Total]:[Day Total]],(MONTH(Table8[[Date]:[Date]])=$AM206)*(DAY(Table8[[Date]:[Date]])=$AN206)*(YEAR(Table8[[Date]:[Date]])=AT$1),0)</f>
        <v>0</v>
      </c>
      <c r="AU206">
        <f t="shared" si="16"/>
        <v>831</v>
      </c>
      <c r="AV206" cm="1">
        <f t="array" ref="AV206">_xlfn._xlws.FILTER(Table8[[Day Total]:[Day Total]],(MONTH(Table8[[Date]:[Date]])=$AM206)*(DAY(Table8[[Date]:[Date]])=$AN206)*(YEAR(Table8[[Date]:[Date]])=AV$1),0)</f>
        <v>0</v>
      </c>
      <c r="AW206">
        <f t="shared" si="15"/>
        <v>1589</v>
      </c>
    </row>
    <row r="207" spans="39:49" x14ac:dyDescent="0.25">
      <c r="AM207">
        <v>7</v>
      </c>
      <c r="AN207">
        <v>24</v>
      </c>
      <c r="AO207" t="str">
        <f t="shared" si="14"/>
        <v>7/24</v>
      </c>
      <c r="AP207" cm="1">
        <f t="array" ref="AP207">_xlfn._xlws.FILTER(Table8[[Day Total]:[Day Total]],(MONTH(Table8[[Date]:[Date]])=$AM207)*(DAY(Table8[[Date]:[Date]])=$AN207)*(YEAR(Table8[[Date]:[Date]])=AP$1),0)</f>
        <v>0</v>
      </c>
      <c r="AR207" cm="1">
        <f t="array" ref="AR207">_xlfn._xlws.FILTER(Table8[[Day Total]:[Day Total]],(MONTH(Table8[[Date]:[Date]])=$AM207)*(DAY(Table8[[Date]:[Date]])=$AN207)*(YEAR(Table8[[Date]:[Date]])=AR$1),0)</f>
        <v>0</v>
      </c>
      <c r="AS207">
        <f t="shared" si="13"/>
        <v>4200</v>
      </c>
      <c r="AT207" cm="1">
        <f t="array" ref="AT207">_xlfn._xlws.FILTER(Table8[[Day Total]:[Day Total]],(MONTH(Table8[[Date]:[Date]])=$AM207)*(DAY(Table8[[Date]:[Date]])=$AN207)*(YEAR(Table8[[Date]:[Date]])=AT$1),0)</f>
        <v>0</v>
      </c>
      <c r="AU207">
        <f t="shared" si="16"/>
        <v>831</v>
      </c>
      <c r="AV207" cm="1">
        <f t="array" ref="AV207">_xlfn._xlws.FILTER(Table8[[Day Total]:[Day Total]],(MONTH(Table8[[Date]:[Date]])=$AM207)*(DAY(Table8[[Date]:[Date]])=$AN207)*(YEAR(Table8[[Date]:[Date]])=AV$1),0)</f>
        <v>0</v>
      </c>
      <c r="AW207">
        <f t="shared" si="15"/>
        <v>1589</v>
      </c>
    </row>
    <row r="208" spans="39:49" x14ac:dyDescent="0.25">
      <c r="AM208">
        <v>7</v>
      </c>
      <c r="AN208">
        <v>25</v>
      </c>
      <c r="AO208" t="str">
        <f t="shared" si="14"/>
        <v>7/25</v>
      </c>
      <c r="AP208" cm="1">
        <f t="array" ref="AP208">_xlfn._xlws.FILTER(Table8[[Day Total]:[Day Total]],(MONTH(Table8[[Date]:[Date]])=$AM208)*(DAY(Table8[[Date]:[Date]])=$AN208)*(YEAR(Table8[[Date]:[Date]])=AP$1),0)</f>
        <v>0</v>
      </c>
      <c r="AR208" cm="1">
        <f t="array" ref="AR208">_xlfn._xlws.FILTER(Table8[[Day Total]:[Day Total]],(MONTH(Table8[[Date]:[Date]])=$AM208)*(DAY(Table8[[Date]:[Date]])=$AN208)*(YEAR(Table8[[Date]:[Date]])=AR$1),0)</f>
        <v>0</v>
      </c>
      <c r="AS208">
        <f t="shared" si="13"/>
        <v>4200</v>
      </c>
      <c r="AT208" cm="1">
        <f t="array" ref="AT208">_xlfn._xlws.FILTER(Table8[[Day Total]:[Day Total]],(MONTH(Table8[[Date]:[Date]])=$AM208)*(DAY(Table8[[Date]:[Date]])=$AN208)*(YEAR(Table8[[Date]:[Date]])=AT$1),0)</f>
        <v>0</v>
      </c>
      <c r="AU208">
        <f t="shared" si="16"/>
        <v>831</v>
      </c>
      <c r="AV208" cm="1">
        <f t="array" ref="AV208">_xlfn._xlws.FILTER(Table8[[Day Total]:[Day Total]],(MONTH(Table8[[Date]:[Date]])=$AM208)*(DAY(Table8[[Date]:[Date]])=$AN208)*(YEAR(Table8[[Date]:[Date]])=AV$1),0)</f>
        <v>0</v>
      </c>
      <c r="AW208">
        <f t="shared" si="15"/>
        <v>1589</v>
      </c>
    </row>
    <row r="209" spans="38:49" x14ac:dyDescent="0.25">
      <c r="AM209">
        <v>7</v>
      </c>
      <c r="AN209">
        <v>26</v>
      </c>
      <c r="AO209" t="str">
        <f t="shared" si="14"/>
        <v>7/26</v>
      </c>
      <c r="AP209" cm="1">
        <f t="array" ref="AP209">_xlfn._xlws.FILTER(Table8[[Day Total]:[Day Total]],(MONTH(Table8[[Date]:[Date]])=$AM209)*(DAY(Table8[[Date]:[Date]])=$AN209)*(YEAR(Table8[[Date]:[Date]])=AP$1),0)</f>
        <v>0</v>
      </c>
      <c r="AR209" cm="1">
        <f t="array" ref="AR209">_xlfn._xlws.FILTER(Table8[[Day Total]:[Day Total]],(MONTH(Table8[[Date]:[Date]])=$AM209)*(DAY(Table8[[Date]:[Date]])=$AN209)*(YEAR(Table8[[Date]:[Date]])=AR$1),0)</f>
        <v>0</v>
      </c>
      <c r="AS209">
        <f t="shared" si="13"/>
        <v>4200</v>
      </c>
      <c r="AT209" cm="1">
        <f t="array" ref="AT209">_xlfn._xlws.FILTER(Table8[[Day Total]:[Day Total]],(MONTH(Table8[[Date]:[Date]])=$AM209)*(DAY(Table8[[Date]:[Date]])=$AN209)*(YEAR(Table8[[Date]:[Date]])=AT$1),0)</f>
        <v>0</v>
      </c>
      <c r="AU209">
        <f t="shared" si="16"/>
        <v>831</v>
      </c>
      <c r="AV209" cm="1">
        <f t="array" ref="AV209">_xlfn._xlws.FILTER(Table8[[Day Total]:[Day Total]],(MONTH(Table8[[Date]:[Date]])=$AM209)*(DAY(Table8[[Date]:[Date]])=$AN209)*(YEAR(Table8[[Date]:[Date]])=AV$1),0)</f>
        <v>0</v>
      </c>
      <c r="AW209">
        <f t="shared" si="15"/>
        <v>1589</v>
      </c>
    </row>
    <row r="210" spans="38:49" x14ac:dyDescent="0.25">
      <c r="AM210">
        <v>7</v>
      </c>
      <c r="AN210">
        <v>27</v>
      </c>
      <c r="AO210" t="str">
        <f t="shared" si="14"/>
        <v>7/27</v>
      </c>
      <c r="AP210" cm="1">
        <f t="array" ref="AP210">_xlfn._xlws.FILTER(Table8[[Day Total]:[Day Total]],(MONTH(Table8[[Date]:[Date]])=$AM210)*(DAY(Table8[[Date]:[Date]])=$AN210)*(YEAR(Table8[[Date]:[Date]])=AP$1),0)</f>
        <v>0</v>
      </c>
      <c r="AR210" cm="1">
        <f t="array" ref="AR210">_xlfn._xlws.FILTER(Table8[[Day Total]:[Day Total]],(MONTH(Table8[[Date]:[Date]])=$AM210)*(DAY(Table8[[Date]:[Date]])=$AN210)*(YEAR(Table8[[Date]:[Date]])=AR$1),0)</f>
        <v>0</v>
      </c>
      <c r="AS210">
        <f t="shared" si="13"/>
        <v>4200</v>
      </c>
      <c r="AT210" cm="1">
        <f t="array" ref="AT210">_xlfn._xlws.FILTER(Table8[[Day Total]:[Day Total]],(MONTH(Table8[[Date]:[Date]])=$AM210)*(DAY(Table8[[Date]:[Date]])=$AN210)*(YEAR(Table8[[Date]:[Date]])=AT$1),0)</f>
        <v>0</v>
      </c>
      <c r="AU210">
        <f t="shared" si="16"/>
        <v>831</v>
      </c>
      <c r="AV210" cm="1">
        <f t="array" ref="AV210">_xlfn._xlws.FILTER(Table8[[Day Total]:[Day Total]],(MONTH(Table8[[Date]:[Date]])=$AM210)*(DAY(Table8[[Date]:[Date]])=$AN210)*(YEAR(Table8[[Date]:[Date]])=AV$1),0)</f>
        <v>0</v>
      </c>
      <c r="AW210">
        <f t="shared" si="15"/>
        <v>1589</v>
      </c>
    </row>
    <row r="211" spans="38:49" x14ac:dyDescent="0.25">
      <c r="AM211">
        <v>7</v>
      </c>
      <c r="AN211">
        <v>28</v>
      </c>
      <c r="AO211" t="str">
        <f t="shared" si="14"/>
        <v>7/28</v>
      </c>
      <c r="AP211" cm="1">
        <f t="array" ref="AP211">_xlfn._xlws.FILTER(Table8[[Day Total]:[Day Total]],(MONTH(Table8[[Date]:[Date]])=$AM211)*(DAY(Table8[[Date]:[Date]])=$AN211)*(YEAR(Table8[[Date]:[Date]])=AP$1),0)</f>
        <v>0</v>
      </c>
      <c r="AR211" cm="1">
        <f t="array" ref="AR211">_xlfn._xlws.FILTER(Table8[[Day Total]:[Day Total]],(MONTH(Table8[[Date]:[Date]])=$AM211)*(DAY(Table8[[Date]:[Date]])=$AN211)*(YEAR(Table8[[Date]:[Date]])=AR$1),0)</f>
        <v>0</v>
      </c>
      <c r="AS211">
        <f t="shared" si="13"/>
        <v>4200</v>
      </c>
      <c r="AT211" cm="1">
        <f t="array" ref="AT211">_xlfn._xlws.FILTER(Table8[[Day Total]:[Day Total]],(MONTH(Table8[[Date]:[Date]])=$AM211)*(DAY(Table8[[Date]:[Date]])=$AN211)*(YEAR(Table8[[Date]:[Date]])=AT$1),0)</f>
        <v>0</v>
      </c>
      <c r="AU211">
        <f t="shared" si="16"/>
        <v>831</v>
      </c>
      <c r="AV211" cm="1">
        <f t="array" ref="AV211">_xlfn._xlws.FILTER(Table8[[Day Total]:[Day Total]],(MONTH(Table8[[Date]:[Date]])=$AM211)*(DAY(Table8[[Date]:[Date]])=$AN211)*(YEAR(Table8[[Date]:[Date]])=AV$1),0)</f>
        <v>0</v>
      </c>
      <c r="AW211">
        <f t="shared" si="15"/>
        <v>1589</v>
      </c>
    </row>
    <row r="212" spans="38:49" x14ac:dyDescent="0.25">
      <c r="AM212">
        <v>7</v>
      </c>
      <c r="AN212">
        <v>29</v>
      </c>
      <c r="AO212" t="str">
        <f t="shared" si="14"/>
        <v>7/29</v>
      </c>
      <c r="AP212" cm="1">
        <f t="array" ref="AP212">_xlfn._xlws.FILTER(Table8[[Day Total]:[Day Total]],(MONTH(Table8[[Date]:[Date]])=$AM212)*(DAY(Table8[[Date]:[Date]])=$AN212)*(YEAR(Table8[[Date]:[Date]])=AP$1),0)</f>
        <v>0</v>
      </c>
      <c r="AR212" cm="1">
        <f t="array" ref="AR212">_xlfn._xlws.FILTER(Table8[[Day Total]:[Day Total]],(MONTH(Table8[[Date]:[Date]])=$AM212)*(DAY(Table8[[Date]:[Date]])=$AN212)*(YEAR(Table8[[Date]:[Date]])=AR$1),0)</f>
        <v>5</v>
      </c>
      <c r="AS212">
        <f t="shared" si="13"/>
        <v>4205</v>
      </c>
      <c r="AT212" cm="1">
        <f t="array" ref="AT212">_xlfn._xlws.FILTER(Table8[[Day Total]:[Day Total]],(MONTH(Table8[[Date]:[Date]])=$AM212)*(DAY(Table8[[Date]:[Date]])=$AN212)*(YEAR(Table8[[Date]:[Date]])=AT$1),0)</f>
        <v>0</v>
      </c>
      <c r="AU212">
        <f t="shared" si="16"/>
        <v>831</v>
      </c>
      <c r="AV212" cm="1">
        <f t="array" ref="AV212">_xlfn._xlws.FILTER(Table8[[Day Total]:[Day Total]],(MONTH(Table8[[Date]:[Date]])=$AM212)*(DAY(Table8[[Date]:[Date]])=$AN212)*(YEAR(Table8[[Date]:[Date]])=AV$1),0)</f>
        <v>0</v>
      </c>
      <c r="AW212">
        <f t="shared" si="15"/>
        <v>1589</v>
      </c>
    </row>
    <row r="213" spans="38:49" x14ac:dyDescent="0.25">
      <c r="AM213">
        <v>7</v>
      </c>
      <c r="AN213">
        <v>30</v>
      </c>
      <c r="AO213" t="str">
        <f t="shared" si="14"/>
        <v>7/30</v>
      </c>
      <c r="AP213" cm="1">
        <f t="array" ref="AP213">_xlfn._xlws.FILTER(Table8[[Day Total]:[Day Total]],(MONTH(Table8[[Date]:[Date]])=$AM213)*(DAY(Table8[[Date]:[Date]])=$AN213)*(YEAR(Table8[[Date]:[Date]])=AP$1),0)</f>
        <v>0</v>
      </c>
      <c r="AR213" cm="1">
        <f t="array" ref="AR213">_xlfn._xlws.FILTER(Table8[[Day Total]:[Day Total]],(MONTH(Table8[[Date]:[Date]])=$AM213)*(DAY(Table8[[Date]:[Date]])=$AN213)*(YEAR(Table8[[Date]:[Date]])=AR$1),0)</f>
        <v>1</v>
      </c>
      <c r="AS213">
        <f t="shared" si="13"/>
        <v>4206</v>
      </c>
      <c r="AT213" cm="1">
        <f t="array" ref="AT213">_xlfn._xlws.FILTER(Table8[[Day Total]:[Day Total]],(MONTH(Table8[[Date]:[Date]])=$AM213)*(DAY(Table8[[Date]:[Date]])=$AN213)*(YEAR(Table8[[Date]:[Date]])=AT$1),0)</f>
        <v>0</v>
      </c>
      <c r="AU213">
        <f t="shared" si="16"/>
        <v>831</v>
      </c>
      <c r="AV213" cm="1">
        <f t="array" ref="AV213">_xlfn._xlws.FILTER(Table8[[Day Total]:[Day Total]],(MONTH(Table8[[Date]:[Date]])=$AM213)*(DAY(Table8[[Date]:[Date]])=$AN213)*(YEAR(Table8[[Date]:[Date]])=AV$1),0)</f>
        <v>0</v>
      </c>
      <c r="AW213">
        <f t="shared" si="15"/>
        <v>1589</v>
      </c>
    </row>
    <row r="214" spans="38:49" x14ac:dyDescent="0.25">
      <c r="AM214">
        <v>7</v>
      </c>
      <c r="AN214">
        <v>31</v>
      </c>
      <c r="AO214" t="str">
        <f t="shared" si="14"/>
        <v>7/31</v>
      </c>
      <c r="AP214" cm="1">
        <f t="array" ref="AP214">_xlfn._xlws.FILTER(Table8[[Day Total]:[Day Total]],(MONTH(Table8[[Date]:[Date]])=$AM214)*(DAY(Table8[[Date]:[Date]])=$AN214)*(YEAR(Table8[[Date]:[Date]])=AP$1),0)</f>
        <v>0</v>
      </c>
      <c r="AR214" cm="1">
        <f t="array" ref="AR214">_xlfn._xlws.FILTER(Table8[[Day Total]:[Day Total]],(MONTH(Table8[[Date]:[Date]])=$AM214)*(DAY(Table8[[Date]:[Date]])=$AN214)*(YEAR(Table8[[Date]:[Date]])=AR$1),0)</f>
        <v>0</v>
      </c>
      <c r="AS214">
        <f t="shared" si="13"/>
        <v>4206</v>
      </c>
      <c r="AT214" cm="1">
        <f t="array" ref="AT214">_xlfn._xlws.FILTER(Table8[[Day Total]:[Day Total]],(MONTH(Table8[[Date]:[Date]])=$AM214)*(DAY(Table8[[Date]:[Date]])=$AN214)*(YEAR(Table8[[Date]:[Date]])=AT$1),0)</f>
        <v>0</v>
      </c>
      <c r="AU214">
        <f t="shared" si="16"/>
        <v>831</v>
      </c>
      <c r="AV214" cm="1">
        <f t="array" ref="AV214">_xlfn._xlws.FILTER(Table8[[Day Total]:[Day Total]],(MONTH(Table8[[Date]:[Date]])=$AM214)*(DAY(Table8[[Date]:[Date]])=$AN214)*(YEAR(Table8[[Date]:[Date]])=AV$1),0)</f>
        <v>0</v>
      </c>
      <c r="AW214">
        <f t="shared" si="15"/>
        <v>1589</v>
      </c>
    </row>
    <row r="215" spans="38:49" x14ac:dyDescent="0.25">
      <c r="AL215" t="s">
        <v>107</v>
      </c>
      <c r="AM215">
        <v>8</v>
      </c>
      <c r="AN215">
        <v>1</v>
      </c>
      <c r="AO215" t="str">
        <f t="shared" si="14"/>
        <v>8/1</v>
      </c>
      <c r="AP215" cm="1">
        <f t="array" ref="AP215">_xlfn._xlws.FILTER(Table8[[Day Total]:[Day Total]],(MONTH(Table8[[Date]:[Date]])=$AM215)*(DAY(Table8[[Date]:[Date]])=$AN215)*(YEAR(Table8[[Date]:[Date]])=AP$1),0)</f>
        <v>0</v>
      </c>
      <c r="AR215" cm="1">
        <f t="array" ref="AR215">_xlfn._xlws.FILTER(Table8[[Day Total]:[Day Total]],(MONTH(Table8[[Date]:[Date]])=$AM215)*(DAY(Table8[[Date]:[Date]])=$AN215)*(YEAR(Table8[[Date]:[Date]])=AR$1),0)</f>
        <v>0</v>
      </c>
      <c r="AS215">
        <f t="shared" si="13"/>
        <v>4206</v>
      </c>
      <c r="AT215" cm="1">
        <f t="array" ref="AT215">_xlfn._xlws.FILTER(Table8[[Day Total]:[Day Total]],(MONTH(Table8[[Date]:[Date]])=$AM215)*(DAY(Table8[[Date]:[Date]])=$AN215)*(YEAR(Table8[[Date]:[Date]])=AT$1),0)</f>
        <v>0</v>
      </c>
      <c r="AU215">
        <f t="shared" si="16"/>
        <v>831</v>
      </c>
      <c r="AV215" cm="1">
        <f t="array" ref="AV215">_xlfn._xlws.FILTER(Table8[[Day Total]:[Day Total]],(MONTH(Table8[[Date]:[Date]])=$AM215)*(DAY(Table8[[Date]:[Date]])=$AN215)*(YEAR(Table8[[Date]:[Date]])=AV$1),0)</f>
        <v>0</v>
      </c>
      <c r="AW215">
        <f t="shared" si="15"/>
        <v>1589</v>
      </c>
    </row>
    <row r="216" spans="38:49" x14ac:dyDescent="0.25">
      <c r="AM216">
        <v>8</v>
      </c>
      <c r="AN216">
        <v>2</v>
      </c>
      <c r="AO216" t="str">
        <f t="shared" si="14"/>
        <v>8/2</v>
      </c>
      <c r="AP216" cm="1">
        <f t="array" ref="AP216">_xlfn._xlws.FILTER(Table8[[Day Total]:[Day Total]],(MONTH(Table8[[Date]:[Date]])=$AM216)*(DAY(Table8[[Date]:[Date]])=$AN216)*(YEAR(Table8[[Date]:[Date]])=AP$1),0)</f>
        <v>0</v>
      </c>
      <c r="AR216" cm="1">
        <f t="array" ref="AR216">_xlfn._xlws.FILTER(Table8[[Day Total]:[Day Total]],(MONTH(Table8[[Date]:[Date]])=$AM216)*(DAY(Table8[[Date]:[Date]])=$AN216)*(YEAR(Table8[[Date]:[Date]])=AR$1),0)</f>
        <v>0</v>
      </c>
      <c r="AS216">
        <f t="shared" si="13"/>
        <v>4206</v>
      </c>
      <c r="AT216" cm="1">
        <f t="array" ref="AT216">_xlfn._xlws.FILTER(Table8[[Day Total]:[Day Total]],(MONTH(Table8[[Date]:[Date]])=$AM216)*(DAY(Table8[[Date]:[Date]])=$AN216)*(YEAR(Table8[[Date]:[Date]])=AT$1),0)</f>
        <v>0</v>
      </c>
      <c r="AU216">
        <f t="shared" si="16"/>
        <v>831</v>
      </c>
      <c r="AV216" cm="1">
        <f t="array" ref="AV216">_xlfn._xlws.FILTER(Table8[[Day Total]:[Day Total]],(MONTH(Table8[[Date]:[Date]])=$AM216)*(DAY(Table8[[Date]:[Date]])=$AN216)*(YEAR(Table8[[Date]:[Date]])=AV$1),0)</f>
        <v>0</v>
      </c>
      <c r="AW216">
        <f t="shared" si="15"/>
        <v>1589</v>
      </c>
    </row>
    <row r="217" spans="38:49" x14ac:dyDescent="0.25">
      <c r="AM217">
        <v>8</v>
      </c>
      <c r="AN217">
        <v>3</v>
      </c>
      <c r="AO217" t="str">
        <f t="shared" si="14"/>
        <v>8/3</v>
      </c>
      <c r="AP217" cm="1">
        <f t="array" ref="AP217">_xlfn._xlws.FILTER(Table8[[Day Total]:[Day Total]],(MONTH(Table8[[Date]:[Date]])=$AM217)*(DAY(Table8[[Date]:[Date]])=$AN217)*(YEAR(Table8[[Date]:[Date]])=AP$1),0)</f>
        <v>0</v>
      </c>
      <c r="AR217" cm="1">
        <f t="array" ref="AR217">_xlfn._xlws.FILTER(Table8[[Day Total]:[Day Total]],(MONTH(Table8[[Date]:[Date]])=$AM217)*(DAY(Table8[[Date]:[Date]])=$AN217)*(YEAR(Table8[[Date]:[Date]])=AR$1),0)</f>
        <v>0</v>
      </c>
      <c r="AS217">
        <f t="shared" si="13"/>
        <v>4206</v>
      </c>
      <c r="AT217" cm="1">
        <f t="array" ref="AT217">_xlfn._xlws.FILTER(Table8[[Day Total]:[Day Total]],(MONTH(Table8[[Date]:[Date]])=$AM217)*(DAY(Table8[[Date]:[Date]])=$AN217)*(YEAR(Table8[[Date]:[Date]])=AT$1),0)</f>
        <v>0</v>
      </c>
      <c r="AU217">
        <f t="shared" si="16"/>
        <v>831</v>
      </c>
      <c r="AV217" cm="1">
        <f t="array" ref="AV217">_xlfn._xlws.FILTER(Table8[[Day Total]:[Day Total]],(MONTH(Table8[[Date]:[Date]])=$AM217)*(DAY(Table8[[Date]:[Date]])=$AN217)*(YEAR(Table8[[Date]:[Date]])=AV$1),0)</f>
        <v>0</v>
      </c>
      <c r="AW217">
        <f t="shared" si="15"/>
        <v>1589</v>
      </c>
    </row>
    <row r="218" spans="38:49" x14ac:dyDescent="0.25">
      <c r="AM218">
        <v>8</v>
      </c>
      <c r="AN218">
        <v>4</v>
      </c>
      <c r="AO218" t="str">
        <f t="shared" si="14"/>
        <v>8/4</v>
      </c>
      <c r="AP218" cm="1">
        <f t="array" ref="AP218">_xlfn._xlws.FILTER(Table8[[Day Total]:[Day Total]],(MONTH(Table8[[Date]:[Date]])=$AM218)*(DAY(Table8[[Date]:[Date]])=$AN218)*(YEAR(Table8[[Date]:[Date]])=AP$1),0)</f>
        <v>0</v>
      </c>
      <c r="AR218" cm="1">
        <f t="array" ref="AR218">_xlfn._xlws.FILTER(Table8[[Day Total]:[Day Total]],(MONTH(Table8[[Date]:[Date]])=$AM218)*(DAY(Table8[[Date]:[Date]])=$AN218)*(YEAR(Table8[[Date]:[Date]])=AR$1),0)</f>
        <v>0</v>
      </c>
      <c r="AS218">
        <f t="shared" si="13"/>
        <v>4206</v>
      </c>
      <c r="AT218" cm="1">
        <f t="array" ref="AT218">_xlfn._xlws.FILTER(Table8[[Day Total]:[Day Total]],(MONTH(Table8[[Date]:[Date]])=$AM218)*(DAY(Table8[[Date]:[Date]])=$AN218)*(YEAR(Table8[[Date]:[Date]])=AT$1),0)</f>
        <v>0</v>
      </c>
      <c r="AU218">
        <f t="shared" si="16"/>
        <v>831</v>
      </c>
      <c r="AV218" cm="1">
        <f t="array" ref="AV218">_xlfn._xlws.FILTER(Table8[[Day Total]:[Day Total]],(MONTH(Table8[[Date]:[Date]])=$AM218)*(DAY(Table8[[Date]:[Date]])=$AN218)*(YEAR(Table8[[Date]:[Date]])=AV$1),0)</f>
        <v>0</v>
      </c>
      <c r="AW218">
        <f t="shared" si="15"/>
        <v>1589</v>
      </c>
    </row>
    <row r="219" spans="38:49" x14ac:dyDescent="0.25">
      <c r="AM219">
        <v>8</v>
      </c>
      <c r="AN219">
        <v>5</v>
      </c>
      <c r="AO219" t="str">
        <f t="shared" si="14"/>
        <v>8/5</v>
      </c>
      <c r="AP219" cm="1">
        <f t="array" ref="AP219">_xlfn._xlws.FILTER(Table8[[Day Total]:[Day Total]],(MONTH(Table8[[Date]:[Date]])=$AM219)*(DAY(Table8[[Date]:[Date]])=$AN219)*(YEAR(Table8[[Date]:[Date]])=AP$1),0)</f>
        <v>0</v>
      </c>
      <c r="AR219" cm="1">
        <f t="array" ref="AR219">_xlfn._xlws.FILTER(Table8[[Day Total]:[Day Total]],(MONTH(Table8[[Date]:[Date]])=$AM219)*(DAY(Table8[[Date]:[Date]])=$AN219)*(YEAR(Table8[[Date]:[Date]])=AR$1),0)</f>
        <v>37</v>
      </c>
      <c r="AS219">
        <f t="shared" si="13"/>
        <v>4243</v>
      </c>
      <c r="AT219" cm="1">
        <f t="array" ref="AT219">_xlfn._xlws.FILTER(Table8[[Day Total]:[Day Total]],(MONTH(Table8[[Date]:[Date]])=$AM219)*(DAY(Table8[[Date]:[Date]])=$AN219)*(YEAR(Table8[[Date]:[Date]])=AT$1),0)</f>
        <v>0</v>
      </c>
      <c r="AU219">
        <f t="shared" si="16"/>
        <v>831</v>
      </c>
      <c r="AV219" cm="1">
        <f t="array" ref="AV219">_xlfn._xlws.FILTER(Table8[[Day Total]:[Day Total]],(MONTH(Table8[[Date]:[Date]])=$AM219)*(DAY(Table8[[Date]:[Date]])=$AN219)*(YEAR(Table8[[Date]:[Date]])=AV$1),0)</f>
        <v>0</v>
      </c>
      <c r="AW219">
        <f t="shared" si="15"/>
        <v>1589</v>
      </c>
    </row>
    <row r="220" spans="38:49" x14ac:dyDescent="0.25">
      <c r="AM220">
        <v>8</v>
      </c>
      <c r="AN220">
        <v>6</v>
      </c>
      <c r="AO220" t="str">
        <f t="shared" si="14"/>
        <v>8/6</v>
      </c>
      <c r="AP220" cm="1">
        <f t="array" ref="AP220">_xlfn._xlws.FILTER(Table8[[Day Total]:[Day Total]],(MONTH(Table8[[Date]:[Date]])=$AM220)*(DAY(Table8[[Date]:[Date]])=$AN220)*(YEAR(Table8[[Date]:[Date]])=AP$1),0)</f>
        <v>0</v>
      </c>
      <c r="AR220" cm="1">
        <f t="array" ref="AR220">_xlfn._xlws.FILTER(Table8[[Day Total]:[Day Total]],(MONTH(Table8[[Date]:[Date]])=$AM220)*(DAY(Table8[[Date]:[Date]])=$AN220)*(YEAR(Table8[[Date]:[Date]])=AR$1),0)</f>
        <v>0</v>
      </c>
      <c r="AS220">
        <f t="shared" si="13"/>
        <v>4243</v>
      </c>
      <c r="AT220" cm="1">
        <f t="array" ref="AT220">_xlfn._xlws.FILTER(Table8[[Day Total]:[Day Total]],(MONTH(Table8[[Date]:[Date]])=$AM220)*(DAY(Table8[[Date]:[Date]])=$AN220)*(YEAR(Table8[[Date]:[Date]])=AT$1),0)</f>
        <v>0</v>
      </c>
      <c r="AU220">
        <f t="shared" si="16"/>
        <v>831</v>
      </c>
      <c r="AV220" cm="1">
        <f t="array" ref="AV220">_xlfn._xlws.FILTER(Table8[[Day Total]:[Day Total]],(MONTH(Table8[[Date]:[Date]])=$AM220)*(DAY(Table8[[Date]:[Date]])=$AN220)*(YEAR(Table8[[Date]:[Date]])=AV$1),0)</f>
        <v>0</v>
      </c>
      <c r="AW220">
        <f t="shared" si="15"/>
        <v>1589</v>
      </c>
    </row>
    <row r="221" spans="38:49" x14ac:dyDescent="0.25">
      <c r="AM221">
        <v>8</v>
      </c>
      <c r="AN221">
        <v>7</v>
      </c>
      <c r="AO221" t="str">
        <f t="shared" si="14"/>
        <v>8/7</v>
      </c>
      <c r="AP221" cm="1">
        <f t="array" ref="AP221">_xlfn._xlws.FILTER(Table8[[Day Total]:[Day Total]],(MONTH(Table8[[Date]:[Date]])=$AM221)*(DAY(Table8[[Date]:[Date]])=$AN221)*(YEAR(Table8[[Date]:[Date]])=AP$1),0)</f>
        <v>0</v>
      </c>
      <c r="AR221" cm="1">
        <f t="array" ref="AR221">_xlfn._xlws.FILTER(Table8[[Day Total]:[Day Total]],(MONTH(Table8[[Date]:[Date]])=$AM221)*(DAY(Table8[[Date]:[Date]])=$AN221)*(YEAR(Table8[[Date]:[Date]])=AR$1),0)</f>
        <v>32</v>
      </c>
      <c r="AS221">
        <f t="shared" si="13"/>
        <v>4275</v>
      </c>
      <c r="AT221" cm="1">
        <f t="array" ref="AT221">_xlfn._xlws.FILTER(Table8[[Day Total]:[Day Total]],(MONTH(Table8[[Date]:[Date]])=$AM221)*(DAY(Table8[[Date]:[Date]])=$AN221)*(YEAR(Table8[[Date]:[Date]])=AT$1),0)</f>
        <v>0</v>
      </c>
      <c r="AU221">
        <f t="shared" si="16"/>
        <v>831</v>
      </c>
      <c r="AV221" cm="1">
        <f t="array" ref="AV221">_xlfn._xlws.FILTER(Table8[[Day Total]:[Day Total]],(MONTH(Table8[[Date]:[Date]])=$AM221)*(DAY(Table8[[Date]:[Date]])=$AN221)*(YEAR(Table8[[Date]:[Date]])=AV$1),0)</f>
        <v>0</v>
      </c>
      <c r="AW221">
        <f t="shared" si="15"/>
        <v>1589</v>
      </c>
    </row>
    <row r="222" spans="38:49" x14ac:dyDescent="0.25">
      <c r="AM222">
        <v>8</v>
      </c>
      <c r="AN222">
        <v>8</v>
      </c>
      <c r="AO222" t="str">
        <f t="shared" si="14"/>
        <v>8/8</v>
      </c>
      <c r="AP222" cm="1">
        <f t="array" ref="AP222">_xlfn._xlws.FILTER(Table8[[Day Total]:[Day Total]],(MONTH(Table8[[Date]:[Date]])=$AM222)*(DAY(Table8[[Date]:[Date]])=$AN222)*(YEAR(Table8[[Date]:[Date]])=AP$1),0)</f>
        <v>0</v>
      </c>
      <c r="AR222" cm="1">
        <f t="array" ref="AR222">_xlfn._xlws.FILTER(Table8[[Day Total]:[Day Total]],(MONTH(Table8[[Date]:[Date]])=$AM222)*(DAY(Table8[[Date]:[Date]])=$AN222)*(YEAR(Table8[[Date]:[Date]])=AR$1),0)</f>
        <v>0</v>
      </c>
      <c r="AS222">
        <f t="shared" si="13"/>
        <v>4275</v>
      </c>
      <c r="AT222" cm="1">
        <f t="array" ref="AT222">_xlfn._xlws.FILTER(Table8[[Day Total]:[Day Total]],(MONTH(Table8[[Date]:[Date]])=$AM222)*(DAY(Table8[[Date]:[Date]])=$AN222)*(YEAR(Table8[[Date]:[Date]])=AT$1),0)</f>
        <v>0</v>
      </c>
      <c r="AU222">
        <f t="shared" si="16"/>
        <v>831</v>
      </c>
      <c r="AV222" cm="1">
        <f t="array" ref="AV222">_xlfn._xlws.FILTER(Table8[[Day Total]:[Day Total]],(MONTH(Table8[[Date]:[Date]])=$AM222)*(DAY(Table8[[Date]:[Date]])=$AN222)*(YEAR(Table8[[Date]:[Date]])=AV$1),0)</f>
        <v>0</v>
      </c>
      <c r="AW222">
        <f t="shared" si="15"/>
        <v>1589</v>
      </c>
    </row>
    <row r="223" spans="38:49" x14ac:dyDescent="0.25">
      <c r="AM223">
        <v>8</v>
      </c>
      <c r="AN223">
        <v>9</v>
      </c>
      <c r="AO223" t="str">
        <f t="shared" si="14"/>
        <v>8/9</v>
      </c>
      <c r="AP223" cm="1">
        <f t="array" ref="AP223">_xlfn._xlws.FILTER(Table8[[Day Total]:[Day Total]],(MONTH(Table8[[Date]:[Date]])=$AM223)*(DAY(Table8[[Date]:[Date]])=$AN223)*(YEAR(Table8[[Date]:[Date]])=AP$1),0)</f>
        <v>0</v>
      </c>
      <c r="AR223" cm="1">
        <f t="array" ref="AR223">_xlfn._xlws.FILTER(Table8[[Day Total]:[Day Total]],(MONTH(Table8[[Date]:[Date]])=$AM223)*(DAY(Table8[[Date]:[Date]])=$AN223)*(YEAR(Table8[[Date]:[Date]])=AR$1),0)</f>
        <v>0</v>
      </c>
      <c r="AS223">
        <f t="shared" si="13"/>
        <v>4275</v>
      </c>
      <c r="AT223" cm="1">
        <f t="array" ref="AT223">_xlfn._xlws.FILTER(Table8[[Day Total]:[Day Total]],(MONTH(Table8[[Date]:[Date]])=$AM223)*(DAY(Table8[[Date]:[Date]])=$AN223)*(YEAR(Table8[[Date]:[Date]])=AT$1),0)</f>
        <v>0</v>
      </c>
      <c r="AU223">
        <f t="shared" si="16"/>
        <v>831</v>
      </c>
      <c r="AV223" cm="1">
        <f t="array" ref="AV223">_xlfn._xlws.FILTER(Table8[[Day Total]:[Day Total]],(MONTH(Table8[[Date]:[Date]])=$AM223)*(DAY(Table8[[Date]:[Date]])=$AN223)*(YEAR(Table8[[Date]:[Date]])=AV$1),0)</f>
        <v>0</v>
      </c>
      <c r="AW223">
        <f t="shared" si="15"/>
        <v>1589</v>
      </c>
    </row>
    <row r="224" spans="38:49" x14ac:dyDescent="0.25">
      <c r="AM224">
        <v>8</v>
      </c>
      <c r="AN224">
        <v>10</v>
      </c>
      <c r="AO224" t="str">
        <f t="shared" si="14"/>
        <v>8/10</v>
      </c>
      <c r="AP224" cm="1">
        <f t="array" ref="AP224">_xlfn._xlws.FILTER(Table8[[Day Total]:[Day Total]],(MONTH(Table8[[Date]:[Date]])=$AM224)*(DAY(Table8[[Date]:[Date]])=$AN224)*(YEAR(Table8[[Date]:[Date]])=AP$1),0)</f>
        <v>0</v>
      </c>
      <c r="AR224" cm="1">
        <f t="array" ref="AR224">_xlfn._xlws.FILTER(Table8[[Day Total]:[Day Total]],(MONTH(Table8[[Date]:[Date]])=$AM224)*(DAY(Table8[[Date]:[Date]])=$AN224)*(YEAR(Table8[[Date]:[Date]])=AR$1),0)</f>
        <v>0</v>
      </c>
      <c r="AS224">
        <f t="shared" si="13"/>
        <v>4275</v>
      </c>
      <c r="AT224" cm="1">
        <f t="array" ref="AT224">_xlfn._xlws.FILTER(Table8[[Day Total]:[Day Total]],(MONTH(Table8[[Date]:[Date]])=$AM224)*(DAY(Table8[[Date]:[Date]])=$AN224)*(YEAR(Table8[[Date]:[Date]])=AT$1),0)</f>
        <v>0</v>
      </c>
      <c r="AU224">
        <f t="shared" si="16"/>
        <v>831</v>
      </c>
      <c r="AV224" cm="1">
        <f t="array" ref="AV224">_xlfn._xlws.FILTER(Table8[[Day Total]:[Day Total]],(MONTH(Table8[[Date]:[Date]])=$AM224)*(DAY(Table8[[Date]:[Date]])=$AN224)*(YEAR(Table8[[Date]:[Date]])=AV$1),0)</f>
        <v>0</v>
      </c>
      <c r="AW224">
        <f t="shared" si="15"/>
        <v>1589</v>
      </c>
    </row>
    <row r="225" spans="39:49" x14ac:dyDescent="0.25">
      <c r="AM225">
        <v>8</v>
      </c>
      <c r="AN225">
        <v>11</v>
      </c>
      <c r="AO225" t="str">
        <f t="shared" si="14"/>
        <v>8/11</v>
      </c>
      <c r="AP225" cm="1">
        <f t="array" ref="AP225">_xlfn._xlws.FILTER(Table8[[Day Total]:[Day Total]],(MONTH(Table8[[Date]:[Date]])=$AM225)*(DAY(Table8[[Date]:[Date]])=$AN225)*(YEAR(Table8[[Date]:[Date]])=AP$1),0)</f>
        <v>0</v>
      </c>
      <c r="AR225" cm="1">
        <f t="array" ref="AR225">_xlfn._xlws.FILTER(Table8[[Day Total]:[Day Total]],(MONTH(Table8[[Date]:[Date]])=$AM225)*(DAY(Table8[[Date]:[Date]])=$AN225)*(YEAR(Table8[[Date]:[Date]])=AR$1),0)</f>
        <v>0</v>
      </c>
      <c r="AS225">
        <f t="shared" si="13"/>
        <v>4275</v>
      </c>
      <c r="AT225" cm="1">
        <f t="array" ref="AT225">_xlfn._xlws.FILTER(Table8[[Day Total]:[Day Total]],(MONTH(Table8[[Date]:[Date]])=$AM225)*(DAY(Table8[[Date]:[Date]])=$AN225)*(YEAR(Table8[[Date]:[Date]])=AT$1),0)</f>
        <v>0</v>
      </c>
      <c r="AU225">
        <f t="shared" si="16"/>
        <v>831</v>
      </c>
      <c r="AV225" cm="1">
        <f t="array" ref="AV225">_xlfn._xlws.FILTER(Table8[[Day Total]:[Day Total]],(MONTH(Table8[[Date]:[Date]])=$AM225)*(DAY(Table8[[Date]:[Date]])=$AN225)*(YEAR(Table8[[Date]:[Date]])=AV$1),0)</f>
        <v>0</v>
      </c>
      <c r="AW225">
        <f t="shared" si="15"/>
        <v>1589</v>
      </c>
    </row>
    <row r="226" spans="39:49" x14ac:dyDescent="0.25">
      <c r="AM226">
        <v>8</v>
      </c>
      <c r="AN226">
        <v>12</v>
      </c>
      <c r="AO226" t="str">
        <f t="shared" si="14"/>
        <v>8/12</v>
      </c>
      <c r="AP226" cm="1">
        <f t="array" ref="AP226">_xlfn._xlws.FILTER(Table8[[Day Total]:[Day Total]],(MONTH(Table8[[Date]:[Date]])=$AM226)*(DAY(Table8[[Date]:[Date]])=$AN226)*(YEAR(Table8[[Date]:[Date]])=AP$1),0)</f>
        <v>0</v>
      </c>
      <c r="AR226" cm="1">
        <f t="array" ref="AR226">_xlfn._xlws.FILTER(Table8[[Day Total]:[Day Total]],(MONTH(Table8[[Date]:[Date]])=$AM226)*(DAY(Table8[[Date]:[Date]])=$AN226)*(YEAR(Table8[[Date]:[Date]])=AR$1),0)</f>
        <v>46</v>
      </c>
      <c r="AS226">
        <f t="shared" si="13"/>
        <v>4321</v>
      </c>
      <c r="AT226" cm="1">
        <f t="array" ref="AT226">_xlfn._xlws.FILTER(Table8[[Day Total]:[Day Total]],(MONTH(Table8[[Date]:[Date]])=$AM226)*(DAY(Table8[[Date]:[Date]])=$AN226)*(YEAR(Table8[[Date]:[Date]])=AT$1),0)</f>
        <v>0</v>
      </c>
      <c r="AU226">
        <f t="shared" si="16"/>
        <v>831</v>
      </c>
      <c r="AV226" cm="1">
        <f t="array" ref="AV226">_xlfn._xlws.FILTER(Table8[[Day Total]:[Day Total]],(MONTH(Table8[[Date]:[Date]])=$AM226)*(DAY(Table8[[Date]:[Date]])=$AN226)*(YEAR(Table8[[Date]:[Date]])=AV$1),0)</f>
        <v>0</v>
      </c>
      <c r="AW226">
        <f t="shared" si="15"/>
        <v>1589</v>
      </c>
    </row>
    <row r="227" spans="39:49" x14ac:dyDescent="0.25">
      <c r="AM227">
        <v>8</v>
      </c>
      <c r="AN227">
        <v>13</v>
      </c>
      <c r="AO227" t="str">
        <f t="shared" si="14"/>
        <v>8/13</v>
      </c>
      <c r="AP227" cm="1">
        <f t="array" ref="AP227">_xlfn._xlws.FILTER(Table8[[Day Total]:[Day Total]],(MONTH(Table8[[Date]:[Date]])=$AM227)*(DAY(Table8[[Date]:[Date]])=$AN227)*(YEAR(Table8[[Date]:[Date]])=AP$1),0)</f>
        <v>0</v>
      </c>
      <c r="AR227" cm="1">
        <f t="array" ref="AR227">_xlfn._xlws.FILTER(Table8[[Day Total]:[Day Total]],(MONTH(Table8[[Date]:[Date]])=$AM227)*(DAY(Table8[[Date]:[Date]])=$AN227)*(YEAR(Table8[[Date]:[Date]])=AR$1),0)</f>
        <v>0</v>
      </c>
      <c r="AS227">
        <f t="shared" si="13"/>
        <v>4321</v>
      </c>
      <c r="AT227" cm="1">
        <f t="array" ref="AT227">_xlfn._xlws.FILTER(Table8[[Day Total]:[Day Total]],(MONTH(Table8[[Date]:[Date]])=$AM227)*(DAY(Table8[[Date]:[Date]])=$AN227)*(YEAR(Table8[[Date]:[Date]])=AT$1),0)</f>
        <v>0</v>
      </c>
      <c r="AU227">
        <f t="shared" si="16"/>
        <v>831</v>
      </c>
      <c r="AV227" cm="1">
        <f t="array" ref="AV227">_xlfn._xlws.FILTER(Table8[[Day Total]:[Day Total]],(MONTH(Table8[[Date]:[Date]])=$AM227)*(DAY(Table8[[Date]:[Date]])=$AN227)*(YEAR(Table8[[Date]:[Date]])=AV$1),0)</f>
        <v>0</v>
      </c>
      <c r="AW227">
        <f t="shared" si="15"/>
        <v>1589</v>
      </c>
    </row>
    <row r="228" spans="39:49" x14ac:dyDescent="0.25">
      <c r="AM228">
        <v>8</v>
      </c>
      <c r="AN228">
        <v>14</v>
      </c>
      <c r="AO228" t="str">
        <f t="shared" si="14"/>
        <v>8/14</v>
      </c>
      <c r="AP228" cm="1">
        <f t="array" ref="AP228">_xlfn._xlws.FILTER(Table8[[Day Total]:[Day Total]],(MONTH(Table8[[Date]:[Date]])=$AM228)*(DAY(Table8[[Date]:[Date]])=$AN228)*(YEAR(Table8[[Date]:[Date]])=AP$1),0)</f>
        <v>0</v>
      </c>
      <c r="AR228" cm="1">
        <f t="array" ref="AR228">_xlfn._xlws.FILTER(Table8[[Day Total]:[Day Total]],(MONTH(Table8[[Date]:[Date]])=$AM228)*(DAY(Table8[[Date]:[Date]])=$AN228)*(YEAR(Table8[[Date]:[Date]])=AR$1),0)</f>
        <v>0</v>
      </c>
      <c r="AS228">
        <f t="shared" si="13"/>
        <v>4321</v>
      </c>
      <c r="AT228" cm="1">
        <f t="array" ref="AT228">_xlfn._xlws.FILTER(Table8[[Day Total]:[Day Total]],(MONTH(Table8[[Date]:[Date]])=$AM228)*(DAY(Table8[[Date]:[Date]])=$AN228)*(YEAR(Table8[[Date]:[Date]])=AT$1),0)</f>
        <v>0</v>
      </c>
      <c r="AU228">
        <f t="shared" si="16"/>
        <v>831</v>
      </c>
      <c r="AV228" cm="1">
        <f t="array" ref="AV228">_xlfn._xlws.FILTER(Table8[[Day Total]:[Day Total]],(MONTH(Table8[[Date]:[Date]])=$AM228)*(DAY(Table8[[Date]:[Date]])=$AN228)*(YEAR(Table8[[Date]:[Date]])=AV$1),0)</f>
        <v>0</v>
      </c>
      <c r="AW228">
        <f t="shared" si="15"/>
        <v>1589</v>
      </c>
    </row>
    <row r="229" spans="39:49" x14ac:dyDescent="0.25">
      <c r="AM229">
        <v>8</v>
      </c>
      <c r="AN229">
        <v>15</v>
      </c>
      <c r="AO229" t="str">
        <f t="shared" si="14"/>
        <v>8/15</v>
      </c>
      <c r="AP229" cm="1">
        <f t="array" ref="AP229">_xlfn._xlws.FILTER(Table8[[Day Total]:[Day Total]],(MONTH(Table8[[Date]:[Date]])=$AM229)*(DAY(Table8[[Date]:[Date]])=$AN229)*(YEAR(Table8[[Date]:[Date]])=AP$1),0)</f>
        <v>0</v>
      </c>
      <c r="AR229" cm="1">
        <f t="array" ref="AR229">_xlfn._xlws.FILTER(Table8[[Day Total]:[Day Total]],(MONTH(Table8[[Date]:[Date]])=$AM229)*(DAY(Table8[[Date]:[Date]])=$AN229)*(YEAR(Table8[[Date]:[Date]])=AR$1),0)</f>
        <v>0</v>
      </c>
      <c r="AS229">
        <f t="shared" si="13"/>
        <v>4321</v>
      </c>
      <c r="AT229" cm="1">
        <f t="array" ref="AT229">_xlfn._xlws.FILTER(Table8[[Day Total]:[Day Total]],(MONTH(Table8[[Date]:[Date]])=$AM229)*(DAY(Table8[[Date]:[Date]])=$AN229)*(YEAR(Table8[[Date]:[Date]])=AT$1),0)</f>
        <v>0</v>
      </c>
      <c r="AU229">
        <f t="shared" si="16"/>
        <v>831</v>
      </c>
      <c r="AV229" cm="1">
        <f t="array" ref="AV229">_xlfn._xlws.FILTER(Table8[[Day Total]:[Day Total]],(MONTH(Table8[[Date]:[Date]])=$AM229)*(DAY(Table8[[Date]:[Date]])=$AN229)*(YEAR(Table8[[Date]:[Date]])=AV$1),0)</f>
        <v>0</v>
      </c>
      <c r="AW229">
        <f t="shared" si="15"/>
        <v>1589</v>
      </c>
    </row>
    <row r="230" spans="39:49" x14ac:dyDescent="0.25">
      <c r="AM230">
        <v>8</v>
      </c>
      <c r="AN230">
        <v>16</v>
      </c>
      <c r="AO230" t="str">
        <f t="shared" si="14"/>
        <v>8/16</v>
      </c>
      <c r="AP230" cm="1">
        <f t="array" ref="AP230">_xlfn._xlws.FILTER(Table8[[Day Total]:[Day Total]],(MONTH(Table8[[Date]:[Date]])=$AM230)*(DAY(Table8[[Date]:[Date]])=$AN230)*(YEAR(Table8[[Date]:[Date]])=AP$1),0)</f>
        <v>0</v>
      </c>
      <c r="AR230" cm="1">
        <f t="array" ref="AR230">_xlfn._xlws.FILTER(Table8[[Day Total]:[Day Total]],(MONTH(Table8[[Date]:[Date]])=$AM230)*(DAY(Table8[[Date]:[Date]])=$AN230)*(YEAR(Table8[[Date]:[Date]])=AR$1),0)</f>
        <v>0</v>
      </c>
      <c r="AS230">
        <f t="shared" si="13"/>
        <v>4321</v>
      </c>
      <c r="AT230" cm="1">
        <f t="array" ref="AT230">_xlfn._xlws.FILTER(Table8[[Day Total]:[Day Total]],(MONTH(Table8[[Date]:[Date]])=$AM230)*(DAY(Table8[[Date]:[Date]])=$AN230)*(YEAR(Table8[[Date]:[Date]])=AT$1),0)</f>
        <v>37</v>
      </c>
      <c r="AU230">
        <f t="shared" si="16"/>
        <v>868</v>
      </c>
      <c r="AV230" cm="1">
        <f t="array" ref="AV230">_xlfn._xlws.FILTER(Table8[[Day Total]:[Day Total]],(MONTH(Table8[[Date]:[Date]])=$AM230)*(DAY(Table8[[Date]:[Date]])=$AN230)*(YEAR(Table8[[Date]:[Date]])=AV$1),0)</f>
        <v>0</v>
      </c>
      <c r="AW230">
        <f t="shared" si="15"/>
        <v>1589</v>
      </c>
    </row>
    <row r="231" spans="39:49" x14ac:dyDescent="0.25">
      <c r="AM231">
        <v>8</v>
      </c>
      <c r="AN231">
        <v>17</v>
      </c>
      <c r="AO231" t="str">
        <f t="shared" si="14"/>
        <v>8/17</v>
      </c>
      <c r="AP231" cm="1">
        <f t="array" ref="AP231">_xlfn._xlws.FILTER(Table8[[Day Total]:[Day Total]],(MONTH(Table8[[Date]:[Date]])=$AM231)*(DAY(Table8[[Date]:[Date]])=$AN231)*(YEAR(Table8[[Date]:[Date]])=AP$1),0)</f>
        <v>0</v>
      </c>
      <c r="AR231" cm="1">
        <f t="array" ref="AR231">_xlfn._xlws.FILTER(Table8[[Day Total]:[Day Total]],(MONTH(Table8[[Date]:[Date]])=$AM231)*(DAY(Table8[[Date]:[Date]])=$AN231)*(YEAR(Table8[[Date]:[Date]])=AR$1),0)</f>
        <v>0</v>
      </c>
      <c r="AS231">
        <f t="shared" si="13"/>
        <v>4321</v>
      </c>
      <c r="AT231" cm="1">
        <f t="array" ref="AT231">_xlfn._xlws.FILTER(Table8[[Day Total]:[Day Total]],(MONTH(Table8[[Date]:[Date]])=$AM231)*(DAY(Table8[[Date]:[Date]])=$AN231)*(YEAR(Table8[[Date]:[Date]])=AT$1),0)</f>
        <v>0</v>
      </c>
      <c r="AU231">
        <f t="shared" si="16"/>
        <v>868</v>
      </c>
      <c r="AV231" cm="1">
        <f t="array" ref="AV231">_xlfn._xlws.FILTER(Table8[[Day Total]:[Day Total]],(MONTH(Table8[[Date]:[Date]])=$AM231)*(DAY(Table8[[Date]:[Date]])=$AN231)*(YEAR(Table8[[Date]:[Date]])=AV$1),0)</f>
        <v>0</v>
      </c>
      <c r="AW231">
        <f t="shared" si="15"/>
        <v>1589</v>
      </c>
    </row>
    <row r="232" spans="39:49" x14ac:dyDescent="0.25">
      <c r="AM232">
        <v>8</v>
      </c>
      <c r="AN232">
        <v>18</v>
      </c>
      <c r="AO232" t="str">
        <f t="shared" si="14"/>
        <v>8/18</v>
      </c>
      <c r="AP232" cm="1">
        <f t="array" ref="AP232">_xlfn._xlws.FILTER(Table8[[Day Total]:[Day Total]],(MONTH(Table8[[Date]:[Date]])=$AM232)*(DAY(Table8[[Date]:[Date]])=$AN232)*(YEAR(Table8[[Date]:[Date]])=AP$1),0)</f>
        <v>0</v>
      </c>
      <c r="AR232" cm="1">
        <f t="array" ref="AR232">_xlfn._xlws.FILTER(Table8[[Day Total]:[Day Total]],(MONTH(Table8[[Date]:[Date]])=$AM232)*(DAY(Table8[[Date]:[Date]])=$AN232)*(YEAR(Table8[[Date]:[Date]])=AR$1),0)</f>
        <v>0</v>
      </c>
      <c r="AS232">
        <f t="shared" si="13"/>
        <v>4321</v>
      </c>
      <c r="AT232" cm="1">
        <f t="array" ref="AT232">_xlfn._xlws.FILTER(Table8[[Day Total]:[Day Total]],(MONTH(Table8[[Date]:[Date]])=$AM232)*(DAY(Table8[[Date]:[Date]])=$AN232)*(YEAR(Table8[[Date]:[Date]])=AT$1),0)</f>
        <v>0</v>
      </c>
      <c r="AU232">
        <f t="shared" si="16"/>
        <v>868</v>
      </c>
      <c r="AV232" cm="1">
        <f t="array" ref="AV232">_xlfn._xlws.FILTER(Table8[[Day Total]:[Day Total]],(MONTH(Table8[[Date]:[Date]])=$AM232)*(DAY(Table8[[Date]:[Date]])=$AN232)*(YEAR(Table8[[Date]:[Date]])=AV$1),0)</f>
        <v>0</v>
      </c>
      <c r="AW232">
        <f t="shared" si="15"/>
        <v>1589</v>
      </c>
    </row>
    <row r="233" spans="39:49" x14ac:dyDescent="0.25">
      <c r="AM233">
        <v>8</v>
      </c>
      <c r="AN233">
        <v>19</v>
      </c>
      <c r="AO233" t="str">
        <f t="shared" si="14"/>
        <v>8/19</v>
      </c>
      <c r="AP233" cm="1">
        <f t="array" ref="AP233">_xlfn._xlws.FILTER(Table8[[Day Total]:[Day Total]],(MONTH(Table8[[Date]:[Date]])=$AM233)*(DAY(Table8[[Date]:[Date]])=$AN233)*(YEAR(Table8[[Date]:[Date]])=AP$1),0)</f>
        <v>0</v>
      </c>
      <c r="AR233" cm="1">
        <f t="array" ref="AR233">_xlfn._xlws.FILTER(Table8[[Day Total]:[Day Total]],(MONTH(Table8[[Date]:[Date]])=$AM233)*(DAY(Table8[[Date]:[Date]])=$AN233)*(YEAR(Table8[[Date]:[Date]])=AR$1),0)</f>
        <v>0</v>
      </c>
      <c r="AS233">
        <f t="shared" si="13"/>
        <v>4321</v>
      </c>
      <c r="AT233" cm="1">
        <f t="array" ref="AT233">_xlfn._xlws.FILTER(Table8[[Day Total]:[Day Total]],(MONTH(Table8[[Date]:[Date]])=$AM233)*(DAY(Table8[[Date]:[Date]])=$AN233)*(YEAR(Table8[[Date]:[Date]])=AT$1),0)</f>
        <v>0</v>
      </c>
      <c r="AU233">
        <f t="shared" si="16"/>
        <v>868</v>
      </c>
      <c r="AV233" cm="1">
        <f t="array" ref="AV233">_xlfn._xlws.FILTER(Table8[[Day Total]:[Day Total]],(MONTH(Table8[[Date]:[Date]])=$AM233)*(DAY(Table8[[Date]:[Date]])=$AN233)*(YEAR(Table8[[Date]:[Date]])=AV$1),0)</f>
        <v>0</v>
      </c>
      <c r="AW233">
        <f t="shared" si="15"/>
        <v>1589</v>
      </c>
    </row>
    <row r="234" spans="39:49" x14ac:dyDescent="0.25">
      <c r="AM234">
        <v>8</v>
      </c>
      <c r="AN234">
        <v>20</v>
      </c>
      <c r="AO234" t="str">
        <f t="shared" si="14"/>
        <v>8/20</v>
      </c>
      <c r="AP234" cm="1">
        <f t="array" ref="AP234">_xlfn._xlws.FILTER(Table8[[Day Total]:[Day Total]],(MONTH(Table8[[Date]:[Date]])=$AM234)*(DAY(Table8[[Date]:[Date]])=$AN234)*(YEAR(Table8[[Date]:[Date]])=AP$1),0)</f>
        <v>0</v>
      </c>
      <c r="AR234" cm="1">
        <f t="array" ref="AR234">_xlfn._xlws.FILTER(Table8[[Day Total]:[Day Total]],(MONTH(Table8[[Date]:[Date]])=$AM234)*(DAY(Table8[[Date]:[Date]])=$AN234)*(YEAR(Table8[[Date]:[Date]])=AR$1),0)</f>
        <v>0</v>
      </c>
      <c r="AS234">
        <f t="shared" si="13"/>
        <v>4321</v>
      </c>
      <c r="AT234" cm="1">
        <f t="array" ref="AT234">_xlfn._xlws.FILTER(Table8[[Day Total]:[Day Total]],(MONTH(Table8[[Date]:[Date]])=$AM234)*(DAY(Table8[[Date]:[Date]])=$AN234)*(YEAR(Table8[[Date]:[Date]])=AT$1),0)</f>
        <v>0</v>
      </c>
      <c r="AU234">
        <f t="shared" si="16"/>
        <v>868</v>
      </c>
      <c r="AV234" cm="1">
        <f t="array" ref="AV234">_xlfn._xlws.FILTER(Table8[[Day Total]:[Day Total]],(MONTH(Table8[[Date]:[Date]])=$AM234)*(DAY(Table8[[Date]:[Date]])=$AN234)*(YEAR(Table8[[Date]:[Date]])=AV$1),0)</f>
        <v>0</v>
      </c>
      <c r="AW234">
        <f t="shared" si="15"/>
        <v>1589</v>
      </c>
    </row>
    <row r="235" spans="39:49" x14ac:dyDescent="0.25">
      <c r="AM235">
        <v>8</v>
      </c>
      <c r="AN235">
        <v>21</v>
      </c>
      <c r="AO235" t="str">
        <f t="shared" si="14"/>
        <v>8/21</v>
      </c>
      <c r="AP235" cm="1">
        <f t="array" ref="AP235">_xlfn._xlws.FILTER(Table8[[Day Total]:[Day Total]],(MONTH(Table8[[Date]:[Date]])=$AM235)*(DAY(Table8[[Date]:[Date]])=$AN235)*(YEAR(Table8[[Date]:[Date]])=AP$1),0)</f>
        <v>0</v>
      </c>
      <c r="AR235" cm="1">
        <f t="array" ref="AR235">_xlfn._xlws.FILTER(Table8[[Day Total]:[Day Total]],(MONTH(Table8[[Date]:[Date]])=$AM235)*(DAY(Table8[[Date]:[Date]])=$AN235)*(YEAR(Table8[[Date]:[Date]])=AR$1),0)</f>
        <v>0</v>
      </c>
      <c r="AS235">
        <f t="shared" si="13"/>
        <v>4321</v>
      </c>
      <c r="AT235" cm="1">
        <f t="array" ref="AT235">_xlfn._xlws.FILTER(Table8[[Day Total]:[Day Total]],(MONTH(Table8[[Date]:[Date]])=$AM235)*(DAY(Table8[[Date]:[Date]])=$AN235)*(YEAR(Table8[[Date]:[Date]])=AT$1),0)</f>
        <v>43</v>
      </c>
      <c r="AU235">
        <f t="shared" si="16"/>
        <v>911</v>
      </c>
      <c r="AV235" cm="1">
        <f t="array" ref="AV235">_xlfn._xlws.FILTER(Table8[[Day Total]:[Day Total]],(MONTH(Table8[[Date]:[Date]])=$AM235)*(DAY(Table8[[Date]:[Date]])=$AN235)*(YEAR(Table8[[Date]:[Date]])=AV$1),0)</f>
        <v>0</v>
      </c>
      <c r="AW235">
        <f t="shared" si="15"/>
        <v>1589</v>
      </c>
    </row>
    <row r="236" spans="39:49" x14ac:dyDescent="0.25">
      <c r="AM236">
        <v>8</v>
      </c>
      <c r="AN236">
        <v>22</v>
      </c>
      <c r="AO236" t="str">
        <f t="shared" si="14"/>
        <v>8/22</v>
      </c>
      <c r="AP236" cm="1">
        <f t="array" ref="AP236">_xlfn._xlws.FILTER(Table8[[Day Total]:[Day Total]],(MONTH(Table8[[Date]:[Date]])=$AM236)*(DAY(Table8[[Date]:[Date]])=$AN236)*(YEAR(Table8[[Date]:[Date]])=AP$1),0)</f>
        <v>0</v>
      </c>
      <c r="AR236" cm="1">
        <f t="array" ref="AR236">_xlfn._xlws.FILTER(Table8[[Day Total]:[Day Total]],(MONTH(Table8[[Date]:[Date]])=$AM236)*(DAY(Table8[[Date]:[Date]])=$AN236)*(YEAR(Table8[[Date]:[Date]])=AR$1),0)</f>
        <v>0</v>
      </c>
      <c r="AS236">
        <f t="shared" si="13"/>
        <v>4321</v>
      </c>
      <c r="AT236" cm="1">
        <f t="array" ref="AT236">_xlfn._xlws.FILTER(Table8[[Day Total]:[Day Total]],(MONTH(Table8[[Date]:[Date]])=$AM236)*(DAY(Table8[[Date]:[Date]])=$AN236)*(YEAR(Table8[[Date]:[Date]])=AT$1),0)</f>
        <v>0</v>
      </c>
      <c r="AU236">
        <f t="shared" si="16"/>
        <v>911</v>
      </c>
      <c r="AV236" cm="1">
        <f t="array" ref="AV236">_xlfn._xlws.FILTER(Table8[[Day Total]:[Day Total]],(MONTH(Table8[[Date]:[Date]])=$AM236)*(DAY(Table8[[Date]:[Date]])=$AN236)*(YEAR(Table8[[Date]:[Date]])=AV$1),0)</f>
        <v>0</v>
      </c>
      <c r="AW236">
        <f t="shared" si="15"/>
        <v>1589</v>
      </c>
    </row>
    <row r="237" spans="39:49" x14ac:dyDescent="0.25">
      <c r="AM237">
        <v>8</v>
      </c>
      <c r="AN237">
        <v>23</v>
      </c>
      <c r="AO237" t="str">
        <f t="shared" si="14"/>
        <v>8/23</v>
      </c>
      <c r="AP237" cm="1">
        <f t="array" ref="AP237">_xlfn._xlws.FILTER(Table8[[Day Total]:[Day Total]],(MONTH(Table8[[Date]:[Date]])=$AM237)*(DAY(Table8[[Date]:[Date]])=$AN237)*(YEAR(Table8[[Date]:[Date]])=AP$1),0)</f>
        <v>0</v>
      </c>
      <c r="AR237" cm="1">
        <f t="array" ref="AR237">_xlfn._xlws.FILTER(Table8[[Day Total]:[Day Total]],(MONTH(Table8[[Date]:[Date]])=$AM237)*(DAY(Table8[[Date]:[Date]])=$AN237)*(YEAR(Table8[[Date]:[Date]])=AR$1),0)</f>
        <v>0</v>
      </c>
      <c r="AS237">
        <f t="shared" si="13"/>
        <v>4321</v>
      </c>
      <c r="AT237" cm="1">
        <f t="array" ref="AT237">_xlfn._xlws.FILTER(Table8[[Day Total]:[Day Total]],(MONTH(Table8[[Date]:[Date]])=$AM237)*(DAY(Table8[[Date]:[Date]])=$AN237)*(YEAR(Table8[[Date]:[Date]])=AT$1),0)</f>
        <v>25</v>
      </c>
      <c r="AU237">
        <f t="shared" si="16"/>
        <v>936</v>
      </c>
      <c r="AV237" cm="1">
        <f t="array" ref="AV237">_xlfn._xlws.FILTER(Table8[[Day Total]:[Day Total]],(MONTH(Table8[[Date]:[Date]])=$AM237)*(DAY(Table8[[Date]:[Date]])=$AN237)*(YEAR(Table8[[Date]:[Date]])=AV$1),0)</f>
        <v>0</v>
      </c>
      <c r="AW237">
        <f t="shared" si="15"/>
        <v>1589</v>
      </c>
    </row>
    <row r="238" spans="39:49" x14ac:dyDescent="0.25">
      <c r="AM238">
        <v>8</v>
      </c>
      <c r="AN238">
        <v>24</v>
      </c>
      <c r="AO238" t="str">
        <f t="shared" si="14"/>
        <v>8/24</v>
      </c>
      <c r="AP238" cm="1">
        <f t="array" ref="AP238">_xlfn._xlws.FILTER(Table8[[Day Total]:[Day Total]],(MONTH(Table8[[Date]:[Date]])=$AM238)*(DAY(Table8[[Date]:[Date]])=$AN238)*(YEAR(Table8[[Date]:[Date]])=AP$1),0)</f>
        <v>0</v>
      </c>
      <c r="AR238" cm="1">
        <f t="array" ref="AR238">_xlfn._xlws.FILTER(Table8[[Day Total]:[Day Total]],(MONTH(Table8[[Date]:[Date]])=$AM238)*(DAY(Table8[[Date]:[Date]])=$AN238)*(YEAR(Table8[[Date]:[Date]])=AR$1),0)</f>
        <v>0</v>
      </c>
      <c r="AS238">
        <f t="shared" si="13"/>
        <v>4321</v>
      </c>
      <c r="AT238" cm="1">
        <f t="array" ref="AT238">_xlfn._xlws.FILTER(Table8[[Day Total]:[Day Total]],(MONTH(Table8[[Date]:[Date]])=$AM238)*(DAY(Table8[[Date]:[Date]])=$AN238)*(YEAR(Table8[[Date]:[Date]])=AT$1),0)</f>
        <v>0</v>
      </c>
      <c r="AU238">
        <f t="shared" si="16"/>
        <v>936</v>
      </c>
      <c r="AV238" cm="1">
        <f t="array" ref="AV238">_xlfn._xlws.FILTER(Table8[[Day Total]:[Day Total]],(MONTH(Table8[[Date]:[Date]])=$AM238)*(DAY(Table8[[Date]:[Date]])=$AN238)*(YEAR(Table8[[Date]:[Date]])=AV$1),0)</f>
        <v>0</v>
      </c>
      <c r="AW238">
        <f t="shared" si="15"/>
        <v>1589</v>
      </c>
    </row>
    <row r="239" spans="39:49" x14ac:dyDescent="0.25">
      <c r="AM239">
        <v>8</v>
      </c>
      <c r="AN239">
        <v>25</v>
      </c>
      <c r="AO239" t="str">
        <f t="shared" si="14"/>
        <v>8/25</v>
      </c>
      <c r="AP239" cm="1">
        <f t="array" ref="AP239">_xlfn._xlws.FILTER(Table8[[Day Total]:[Day Total]],(MONTH(Table8[[Date]:[Date]])=$AM239)*(DAY(Table8[[Date]:[Date]])=$AN239)*(YEAR(Table8[[Date]:[Date]])=AP$1),0)</f>
        <v>0</v>
      </c>
      <c r="AR239" cm="1">
        <f t="array" ref="AR239">_xlfn._xlws.FILTER(Table8[[Day Total]:[Day Total]],(MONTH(Table8[[Date]:[Date]])=$AM239)*(DAY(Table8[[Date]:[Date]])=$AN239)*(YEAR(Table8[[Date]:[Date]])=AR$1),0)</f>
        <v>0</v>
      </c>
      <c r="AS239">
        <f t="shared" si="13"/>
        <v>4321</v>
      </c>
      <c r="AT239" cm="1">
        <f t="array" ref="AT239">_xlfn._xlws.FILTER(Table8[[Day Total]:[Day Total]],(MONTH(Table8[[Date]:[Date]])=$AM239)*(DAY(Table8[[Date]:[Date]])=$AN239)*(YEAR(Table8[[Date]:[Date]])=AT$1),0)</f>
        <v>0</v>
      </c>
      <c r="AU239">
        <f t="shared" si="16"/>
        <v>936</v>
      </c>
      <c r="AV239" cm="1">
        <f t="array" ref="AV239">_xlfn._xlws.FILTER(Table8[[Day Total]:[Day Total]],(MONTH(Table8[[Date]:[Date]])=$AM239)*(DAY(Table8[[Date]:[Date]])=$AN239)*(YEAR(Table8[[Date]:[Date]])=AV$1),0)</f>
        <v>0</v>
      </c>
      <c r="AW239">
        <f t="shared" si="15"/>
        <v>1589</v>
      </c>
    </row>
    <row r="240" spans="39:49" x14ac:dyDescent="0.25">
      <c r="AM240">
        <v>8</v>
      </c>
      <c r="AN240">
        <v>26</v>
      </c>
      <c r="AO240" t="str">
        <f t="shared" si="14"/>
        <v>8/26</v>
      </c>
      <c r="AP240" cm="1">
        <f t="array" ref="AP240">_xlfn._xlws.FILTER(Table8[[Day Total]:[Day Total]],(MONTH(Table8[[Date]:[Date]])=$AM240)*(DAY(Table8[[Date]:[Date]])=$AN240)*(YEAR(Table8[[Date]:[Date]])=AP$1),0)</f>
        <v>0</v>
      </c>
      <c r="AR240" cm="1">
        <f t="array" ref="AR240">_xlfn._xlws.FILTER(Table8[[Day Total]:[Day Total]],(MONTH(Table8[[Date]:[Date]])=$AM240)*(DAY(Table8[[Date]:[Date]])=$AN240)*(YEAR(Table8[[Date]:[Date]])=AR$1),0)</f>
        <v>35</v>
      </c>
      <c r="AS240">
        <f t="shared" si="13"/>
        <v>4356</v>
      </c>
      <c r="AT240" cm="1">
        <f t="array" ref="AT240">_xlfn._xlws.FILTER(Table8[[Day Total]:[Day Total]],(MONTH(Table8[[Date]:[Date]])=$AM240)*(DAY(Table8[[Date]:[Date]])=$AN240)*(YEAR(Table8[[Date]:[Date]])=AT$1),0)</f>
        <v>0</v>
      </c>
      <c r="AU240">
        <f t="shared" si="16"/>
        <v>936</v>
      </c>
      <c r="AV240" cm="1">
        <f t="array" ref="AV240">_xlfn._xlws.FILTER(Table8[[Day Total]:[Day Total]],(MONTH(Table8[[Date]:[Date]])=$AM240)*(DAY(Table8[[Date]:[Date]])=$AN240)*(YEAR(Table8[[Date]:[Date]])=AV$1),0)</f>
        <v>0</v>
      </c>
      <c r="AW240">
        <f t="shared" si="15"/>
        <v>1589</v>
      </c>
    </row>
    <row r="241" spans="38:49" x14ac:dyDescent="0.25">
      <c r="AM241">
        <v>8</v>
      </c>
      <c r="AN241">
        <v>27</v>
      </c>
      <c r="AO241" t="str">
        <f t="shared" si="14"/>
        <v>8/27</v>
      </c>
      <c r="AP241" cm="1">
        <f t="array" ref="AP241">_xlfn._xlws.FILTER(Table8[[Day Total]:[Day Total]],(MONTH(Table8[[Date]:[Date]])=$AM241)*(DAY(Table8[[Date]:[Date]])=$AN241)*(YEAR(Table8[[Date]:[Date]])=AP$1),0)</f>
        <v>0</v>
      </c>
      <c r="AR241" cm="1">
        <f t="array" ref="AR241">_xlfn._xlws.FILTER(Table8[[Day Total]:[Day Total]],(MONTH(Table8[[Date]:[Date]])=$AM241)*(DAY(Table8[[Date]:[Date]])=$AN241)*(YEAR(Table8[[Date]:[Date]])=AR$1),0)</f>
        <v>20</v>
      </c>
      <c r="AS241">
        <f t="shared" si="13"/>
        <v>4376</v>
      </c>
      <c r="AT241" cm="1">
        <f t="array" ref="AT241">_xlfn._xlws.FILTER(Table8[[Day Total]:[Day Total]],(MONTH(Table8[[Date]:[Date]])=$AM241)*(DAY(Table8[[Date]:[Date]])=$AN241)*(YEAR(Table8[[Date]:[Date]])=AT$1),0)</f>
        <v>0</v>
      </c>
      <c r="AU241">
        <f t="shared" si="16"/>
        <v>936</v>
      </c>
      <c r="AV241" cm="1">
        <f t="array" ref="AV241">_xlfn._xlws.FILTER(Table8[[Day Total]:[Day Total]],(MONTH(Table8[[Date]:[Date]])=$AM241)*(DAY(Table8[[Date]:[Date]])=$AN241)*(YEAR(Table8[[Date]:[Date]])=AV$1),0)</f>
        <v>0</v>
      </c>
      <c r="AW241">
        <f t="shared" si="15"/>
        <v>1589</v>
      </c>
    </row>
    <row r="242" spans="38:49" x14ac:dyDescent="0.25">
      <c r="AM242">
        <v>8</v>
      </c>
      <c r="AN242">
        <v>28</v>
      </c>
      <c r="AO242" t="str">
        <f t="shared" si="14"/>
        <v>8/28</v>
      </c>
      <c r="AP242" cm="1">
        <f t="array" ref="AP242">_xlfn._xlws.FILTER(Table8[[Day Total]:[Day Total]],(MONTH(Table8[[Date]:[Date]])=$AM242)*(DAY(Table8[[Date]:[Date]])=$AN242)*(YEAR(Table8[[Date]:[Date]])=AP$1),0)</f>
        <v>0</v>
      </c>
      <c r="AR242" cm="1">
        <f t="array" ref="AR242">_xlfn._xlws.FILTER(Table8[[Day Total]:[Day Total]],(MONTH(Table8[[Date]:[Date]])=$AM242)*(DAY(Table8[[Date]:[Date]])=$AN242)*(YEAR(Table8[[Date]:[Date]])=AR$1),0)</f>
        <v>59</v>
      </c>
      <c r="AS242">
        <f t="shared" si="13"/>
        <v>4435</v>
      </c>
      <c r="AT242" cm="1">
        <f t="array" ref="AT242">_xlfn._xlws.FILTER(Table8[[Day Total]:[Day Total]],(MONTH(Table8[[Date]:[Date]])=$AM242)*(DAY(Table8[[Date]:[Date]])=$AN242)*(YEAR(Table8[[Date]:[Date]])=AT$1),0)</f>
        <v>43</v>
      </c>
      <c r="AU242">
        <f t="shared" si="16"/>
        <v>979</v>
      </c>
      <c r="AV242" cm="1">
        <f t="array" ref="AV242">_xlfn._xlws.FILTER(Table8[[Day Total]:[Day Total]],(MONTH(Table8[[Date]:[Date]])=$AM242)*(DAY(Table8[[Date]:[Date]])=$AN242)*(YEAR(Table8[[Date]:[Date]])=AV$1),0)</f>
        <v>0</v>
      </c>
      <c r="AW242">
        <f t="shared" si="15"/>
        <v>1589</v>
      </c>
    </row>
    <row r="243" spans="38:49" x14ac:dyDescent="0.25">
      <c r="AM243">
        <v>8</v>
      </c>
      <c r="AN243">
        <v>29</v>
      </c>
      <c r="AO243" t="str">
        <f t="shared" si="14"/>
        <v>8/29</v>
      </c>
      <c r="AP243" cm="1">
        <f t="array" ref="AP243">_xlfn._xlws.FILTER(Table8[[Day Total]:[Day Total]],(MONTH(Table8[[Date]:[Date]])=$AM243)*(DAY(Table8[[Date]:[Date]])=$AN243)*(YEAR(Table8[[Date]:[Date]])=AP$1),0)</f>
        <v>0</v>
      </c>
      <c r="AR243" cm="1">
        <f t="array" ref="AR243">_xlfn._xlws.FILTER(Table8[[Day Total]:[Day Total]],(MONTH(Table8[[Date]:[Date]])=$AM243)*(DAY(Table8[[Date]:[Date]])=$AN243)*(YEAR(Table8[[Date]:[Date]])=AR$1),0)</f>
        <v>0</v>
      </c>
      <c r="AS243">
        <f t="shared" si="13"/>
        <v>4435</v>
      </c>
      <c r="AT243" cm="1">
        <f t="array" ref="AT243">_xlfn._xlws.FILTER(Table8[[Day Total]:[Day Total]],(MONTH(Table8[[Date]:[Date]])=$AM243)*(DAY(Table8[[Date]:[Date]])=$AN243)*(YEAR(Table8[[Date]:[Date]])=AT$1),0)</f>
        <v>0</v>
      </c>
      <c r="AU243">
        <f t="shared" si="16"/>
        <v>979</v>
      </c>
      <c r="AV243" cm="1">
        <f t="array" ref="AV243">_xlfn._xlws.FILTER(Table8[[Day Total]:[Day Total]],(MONTH(Table8[[Date]:[Date]])=$AM243)*(DAY(Table8[[Date]:[Date]])=$AN243)*(YEAR(Table8[[Date]:[Date]])=AV$1),0)</f>
        <v>32</v>
      </c>
      <c r="AW243">
        <f t="shared" si="15"/>
        <v>1621</v>
      </c>
    </row>
    <row r="244" spans="38:49" x14ac:dyDescent="0.25">
      <c r="AM244">
        <v>8</v>
      </c>
      <c r="AN244">
        <v>30</v>
      </c>
      <c r="AO244" t="str">
        <f t="shared" si="14"/>
        <v>8/30</v>
      </c>
      <c r="AP244" cm="1">
        <f t="array" ref="AP244">_xlfn._xlws.FILTER(Table8[[Day Total]:[Day Total]],(MONTH(Table8[[Date]:[Date]])=$AM244)*(DAY(Table8[[Date]:[Date]])=$AN244)*(YEAR(Table8[[Date]:[Date]])=AP$1),0)</f>
        <v>0</v>
      </c>
      <c r="AR244" cm="1">
        <f t="array" ref="AR244">_xlfn._xlws.FILTER(Table8[[Day Total]:[Day Total]],(MONTH(Table8[[Date]:[Date]])=$AM244)*(DAY(Table8[[Date]:[Date]])=$AN244)*(YEAR(Table8[[Date]:[Date]])=AR$1),0)</f>
        <v>0</v>
      </c>
      <c r="AS244">
        <f t="shared" si="13"/>
        <v>4435</v>
      </c>
      <c r="AT244" cm="1">
        <f t="array" ref="AT244">_xlfn._xlws.FILTER(Table8[[Day Total]:[Day Total]],(MONTH(Table8[[Date]:[Date]])=$AM244)*(DAY(Table8[[Date]:[Date]])=$AN244)*(YEAR(Table8[[Date]:[Date]])=AT$1),0)</f>
        <v>30</v>
      </c>
      <c r="AU244">
        <f t="shared" si="16"/>
        <v>1009</v>
      </c>
      <c r="AV244" cm="1">
        <f t="array" ref="AV244">_xlfn._xlws.FILTER(Table8[[Day Total]:[Day Total]],(MONTH(Table8[[Date]:[Date]])=$AM244)*(DAY(Table8[[Date]:[Date]])=$AN244)*(YEAR(Table8[[Date]:[Date]])=AV$1),0)</f>
        <v>0</v>
      </c>
      <c r="AW244">
        <f t="shared" si="15"/>
        <v>1621</v>
      </c>
    </row>
    <row r="245" spans="38:49" x14ac:dyDescent="0.25">
      <c r="AM245">
        <v>8</v>
      </c>
      <c r="AN245">
        <v>31</v>
      </c>
      <c r="AO245" t="str">
        <f t="shared" si="14"/>
        <v>8/31</v>
      </c>
      <c r="AP245" cm="1">
        <f t="array" ref="AP245">_xlfn._xlws.FILTER(Table8[[Day Total]:[Day Total]],(MONTH(Table8[[Date]:[Date]])=$AM245)*(DAY(Table8[[Date]:[Date]])=$AN245)*(YEAR(Table8[[Date]:[Date]])=AP$1),0)</f>
        <v>0</v>
      </c>
      <c r="AR245" cm="1">
        <f t="array" ref="AR245">_xlfn._xlws.FILTER(Table8[[Day Total]:[Day Total]],(MONTH(Table8[[Date]:[Date]])=$AM245)*(DAY(Table8[[Date]:[Date]])=$AN245)*(YEAR(Table8[[Date]:[Date]])=AR$1),0)</f>
        <v>0</v>
      </c>
      <c r="AS245">
        <f t="shared" si="13"/>
        <v>4435</v>
      </c>
      <c r="AT245" cm="1">
        <f t="array" ref="AT245">_xlfn._xlws.FILTER(Table8[[Day Total]:[Day Total]],(MONTH(Table8[[Date]:[Date]])=$AM245)*(DAY(Table8[[Date]:[Date]])=$AN245)*(YEAR(Table8[[Date]:[Date]])=AT$1),0)</f>
        <v>125</v>
      </c>
      <c r="AU245">
        <f t="shared" si="16"/>
        <v>1134</v>
      </c>
      <c r="AV245" cm="1">
        <f t="array" ref="AV245">_xlfn._xlws.FILTER(Table8[[Day Total]:[Day Total]],(MONTH(Table8[[Date]:[Date]])=$AM245)*(DAY(Table8[[Date]:[Date]])=$AN245)*(YEAR(Table8[[Date]:[Date]])=AV$1),0)</f>
        <v>12.5</v>
      </c>
      <c r="AW245">
        <f t="shared" si="15"/>
        <v>1633.5</v>
      </c>
    </row>
    <row r="246" spans="38:49" x14ac:dyDescent="0.25">
      <c r="AL246" t="s">
        <v>108</v>
      </c>
      <c r="AM246">
        <v>9</v>
      </c>
      <c r="AN246">
        <v>1</v>
      </c>
      <c r="AO246" t="str">
        <f t="shared" si="14"/>
        <v>9/1</v>
      </c>
      <c r="AP246" cm="1">
        <f t="array" ref="AP246">_xlfn._xlws.FILTER(Table8[[Day Total]:[Day Total]],(MONTH(Table8[[Date]:[Date]])=$AM246)*(DAY(Table8[[Date]:[Date]])=$AN246)*(YEAR(Table8[[Date]:[Date]])=AP$1),0)</f>
        <v>0</v>
      </c>
      <c r="AR246" cm="1">
        <f t="array" ref="AR246">_xlfn._xlws.FILTER(Table8[[Day Total]:[Day Total]],(MONTH(Table8[[Date]:[Date]])=$AM246)*(DAY(Table8[[Date]:[Date]])=$AN246)*(YEAR(Table8[[Date]:[Date]])=AR$1),0)</f>
        <v>127</v>
      </c>
      <c r="AS246">
        <f t="shared" si="13"/>
        <v>4562</v>
      </c>
      <c r="AT246" cm="1">
        <f t="array" ref="AT246">_xlfn._xlws.FILTER(Table8[[Day Total]:[Day Total]],(MONTH(Table8[[Date]:[Date]])=$AM246)*(DAY(Table8[[Date]:[Date]])=$AN246)*(YEAR(Table8[[Date]:[Date]])=AT$1),0)</f>
        <v>0</v>
      </c>
      <c r="AU246">
        <f t="shared" si="16"/>
        <v>1134</v>
      </c>
      <c r="AV246" cm="1">
        <f t="array" ref="AV246">_xlfn._xlws.FILTER(Table8[[Day Total]:[Day Total]],(MONTH(Table8[[Date]:[Date]])=$AM246)*(DAY(Table8[[Date]:[Date]])=$AN246)*(YEAR(Table8[[Date]:[Date]])=AV$1),0)</f>
        <v>0</v>
      </c>
      <c r="AW246">
        <f t="shared" si="15"/>
        <v>1633.5</v>
      </c>
    </row>
    <row r="247" spans="38:49" x14ac:dyDescent="0.25">
      <c r="AM247">
        <v>9</v>
      </c>
      <c r="AN247">
        <v>2</v>
      </c>
      <c r="AO247" t="str">
        <f t="shared" si="14"/>
        <v>9/2</v>
      </c>
      <c r="AP247" cm="1">
        <f t="array" ref="AP247">_xlfn._xlws.FILTER(Table8[[Day Total]:[Day Total]],(MONTH(Table8[[Date]:[Date]])=$AM247)*(DAY(Table8[[Date]:[Date]])=$AN247)*(YEAR(Table8[[Date]:[Date]])=AP$1),0)</f>
        <v>0</v>
      </c>
      <c r="AR247" cm="1">
        <f t="array" ref="AR247">_xlfn._xlws.FILTER(Table8[[Day Total]:[Day Total]],(MONTH(Table8[[Date]:[Date]])=$AM247)*(DAY(Table8[[Date]:[Date]])=$AN247)*(YEAR(Table8[[Date]:[Date]])=AR$1),0)</f>
        <v>22</v>
      </c>
      <c r="AS247">
        <f t="shared" si="13"/>
        <v>4584</v>
      </c>
      <c r="AT247" cm="1">
        <f t="array" ref="AT247">_xlfn._xlws.FILTER(Table8[[Day Total]:[Day Total]],(MONTH(Table8[[Date]:[Date]])=$AM247)*(DAY(Table8[[Date]:[Date]])=$AN247)*(YEAR(Table8[[Date]:[Date]])=AT$1),0)</f>
        <v>0</v>
      </c>
      <c r="AU247">
        <f t="shared" si="16"/>
        <v>1134</v>
      </c>
      <c r="AV247" cm="1">
        <f t="array" ref="AV247">_xlfn._xlws.FILTER(Table8[[Day Total]:[Day Total]],(MONTH(Table8[[Date]:[Date]])=$AM247)*(DAY(Table8[[Date]:[Date]])=$AN247)*(YEAR(Table8[[Date]:[Date]])=AV$1),0)</f>
        <v>0</v>
      </c>
      <c r="AW247">
        <f t="shared" si="15"/>
        <v>1633.5</v>
      </c>
    </row>
    <row r="248" spans="38:49" x14ac:dyDescent="0.25">
      <c r="AM248">
        <v>9</v>
      </c>
      <c r="AN248">
        <v>3</v>
      </c>
      <c r="AO248" t="str">
        <f t="shared" si="14"/>
        <v>9/3</v>
      </c>
      <c r="AP248" cm="1">
        <f t="array" ref="AP248">_xlfn._xlws.FILTER(Table8[[Day Total]:[Day Total]],(MONTH(Table8[[Date]:[Date]])=$AM248)*(DAY(Table8[[Date]:[Date]])=$AN248)*(YEAR(Table8[[Date]:[Date]])=AP$1),0)</f>
        <v>0</v>
      </c>
      <c r="AR248" cm="1">
        <f t="array" ref="AR248">_xlfn._xlws.FILTER(Table8[[Day Total]:[Day Total]],(MONTH(Table8[[Date]:[Date]])=$AM248)*(DAY(Table8[[Date]:[Date]])=$AN248)*(YEAR(Table8[[Date]:[Date]])=AR$1),0)</f>
        <v>70</v>
      </c>
      <c r="AS248">
        <f t="shared" si="13"/>
        <v>4654</v>
      </c>
      <c r="AT248" cm="1">
        <f t="array" ref="AT248">_xlfn._xlws.FILTER(Table8[[Day Total]:[Day Total]],(MONTH(Table8[[Date]:[Date]])=$AM248)*(DAY(Table8[[Date]:[Date]])=$AN248)*(YEAR(Table8[[Date]:[Date]])=AT$1),0)</f>
        <v>0</v>
      </c>
      <c r="AU248">
        <f t="shared" si="16"/>
        <v>1134</v>
      </c>
      <c r="AV248" cm="1">
        <f t="array" ref="AV248">_xlfn._xlws.FILTER(Table8[[Day Total]:[Day Total]],(MONTH(Table8[[Date]:[Date]])=$AM248)*(DAY(Table8[[Date]:[Date]])=$AN248)*(YEAR(Table8[[Date]:[Date]])=AV$1),0)</f>
        <v>0</v>
      </c>
      <c r="AW248">
        <f t="shared" si="15"/>
        <v>1633.5</v>
      </c>
    </row>
    <row r="249" spans="38:49" x14ac:dyDescent="0.25">
      <c r="AM249">
        <v>9</v>
      </c>
      <c r="AN249">
        <v>4</v>
      </c>
      <c r="AO249" t="str">
        <f t="shared" si="14"/>
        <v>9/4</v>
      </c>
      <c r="AP249" cm="1">
        <f t="array" ref="AP249">_xlfn._xlws.FILTER(Table8[[Day Total]:[Day Total]],(MONTH(Table8[[Date]:[Date]])=$AM249)*(DAY(Table8[[Date]:[Date]])=$AN249)*(YEAR(Table8[[Date]:[Date]])=AP$1),0)</f>
        <v>0</v>
      </c>
      <c r="AR249" cm="1">
        <f t="array" ref="AR249">_xlfn._xlws.FILTER(Table8[[Day Total]:[Day Total]],(MONTH(Table8[[Date]:[Date]])=$AM249)*(DAY(Table8[[Date]:[Date]])=$AN249)*(YEAR(Table8[[Date]:[Date]])=AR$1),0)</f>
        <v>62</v>
      </c>
      <c r="AS249">
        <f t="shared" si="13"/>
        <v>4716</v>
      </c>
      <c r="AT249" cm="1">
        <f t="array" ref="AT249">_xlfn._xlws.FILTER(Table8[[Day Total]:[Day Total]],(MONTH(Table8[[Date]:[Date]])=$AM249)*(DAY(Table8[[Date]:[Date]])=$AN249)*(YEAR(Table8[[Date]:[Date]])=AT$1),0)</f>
        <v>0</v>
      </c>
      <c r="AU249">
        <f t="shared" si="16"/>
        <v>1134</v>
      </c>
      <c r="AV249" cm="1">
        <f t="array" ref="AV249">_xlfn._xlws.FILTER(Table8[[Day Total]:[Day Total]],(MONTH(Table8[[Date]:[Date]])=$AM249)*(DAY(Table8[[Date]:[Date]])=$AN249)*(YEAR(Table8[[Date]:[Date]])=AV$1),0)</f>
        <v>0</v>
      </c>
      <c r="AW249">
        <f t="shared" si="15"/>
        <v>1633.5</v>
      </c>
    </row>
    <row r="250" spans="38:49" x14ac:dyDescent="0.25">
      <c r="AM250">
        <v>9</v>
      </c>
      <c r="AN250">
        <v>5</v>
      </c>
      <c r="AO250" t="str">
        <f t="shared" si="14"/>
        <v>9/5</v>
      </c>
      <c r="AP250" cm="1">
        <f t="array" ref="AP250">_xlfn._xlws.FILTER(Table8[[Day Total]:[Day Total]],(MONTH(Table8[[Date]:[Date]])=$AM250)*(DAY(Table8[[Date]:[Date]])=$AN250)*(YEAR(Table8[[Date]:[Date]])=AP$1),0)</f>
        <v>0</v>
      </c>
      <c r="AR250" cm="1">
        <f t="array" ref="AR250">_xlfn._xlws.FILTER(Table8[[Day Total]:[Day Total]],(MONTH(Table8[[Date]:[Date]])=$AM250)*(DAY(Table8[[Date]:[Date]])=$AN250)*(YEAR(Table8[[Date]:[Date]])=AR$1),0)</f>
        <v>7</v>
      </c>
      <c r="AS250">
        <f t="shared" si="13"/>
        <v>4723</v>
      </c>
      <c r="AT250" cm="1">
        <f t="array" ref="AT250">_xlfn._xlws.FILTER(Table8[[Day Total]:[Day Total]],(MONTH(Table8[[Date]:[Date]])=$AM250)*(DAY(Table8[[Date]:[Date]])=$AN250)*(YEAR(Table8[[Date]:[Date]])=AT$1),0)</f>
        <v>0</v>
      </c>
      <c r="AU250">
        <f t="shared" si="16"/>
        <v>1134</v>
      </c>
      <c r="AV250" cm="1">
        <f t="array" ref="AV250">_xlfn._xlws.FILTER(Table8[[Day Total]:[Day Total]],(MONTH(Table8[[Date]:[Date]])=$AM250)*(DAY(Table8[[Date]:[Date]])=$AN250)*(YEAR(Table8[[Date]:[Date]])=AV$1),0)</f>
        <v>0</v>
      </c>
      <c r="AW250">
        <f t="shared" si="15"/>
        <v>1633.5</v>
      </c>
    </row>
    <row r="251" spans="38:49" x14ac:dyDescent="0.25">
      <c r="AM251">
        <v>9</v>
      </c>
      <c r="AN251">
        <v>6</v>
      </c>
      <c r="AO251" t="str">
        <f t="shared" si="14"/>
        <v>9/6</v>
      </c>
      <c r="AP251" cm="1">
        <f t="array" ref="AP251">_xlfn._xlws.FILTER(Table8[[Day Total]:[Day Total]],(MONTH(Table8[[Date]:[Date]])=$AM251)*(DAY(Table8[[Date]:[Date]])=$AN251)*(YEAR(Table8[[Date]:[Date]])=AP$1),0)</f>
        <v>0</v>
      </c>
      <c r="AR251" cm="1">
        <f t="array" ref="AR251">_xlfn._xlws.FILTER(Table8[[Day Total]:[Day Total]],(MONTH(Table8[[Date]:[Date]])=$AM251)*(DAY(Table8[[Date]:[Date]])=$AN251)*(YEAR(Table8[[Date]:[Date]])=AR$1),0)</f>
        <v>7</v>
      </c>
      <c r="AS251">
        <f t="shared" si="13"/>
        <v>4730</v>
      </c>
      <c r="AT251" cm="1">
        <f t="array" ref="AT251">_xlfn._xlws.FILTER(Table8[[Day Total]:[Day Total]],(MONTH(Table8[[Date]:[Date]])=$AM251)*(DAY(Table8[[Date]:[Date]])=$AN251)*(YEAR(Table8[[Date]:[Date]])=AT$1),0)</f>
        <v>0</v>
      </c>
      <c r="AU251">
        <f t="shared" si="16"/>
        <v>1134</v>
      </c>
      <c r="AV251" cm="1">
        <f t="array" ref="AV251">_xlfn._xlws.FILTER(Table8[[Day Total]:[Day Total]],(MONTH(Table8[[Date]:[Date]])=$AM251)*(DAY(Table8[[Date]:[Date]])=$AN251)*(YEAR(Table8[[Date]:[Date]])=AV$1),0)</f>
        <v>0</v>
      </c>
      <c r="AW251">
        <f t="shared" si="15"/>
        <v>1633.5</v>
      </c>
    </row>
    <row r="252" spans="38:49" x14ac:dyDescent="0.25">
      <c r="AM252">
        <v>9</v>
      </c>
      <c r="AN252">
        <v>7</v>
      </c>
      <c r="AO252" t="str">
        <f t="shared" si="14"/>
        <v>9/7</v>
      </c>
      <c r="AP252" cm="1">
        <f t="array" ref="AP252">_xlfn._xlws.FILTER(Table8[[Day Total]:[Day Total]],(MONTH(Table8[[Date]:[Date]])=$AM252)*(DAY(Table8[[Date]:[Date]])=$AN252)*(YEAR(Table8[[Date]:[Date]])=AP$1),0)</f>
        <v>0</v>
      </c>
      <c r="AR252" cm="1">
        <f t="array" ref="AR252">_xlfn._xlws.FILTER(Table8[[Day Total]:[Day Total]],(MONTH(Table8[[Date]:[Date]])=$AM252)*(DAY(Table8[[Date]:[Date]])=$AN252)*(YEAR(Table8[[Date]:[Date]])=AR$1),0)</f>
        <v>1</v>
      </c>
      <c r="AS252">
        <f t="shared" si="13"/>
        <v>4731</v>
      </c>
      <c r="AT252" cm="1">
        <f t="array" ref="AT252">_xlfn._xlws.FILTER(Table8[[Day Total]:[Day Total]],(MONTH(Table8[[Date]:[Date]])=$AM252)*(DAY(Table8[[Date]:[Date]])=$AN252)*(YEAR(Table8[[Date]:[Date]])=AT$1),0)</f>
        <v>0</v>
      </c>
      <c r="AU252">
        <f t="shared" si="16"/>
        <v>1134</v>
      </c>
      <c r="AV252" cm="1">
        <f t="array" ref="AV252">_xlfn._xlws.FILTER(Table8[[Day Total]:[Day Total]],(MONTH(Table8[[Date]:[Date]])=$AM252)*(DAY(Table8[[Date]:[Date]])=$AN252)*(YEAR(Table8[[Date]:[Date]])=AV$1),0)</f>
        <v>0</v>
      </c>
      <c r="AW252">
        <f t="shared" si="15"/>
        <v>1633.5</v>
      </c>
    </row>
    <row r="253" spans="38:49" x14ac:dyDescent="0.25">
      <c r="AM253">
        <v>9</v>
      </c>
      <c r="AN253">
        <v>8</v>
      </c>
      <c r="AO253" t="str">
        <f t="shared" si="14"/>
        <v>9/8</v>
      </c>
      <c r="AP253" cm="1">
        <f t="array" ref="AP253">_xlfn._xlws.FILTER(Table8[[Day Total]:[Day Total]],(MONTH(Table8[[Date]:[Date]])=$AM253)*(DAY(Table8[[Date]:[Date]])=$AN253)*(YEAR(Table8[[Date]:[Date]])=AP$1),0)</f>
        <v>0</v>
      </c>
      <c r="AR253" cm="1">
        <f t="array" ref="AR253">_xlfn._xlws.FILTER(Table8[[Day Total]:[Day Total]],(MONTH(Table8[[Date]:[Date]])=$AM253)*(DAY(Table8[[Date]:[Date]])=$AN253)*(YEAR(Table8[[Date]:[Date]])=AR$1),0)</f>
        <v>0</v>
      </c>
      <c r="AS253">
        <f t="shared" si="13"/>
        <v>4731</v>
      </c>
      <c r="AT253" cm="1">
        <f t="array" ref="AT253">_xlfn._xlws.FILTER(Table8[[Day Total]:[Day Total]],(MONTH(Table8[[Date]:[Date]])=$AM253)*(DAY(Table8[[Date]:[Date]])=$AN253)*(YEAR(Table8[[Date]:[Date]])=AT$1),0)</f>
        <v>0</v>
      </c>
      <c r="AU253">
        <f t="shared" si="16"/>
        <v>1134</v>
      </c>
      <c r="AV253" cm="1">
        <f t="array" ref="AV253">_xlfn._xlws.FILTER(Table8[[Day Total]:[Day Total]],(MONTH(Table8[[Date]:[Date]])=$AM253)*(DAY(Table8[[Date]:[Date]])=$AN253)*(YEAR(Table8[[Date]:[Date]])=AV$1),0)</f>
        <v>49.5</v>
      </c>
      <c r="AW253">
        <f t="shared" si="15"/>
        <v>1683</v>
      </c>
    </row>
    <row r="254" spans="38:49" x14ac:dyDescent="0.25">
      <c r="AM254">
        <v>9</v>
      </c>
      <c r="AN254">
        <v>9</v>
      </c>
      <c r="AO254" t="str">
        <f t="shared" si="14"/>
        <v>9/9</v>
      </c>
      <c r="AP254" cm="1">
        <f t="array" ref="AP254">_xlfn._xlws.FILTER(Table8[[Day Total]:[Day Total]],(MONTH(Table8[[Date]:[Date]])=$AM254)*(DAY(Table8[[Date]:[Date]])=$AN254)*(YEAR(Table8[[Date]:[Date]])=AP$1),0)</f>
        <v>0</v>
      </c>
      <c r="AR254" cm="1">
        <f t="array" ref="AR254">_xlfn._xlws.FILTER(Table8[[Day Total]:[Day Total]],(MONTH(Table8[[Date]:[Date]])=$AM254)*(DAY(Table8[[Date]:[Date]])=$AN254)*(YEAR(Table8[[Date]:[Date]])=AR$1),0)</f>
        <v>0</v>
      </c>
      <c r="AS254">
        <f t="shared" si="13"/>
        <v>4731</v>
      </c>
      <c r="AT254" cm="1">
        <f t="array" ref="AT254">_xlfn._xlws.FILTER(Table8[[Day Total]:[Day Total]],(MONTH(Table8[[Date]:[Date]])=$AM254)*(DAY(Table8[[Date]:[Date]])=$AN254)*(YEAR(Table8[[Date]:[Date]])=AT$1),0)</f>
        <v>0</v>
      </c>
      <c r="AU254">
        <f t="shared" si="16"/>
        <v>1134</v>
      </c>
      <c r="AV254" cm="1">
        <f t="array" ref="AV254">_xlfn._xlws.FILTER(Table8[[Day Total]:[Day Total]],(MONTH(Table8[[Date]:[Date]])=$AM254)*(DAY(Table8[[Date]:[Date]])=$AN254)*(YEAR(Table8[[Date]:[Date]])=AV$1),0)</f>
        <v>53</v>
      </c>
      <c r="AW254">
        <f t="shared" si="15"/>
        <v>1736</v>
      </c>
    </row>
    <row r="255" spans="38:49" x14ac:dyDescent="0.25">
      <c r="AM255">
        <v>9</v>
      </c>
      <c r="AN255">
        <v>10</v>
      </c>
      <c r="AO255" t="str">
        <f t="shared" si="14"/>
        <v>9/10</v>
      </c>
      <c r="AP255" cm="1">
        <f t="array" ref="AP255">_xlfn._xlws.FILTER(Table8[[Day Total]:[Day Total]],(MONTH(Table8[[Date]:[Date]])=$AM255)*(DAY(Table8[[Date]:[Date]])=$AN255)*(YEAR(Table8[[Date]:[Date]])=AP$1),0)</f>
        <v>0</v>
      </c>
      <c r="AR255" cm="1">
        <f t="array" ref="AR255">_xlfn._xlws.FILTER(Table8[[Day Total]:[Day Total]],(MONTH(Table8[[Date]:[Date]])=$AM255)*(DAY(Table8[[Date]:[Date]])=$AN255)*(YEAR(Table8[[Date]:[Date]])=AR$1),0)</f>
        <v>0</v>
      </c>
      <c r="AS255">
        <f t="shared" si="13"/>
        <v>4731</v>
      </c>
      <c r="AT255" cm="1">
        <f t="array" ref="AT255">_xlfn._xlws.FILTER(Table8[[Day Total]:[Day Total]],(MONTH(Table8[[Date]:[Date]])=$AM255)*(DAY(Table8[[Date]:[Date]])=$AN255)*(YEAR(Table8[[Date]:[Date]])=AT$1),0)</f>
        <v>0</v>
      </c>
      <c r="AU255">
        <f t="shared" si="16"/>
        <v>1134</v>
      </c>
      <c r="AV255" cm="1">
        <f t="array" ref="AV255">_xlfn._xlws.FILTER(Table8[[Day Total]:[Day Total]],(MONTH(Table8[[Date]:[Date]])=$AM255)*(DAY(Table8[[Date]:[Date]])=$AN255)*(YEAR(Table8[[Date]:[Date]])=AV$1),0)</f>
        <v>48</v>
      </c>
      <c r="AW255">
        <f t="shared" si="15"/>
        <v>1784</v>
      </c>
    </row>
    <row r="256" spans="38:49" x14ac:dyDescent="0.25">
      <c r="AM256">
        <v>9</v>
      </c>
      <c r="AN256">
        <v>11</v>
      </c>
      <c r="AO256" t="str">
        <f t="shared" si="14"/>
        <v>9/11</v>
      </c>
      <c r="AP256" cm="1">
        <f t="array" ref="AP256">_xlfn._xlws.FILTER(Table8[[Day Total]:[Day Total]],(MONTH(Table8[[Date]:[Date]])=$AM256)*(DAY(Table8[[Date]:[Date]])=$AN256)*(YEAR(Table8[[Date]:[Date]])=AP$1),0)</f>
        <v>0</v>
      </c>
      <c r="AR256" cm="1">
        <f t="array" ref="AR256">_xlfn._xlws.FILTER(Table8[[Day Total]:[Day Total]],(MONTH(Table8[[Date]:[Date]])=$AM256)*(DAY(Table8[[Date]:[Date]])=$AN256)*(YEAR(Table8[[Date]:[Date]])=AR$1),0)</f>
        <v>0</v>
      </c>
      <c r="AS256">
        <f t="shared" si="13"/>
        <v>4731</v>
      </c>
      <c r="AT256" cm="1">
        <f t="array" ref="AT256">_xlfn._xlws.FILTER(Table8[[Day Total]:[Day Total]],(MONTH(Table8[[Date]:[Date]])=$AM256)*(DAY(Table8[[Date]:[Date]])=$AN256)*(YEAR(Table8[[Date]:[Date]])=AT$1),0)</f>
        <v>0</v>
      </c>
      <c r="AU256">
        <f t="shared" si="16"/>
        <v>1134</v>
      </c>
      <c r="AV256" cm="1">
        <f t="array" ref="AV256">_xlfn._xlws.FILTER(Table8[[Day Total]:[Day Total]],(MONTH(Table8[[Date]:[Date]])=$AM256)*(DAY(Table8[[Date]:[Date]])=$AN256)*(YEAR(Table8[[Date]:[Date]])=AV$1),0)</f>
        <v>43</v>
      </c>
      <c r="AW256">
        <f t="shared" si="15"/>
        <v>1827</v>
      </c>
    </row>
    <row r="257" spans="39:49" x14ac:dyDescent="0.25">
      <c r="AM257">
        <v>9</v>
      </c>
      <c r="AN257">
        <v>12</v>
      </c>
      <c r="AO257" t="str">
        <f t="shared" si="14"/>
        <v>9/12</v>
      </c>
      <c r="AP257" cm="1">
        <f t="array" ref="AP257">_xlfn._xlws.FILTER(Table8[[Day Total]:[Day Total]],(MONTH(Table8[[Date]:[Date]])=$AM257)*(DAY(Table8[[Date]:[Date]])=$AN257)*(YEAR(Table8[[Date]:[Date]])=AP$1),0)</f>
        <v>0</v>
      </c>
      <c r="AR257" cm="1">
        <f t="array" ref="AR257">_xlfn._xlws.FILTER(Table8[[Day Total]:[Day Total]],(MONTH(Table8[[Date]:[Date]])=$AM257)*(DAY(Table8[[Date]:[Date]])=$AN257)*(YEAR(Table8[[Date]:[Date]])=AR$1),0)</f>
        <v>0</v>
      </c>
      <c r="AS257">
        <f t="shared" si="13"/>
        <v>4731</v>
      </c>
      <c r="AT257" cm="1">
        <f t="array" ref="AT257">_xlfn._xlws.FILTER(Table8[[Day Total]:[Day Total]],(MONTH(Table8[[Date]:[Date]])=$AM257)*(DAY(Table8[[Date]:[Date]])=$AN257)*(YEAR(Table8[[Date]:[Date]])=AT$1),0)</f>
        <v>0</v>
      </c>
      <c r="AU257">
        <f t="shared" si="16"/>
        <v>1134</v>
      </c>
      <c r="AV257" cm="1">
        <f t="array" ref="AV257">_xlfn._xlws.FILTER(Table8[[Day Total]:[Day Total]],(MONTH(Table8[[Date]:[Date]])=$AM257)*(DAY(Table8[[Date]:[Date]])=$AN257)*(YEAR(Table8[[Date]:[Date]])=AV$1),0)</f>
        <v>0</v>
      </c>
      <c r="AW257">
        <f t="shared" si="15"/>
        <v>1827</v>
      </c>
    </row>
    <row r="258" spans="39:49" x14ac:dyDescent="0.25">
      <c r="AM258">
        <v>9</v>
      </c>
      <c r="AN258">
        <v>13</v>
      </c>
      <c r="AO258" t="str">
        <f t="shared" si="14"/>
        <v>9/13</v>
      </c>
      <c r="AP258" cm="1">
        <f t="array" ref="AP258">_xlfn._xlws.FILTER(Table8[[Day Total]:[Day Total]],(MONTH(Table8[[Date]:[Date]])=$AM258)*(DAY(Table8[[Date]:[Date]])=$AN258)*(YEAR(Table8[[Date]:[Date]])=AP$1),0)</f>
        <v>0</v>
      </c>
      <c r="AR258" cm="1">
        <f t="array" ref="AR258">_xlfn._xlws.FILTER(Table8[[Day Total]:[Day Total]],(MONTH(Table8[[Date]:[Date]])=$AM258)*(DAY(Table8[[Date]:[Date]])=$AN258)*(YEAR(Table8[[Date]:[Date]])=AR$1),0)</f>
        <v>0</v>
      </c>
      <c r="AS258">
        <f t="shared" ref="AS258:AS321" si="17">AS257+AR258</f>
        <v>4731</v>
      </c>
      <c r="AT258" cm="1">
        <f t="array" ref="AT258">_xlfn._xlws.FILTER(Table8[[Day Total]:[Day Total]],(MONTH(Table8[[Date]:[Date]])=$AM258)*(DAY(Table8[[Date]:[Date]])=$AN258)*(YEAR(Table8[[Date]:[Date]])=AT$1),0)</f>
        <v>0</v>
      </c>
      <c r="AU258">
        <f t="shared" si="16"/>
        <v>1134</v>
      </c>
      <c r="AV258" cm="1">
        <f t="array" ref="AV258">_xlfn._xlws.FILTER(Table8[[Day Total]:[Day Total]],(MONTH(Table8[[Date]:[Date]])=$AM258)*(DAY(Table8[[Date]:[Date]])=$AN258)*(YEAR(Table8[[Date]:[Date]])=AV$1),0)</f>
        <v>86</v>
      </c>
      <c r="AW258">
        <f t="shared" si="15"/>
        <v>1913</v>
      </c>
    </row>
    <row r="259" spans="39:49" x14ac:dyDescent="0.25">
      <c r="AM259">
        <v>9</v>
      </c>
      <c r="AN259">
        <v>14</v>
      </c>
      <c r="AO259" t="str">
        <f t="shared" ref="AO259:AO322" si="18">_xlfn.CONCAT(AM259,"/",AN259)</f>
        <v>9/14</v>
      </c>
      <c r="AP259" cm="1">
        <f t="array" ref="AP259">_xlfn._xlws.FILTER(Table8[[Day Total]:[Day Total]],(MONTH(Table8[[Date]:[Date]])=$AM259)*(DAY(Table8[[Date]:[Date]])=$AN259)*(YEAR(Table8[[Date]:[Date]])=AP$1),0)</f>
        <v>0</v>
      </c>
      <c r="AR259" cm="1">
        <f t="array" ref="AR259">_xlfn._xlws.FILTER(Table8[[Day Total]:[Day Total]],(MONTH(Table8[[Date]:[Date]])=$AM259)*(DAY(Table8[[Date]:[Date]])=$AN259)*(YEAR(Table8[[Date]:[Date]])=AR$1),0)</f>
        <v>61</v>
      </c>
      <c r="AS259">
        <f t="shared" si="17"/>
        <v>4792</v>
      </c>
      <c r="AT259" cm="1">
        <f t="array" ref="AT259">_xlfn._xlws.FILTER(Table8[[Day Total]:[Day Total]],(MONTH(Table8[[Date]:[Date]])=$AM259)*(DAY(Table8[[Date]:[Date]])=$AN259)*(YEAR(Table8[[Date]:[Date]])=AT$1),0)</f>
        <v>0</v>
      </c>
      <c r="AU259">
        <f t="shared" si="16"/>
        <v>1134</v>
      </c>
      <c r="AV259" cm="1">
        <f t="array" ref="AV259">_xlfn._xlws.FILTER(Table8[[Day Total]:[Day Total]],(MONTH(Table8[[Date]:[Date]])=$AM259)*(DAY(Table8[[Date]:[Date]])=$AN259)*(YEAR(Table8[[Date]:[Date]])=AV$1),0)</f>
        <v>129</v>
      </c>
      <c r="AW259">
        <f t="shared" si="15"/>
        <v>2042</v>
      </c>
    </row>
    <row r="260" spans="39:49" x14ac:dyDescent="0.25">
      <c r="AM260">
        <v>9</v>
      </c>
      <c r="AN260">
        <v>15</v>
      </c>
      <c r="AO260" t="str">
        <f t="shared" si="18"/>
        <v>9/15</v>
      </c>
      <c r="AP260" cm="1">
        <f t="array" ref="AP260">_xlfn._xlws.FILTER(Table8[[Day Total]:[Day Total]],(MONTH(Table8[[Date]:[Date]])=$AM260)*(DAY(Table8[[Date]:[Date]])=$AN260)*(YEAR(Table8[[Date]:[Date]])=AP$1),0)</f>
        <v>0</v>
      </c>
      <c r="AR260" cm="1">
        <f t="array" ref="AR260">_xlfn._xlws.FILTER(Table8[[Day Total]:[Day Total]],(MONTH(Table8[[Date]:[Date]])=$AM260)*(DAY(Table8[[Date]:[Date]])=$AN260)*(YEAR(Table8[[Date]:[Date]])=AR$1),0)</f>
        <v>8</v>
      </c>
      <c r="AS260">
        <f t="shared" si="17"/>
        <v>4800</v>
      </c>
      <c r="AT260" cm="1">
        <f t="array" ref="AT260">_xlfn._xlws.FILTER(Table8[[Day Total]:[Day Total]],(MONTH(Table8[[Date]:[Date]])=$AM260)*(DAY(Table8[[Date]:[Date]])=$AN260)*(YEAR(Table8[[Date]:[Date]])=AT$1),0)</f>
        <v>0</v>
      </c>
      <c r="AU260">
        <f t="shared" si="16"/>
        <v>1134</v>
      </c>
      <c r="AV260" cm="1">
        <f t="array" ref="AV260">_xlfn._xlws.FILTER(Table8[[Day Total]:[Day Total]],(MONTH(Table8[[Date]:[Date]])=$AM260)*(DAY(Table8[[Date]:[Date]])=$AN260)*(YEAR(Table8[[Date]:[Date]])=AV$1),0)</f>
        <v>124</v>
      </c>
      <c r="AW260">
        <f t="shared" si="15"/>
        <v>2166</v>
      </c>
    </row>
    <row r="261" spans="39:49" x14ac:dyDescent="0.25">
      <c r="AM261">
        <v>9</v>
      </c>
      <c r="AN261">
        <v>16</v>
      </c>
      <c r="AO261" t="str">
        <f t="shared" si="18"/>
        <v>9/16</v>
      </c>
      <c r="AP261" cm="1">
        <f t="array" ref="AP261">_xlfn._xlws.FILTER(Table8[[Day Total]:[Day Total]],(MONTH(Table8[[Date]:[Date]])=$AM261)*(DAY(Table8[[Date]:[Date]])=$AN261)*(YEAR(Table8[[Date]:[Date]])=AP$1),0)</f>
        <v>0</v>
      </c>
      <c r="AR261" cm="1">
        <f t="array" ref="AR261">_xlfn._xlws.FILTER(Table8[[Day Total]:[Day Total]],(MONTH(Table8[[Date]:[Date]])=$AM261)*(DAY(Table8[[Date]:[Date]])=$AN261)*(YEAR(Table8[[Date]:[Date]])=AR$1),0)</f>
        <v>19</v>
      </c>
      <c r="AS261">
        <f t="shared" si="17"/>
        <v>4819</v>
      </c>
      <c r="AT261" cm="1">
        <f t="array" ref="AT261">_xlfn._xlws.FILTER(Table8[[Day Total]:[Day Total]],(MONTH(Table8[[Date]:[Date]])=$AM261)*(DAY(Table8[[Date]:[Date]])=$AN261)*(YEAR(Table8[[Date]:[Date]])=AT$1),0)</f>
        <v>0</v>
      </c>
      <c r="AU261">
        <f t="shared" si="16"/>
        <v>1134</v>
      </c>
      <c r="AV261" cm="1">
        <f t="array" ref="AV261">_xlfn._xlws.FILTER(Table8[[Day Total]:[Day Total]],(MONTH(Table8[[Date]:[Date]])=$AM261)*(DAY(Table8[[Date]:[Date]])=$AN261)*(YEAR(Table8[[Date]:[Date]])=AV$1),0)</f>
        <v>174</v>
      </c>
      <c r="AW261">
        <f t="shared" si="15"/>
        <v>2340</v>
      </c>
    </row>
    <row r="262" spans="39:49" x14ac:dyDescent="0.25">
      <c r="AM262">
        <v>9</v>
      </c>
      <c r="AN262">
        <v>17</v>
      </c>
      <c r="AO262" t="str">
        <f t="shared" si="18"/>
        <v>9/17</v>
      </c>
      <c r="AP262" cm="1">
        <f t="array" ref="AP262">_xlfn._xlws.FILTER(Table8[[Day Total]:[Day Total]],(MONTH(Table8[[Date]:[Date]])=$AM262)*(DAY(Table8[[Date]:[Date]])=$AN262)*(YEAR(Table8[[Date]:[Date]])=AP$1),0)</f>
        <v>0</v>
      </c>
      <c r="AR262" cm="1">
        <f t="array" ref="AR262">_xlfn._xlws.FILTER(Table8[[Day Total]:[Day Total]],(MONTH(Table8[[Date]:[Date]])=$AM262)*(DAY(Table8[[Date]:[Date]])=$AN262)*(YEAR(Table8[[Date]:[Date]])=AR$1),0)</f>
        <v>52</v>
      </c>
      <c r="AS262">
        <f t="shared" si="17"/>
        <v>4871</v>
      </c>
      <c r="AT262" cm="1">
        <f t="array" ref="AT262">_xlfn._xlws.FILTER(Table8[[Day Total]:[Day Total]],(MONTH(Table8[[Date]:[Date]])=$AM262)*(DAY(Table8[[Date]:[Date]])=$AN262)*(YEAR(Table8[[Date]:[Date]])=AT$1),0)</f>
        <v>0</v>
      </c>
      <c r="AU262">
        <f t="shared" si="16"/>
        <v>1134</v>
      </c>
      <c r="AV262" cm="1">
        <f t="array" ref="AV262">_xlfn._xlws.FILTER(Table8[[Day Total]:[Day Total]],(MONTH(Table8[[Date]:[Date]])=$AM262)*(DAY(Table8[[Date]:[Date]])=$AN262)*(YEAR(Table8[[Date]:[Date]])=AV$1),0)</f>
        <v>23</v>
      </c>
      <c r="AW262">
        <f t="shared" ref="AW262:AW325" si="19">AW261+AV262</f>
        <v>2363</v>
      </c>
    </row>
    <row r="263" spans="39:49" x14ac:dyDescent="0.25">
      <c r="AM263">
        <v>9</v>
      </c>
      <c r="AN263">
        <v>18</v>
      </c>
      <c r="AO263" t="str">
        <f t="shared" si="18"/>
        <v>9/18</v>
      </c>
      <c r="AP263" cm="1">
        <f t="array" ref="AP263">_xlfn._xlws.FILTER(Table8[[Day Total]:[Day Total]],(MONTH(Table8[[Date]:[Date]])=$AM263)*(DAY(Table8[[Date]:[Date]])=$AN263)*(YEAR(Table8[[Date]:[Date]])=AP$1),0)</f>
        <v>0</v>
      </c>
      <c r="AR263" cm="1">
        <f t="array" ref="AR263">_xlfn._xlws.FILTER(Table8[[Day Total]:[Day Total]],(MONTH(Table8[[Date]:[Date]])=$AM263)*(DAY(Table8[[Date]:[Date]])=$AN263)*(YEAR(Table8[[Date]:[Date]])=AR$1),0)</f>
        <v>0</v>
      </c>
      <c r="AS263">
        <f t="shared" si="17"/>
        <v>4871</v>
      </c>
      <c r="AT263" cm="1">
        <f t="array" ref="AT263">_xlfn._xlws.FILTER(Table8[[Day Total]:[Day Total]],(MONTH(Table8[[Date]:[Date]])=$AM263)*(DAY(Table8[[Date]:[Date]])=$AN263)*(YEAR(Table8[[Date]:[Date]])=AT$1),0)</f>
        <v>0</v>
      </c>
      <c r="AU263">
        <f t="shared" si="16"/>
        <v>1134</v>
      </c>
      <c r="AV263" cm="1">
        <f t="array" ref="AV263">_xlfn._xlws.FILTER(Table8[[Day Total]:[Day Total]],(MONTH(Table8[[Date]:[Date]])=$AM263)*(DAY(Table8[[Date]:[Date]])=$AN263)*(YEAR(Table8[[Date]:[Date]])=AV$1),0)</f>
        <v>0</v>
      </c>
      <c r="AW263">
        <f t="shared" si="19"/>
        <v>2363</v>
      </c>
    </row>
    <row r="264" spans="39:49" x14ac:dyDescent="0.25">
      <c r="AM264">
        <v>9</v>
      </c>
      <c r="AN264">
        <v>19</v>
      </c>
      <c r="AO264" t="str">
        <f t="shared" si="18"/>
        <v>9/19</v>
      </c>
      <c r="AP264" cm="1">
        <f t="array" ref="AP264">_xlfn._xlws.FILTER(Table8[[Day Total]:[Day Total]],(MONTH(Table8[[Date]:[Date]])=$AM264)*(DAY(Table8[[Date]:[Date]])=$AN264)*(YEAR(Table8[[Date]:[Date]])=AP$1),0)</f>
        <v>0</v>
      </c>
      <c r="AR264" cm="1">
        <f t="array" ref="AR264">_xlfn._xlws.FILTER(Table8[[Day Total]:[Day Total]],(MONTH(Table8[[Date]:[Date]])=$AM264)*(DAY(Table8[[Date]:[Date]])=$AN264)*(YEAR(Table8[[Date]:[Date]])=AR$1),0)</f>
        <v>0</v>
      </c>
      <c r="AS264">
        <f t="shared" si="17"/>
        <v>4871</v>
      </c>
      <c r="AT264" cm="1">
        <f t="array" ref="AT264">_xlfn._xlws.FILTER(Table8[[Day Total]:[Day Total]],(MONTH(Table8[[Date]:[Date]])=$AM264)*(DAY(Table8[[Date]:[Date]])=$AN264)*(YEAR(Table8[[Date]:[Date]])=AT$1),0)</f>
        <v>0</v>
      </c>
      <c r="AU264">
        <f t="shared" si="16"/>
        <v>1134</v>
      </c>
      <c r="AV264" cm="1">
        <f t="array" ref="AV264">_xlfn._xlws.FILTER(Table8[[Day Total]:[Day Total]],(MONTH(Table8[[Date]:[Date]])=$AM264)*(DAY(Table8[[Date]:[Date]])=$AN264)*(YEAR(Table8[[Date]:[Date]])=AV$1),0)</f>
        <v>0</v>
      </c>
      <c r="AW264">
        <f t="shared" si="19"/>
        <v>2363</v>
      </c>
    </row>
    <row r="265" spans="39:49" x14ac:dyDescent="0.25">
      <c r="AM265">
        <v>9</v>
      </c>
      <c r="AN265">
        <v>20</v>
      </c>
      <c r="AO265" t="str">
        <f t="shared" si="18"/>
        <v>9/20</v>
      </c>
      <c r="AP265" cm="1">
        <f t="array" ref="AP265">_xlfn._xlws.FILTER(Table8[[Day Total]:[Day Total]],(MONTH(Table8[[Date]:[Date]])=$AM265)*(DAY(Table8[[Date]:[Date]])=$AN265)*(YEAR(Table8[[Date]:[Date]])=AP$1),0)</f>
        <v>0</v>
      </c>
      <c r="AR265" cm="1">
        <f t="array" ref="AR265">_xlfn._xlws.FILTER(Table8[[Day Total]:[Day Total]],(MONTH(Table8[[Date]:[Date]])=$AM265)*(DAY(Table8[[Date]:[Date]])=$AN265)*(YEAR(Table8[[Date]:[Date]])=AR$1),0)</f>
        <v>0</v>
      </c>
      <c r="AS265">
        <f t="shared" si="17"/>
        <v>4871</v>
      </c>
      <c r="AT265" cm="1">
        <f t="array" ref="AT265">_xlfn._xlws.FILTER(Table8[[Day Total]:[Day Total]],(MONTH(Table8[[Date]:[Date]])=$AM265)*(DAY(Table8[[Date]:[Date]])=$AN265)*(YEAR(Table8[[Date]:[Date]])=AT$1),0)</f>
        <v>0</v>
      </c>
      <c r="AU265">
        <f t="shared" si="16"/>
        <v>1134</v>
      </c>
      <c r="AV265" cm="1">
        <f t="array" ref="AV265">_xlfn._xlws.FILTER(Table8[[Day Total]:[Day Total]],(MONTH(Table8[[Date]:[Date]])=$AM265)*(DAY(Table8[[Date]:[Date]])=$AN265)*(YEAR(Table8[[Date]:[Date]])=AV$1),0)</f>
        <v>31</v>
      </c>
      <c r="AW265">
        <f t="shared" si="19"/>
        <v>2394</v>
      </c>
    </row>
    <row r="266" spans="39:49" x14ac:dyDescent="0.25">
      <c r="AM266">
        <v>9</v>
      </c>
      <c r="AN266">
        <v>21</v>
      </c>
      <c r="AO266" t="str">
        <f t="shared" si="18"/>
        <v>9/21</v>
      </c>
      <c r="AP266" cm="1">
        <f t="array" ref="AP266">_xlfn._xlws.FILTER(Table8[[Day Total]:[Day Total]],(MONTH(Table8[[Date]:[Date]])=$AM266)*(DAY(Table8[[Date]:[Date]])=$AN266)*(YEAR(Table8[[Date]:[Date]])=AP$1),0)</f>
        <v>0</v>
      </c>
      <c r="AR266" cm="1">
        <f t="array" ref="AR266">_xlfn._xlws.FILTER(Table8[[Day Total]:[Day Total]],(MONTH(Table8[[Date]:[Date]])=$AM266)*(DAY(Table8[[Date]:[Date]])=$AN266)*(YEAR(Table8[[Date]:[Date]])=AR$1),0)</f>
        <v>0</v>
      </c>
      <c r="AS266">
        <f t="shared" si="17"/>
        <v>4871</v>
      </c>
      <c r="AT266" cm="1">
        <f t="array" ref="AT266">_xlfn._xlws.FILTER(Table8[[Day Total]:[Day Total]],(MONTH(Table8[[Date]:[Date]])=$AM266)*(DAY(Table8[[Date]:[Date]])=$AN266)*(YEAR(Table8[[Date]:[Date]])=AT$1),0)</f>
        <v>0</v>
      </c>
      <c r="AU266">
        <f t="shared" ref="AU266:AU329" si="20">AU265+AT266</f>
        <v>1134</v>
      </c>
      <c r="AV266" cm="1">
        <f t="array" ref="AV266">_xlfn._xlws.FILTER(Table8[[Day Total]:[Day Total]],(MONTH(Table8[[Date]:[Date]])=$AM266)*(DAY(Table8[[Date]:[Date]])=$AN266)*(YEAR(Table8[[Date]:[Date]])=AV$1),0)</f>
        <v>0</v>
      </c>
      <c r="AW266">
        <f t="shared" si="19"/>
        <v>2394</v>
      </c>
    </row>
    <row r="267" spans="39:49" x14ac:dyDescent="0.25">
      <c r="AM267">
        <v>9</v>
      </c>
      <c r="AN267">
        <v>22</v>
      </c>
      <c r="AO267" t="str">
        <f t="shared" si="18"/>
        <v>9/22</v>
      </c>
      <c r="AP267" cm="1">
        <f t="array" ref="AP267">_xlfn._xlws.FILTER(Table8[[Day Total]:[Day Total]],(MONTH(Table8[[Date]:[Date]])=$AM267)*(DAY(Table8[[Date]:[Date]])=$AN267)*(YEAR(Table8[[Date]:[Date]])=AP$1),0)</f>
        <v>0</v>
      </c>
      <c r="AR267" cm="1">
        <f t="array" ref="AR267">_xlfn._xlws.FILTER(Table8[[Day Total]:[Day Total]],(MONTH(Table8[[Date]:[Date]])=$AM267)*(DAY(Table8[[Date]:[Date]])=$AN267)*(YEAR(Table8[[Date]:[Date]])=AR$1),0)</f>
        <v>0</v>
      </c>
      <c r="AS267">
        <f t="shared" si="17"/>
        <v>4871</v>
      </c>
      <c r="AT267" cm="1">
        <f t="array" ref="AT267">_xlfn._xlws.FILTER(Table8[[Day Total]:[Day Total]],(MONTH(Table8[[Date]:[Date]])=$AM267)*(DAY(Table8[[Date]:[Date]])=$AN267)*(YEAR(Table8[[Date]:[Date]])=AT$1),0)</f>
        <v>0</v>
      </c>
      <c r="AU267">
        <f t="shared" si="20"/>
        <v>1134</v>
      </c>
      <c r="AV267" cm="1">
        <f t="array" ref="AV267">_xlfn._xlws.FILTER(Table8[[Day Total]:[Day Total]],(MONTH(Table8[[Date]:[Date]])=$AM267)*(DAY(Table8[[Date]:[Date]])=$AN267)*(YEAR(Table8[[Date]:[Date]])=AV$1),0)</f>
        <v>103</v>
      </c>
      <c r="AW267">
        <f t="shared" si="19"/>
        <v>2497</v>
      </c>
    </row>
    <row r="268" spans="39:49" x14ac:dyDescent="0.25">
      <c r="AM268">
        <v>9</v>
      </c>
      <c r="AN268">
        <v>23</v>
      </c>
      <c r="AO268" t="str">
        <f t="shared" si="18"/>
        <v>9/23</v>
      </c>
      <c r="AP268" cm="1">
        <f t="array" ref="AP268">_xlfn._xlws.FILTER(Table8[[Day Total]:[Day Total]],(MONTH(Table8[[Date]:[Date]])=$AM268)*(DAY(Table8[[Date]:[Date]])=$AN268)*(YEAR(Table8[[Date]:[Date]])=AP$1),0)</f>
        <v>0</v>
      </c>
      <c r="AR268" cm="1">
        <f t="array" ref="AR268">_xlfn._xlws.FILTER(Table8[[Day Total]:[Day Total]],(MONTH(Table8[[Date]:[Date]])=$AM268)*(DAY(Table8[[Date]:[Date]])=$AN268)*(YEAR(Table8[[Date]:[Date]])=AR$1),0)</f>
        <v>60</v>
      </c>
      <c r="AS268">
        <f t="shared" si="17"/>
        <v>4931</v>
      </c>
      <c r="AT268" cm="1">
        <f t="array" ref="AT268">_xlfn._xlws.FILTER(Table8[[Day Total]:[Day Total]],(MONTH(Table8[[Date]:[Date]])=$AM268)*(DAY(Table8[[Date]:[Date]])=$AN268)*(YEAR(Table8[[Date]:[Date]])=AT$1),0)</f>
        <v>65</v>
      </c>
      <c r="AU268">
        <f t="shared" si="20"/>
        <v>1199</v>
      </c>
      <c r="AV268" cm="1">
        <f t="array" ref="AV268">_xlfn._xlws.FILTER(Table8[[Day Total]:[Day Total]],(MONTH(Table8[[Date]:[Date]])=$AM268)*(DAY(Table8[[Date]:[Date]])=$AN268)*(YEAR(Table8[[Date]:[Date]])=AV$1),0)</f>
        <v>0</v>
      </c>
      <c r="AW268">
        <f t="shared" si="19"/>
        <v>2497</v>
      </c>
    </row>
    <row r="269" spans="39:49" x14ac:dyDescent="0.25">
      <c r="AM269">
        <v>9</v>
      </c>
      <c r="AN269">
        <v>24</v>
      </c>
      <c r="AO269" t="str">
        <f t="shared" si="18"/>
        <v>9/24</v>
      </c>
      <c r="AP269" cm="1">
        <f t="array" ref="AP269">_xlfn._xlws.FILTER(Table8[[Day Total]:[Day Total]],(MONTH(Table8[[Date]:[Date]])=$AM269)*(DAY(Table8[[Date]:[Date]])=$AN269)*(YEAR(Table8[[Date]:[Date]])=AP$1),0)</f>
        <v>0</v>
      </c>
      <c r="AR269" cm="1">
        <f t="array" ref="AR269">_xlfn._xlws.FILTER(Table8[[Day Total]:[Day Total]],(MONTH(Table8[[Date]:[Date]])=$AM269)*(DAY(Table8[[Date]:[Date]])=$AN269)*(YEAR(Table8[[Date]:[Date]])=AR$1),0)</f>
        <v>10</v>
      </c>
      <c r="AS269">
        <f t="shared" si="17"/>
        <v>4941</v>
      </c>
      <c r="AT269" cm="1">
        <f t="array" ref="AT269">_xlfn._xlws.FILTER(Table8[[Day Total]:[Day Total]],(MONTH(Table8[[Date]:[Date]])=$AM269)*(DAY(Table8[[Date]:[Date]])=$AN269)*(YEAR(Table8[[Date]:[Date]])=AT$1),0)</f>
        <v>86</v>
      </c>
      <c r="AU269">
        <f t="shared" si="20"/>
        <v>1285</v>
      </c>
      <c r="AV269" cm="1">
        <f t="array" ref="AV269">_xlfn._xlws.FILTER(Table8[[Day Total]:[Day Total]],(MONTH(Table8[[Date]:[Date]])=$AM269)*(DAY(Table8[[Date]:[Date]])=$AN269)*(YEAR(Table8[[Date]:[Date]])=AV$1),0)</f>
        <v>0</v>
      </c>
      <c r="AW269">
        <f t="shared" si="19"/>
        <v>2497</v>
      </c>
    </row>
    <row r="270" spans="39:49" x14ac:dyDescent="0.25">
      <c r="AM270">
        <v>9</v>
      </c>
      <c r="AN270">
        <v>25</v>
      </c>
      <c r="AO270" t="str">
        <f t="shared" si="18"/>
        <v>9/25</v>
      </c>
      <c r="AP270" cm="1">
        <f t="array" ref="AP270">_xlfn._xlws.FILTER(Table8[[Day Total]:[Day Total]],(MONTH(Table8[[Date]:[Date]])=$AM270)*(DAY(Table8[[Date]:[Date]])=$AN270)*(YEAR(Table8[[Date]:[Date]])=AP$1),0)</f>
        <v>0</v>
      </c>
      <c r="AR270" cm="1">
        <f t="array" ref="AR270">_xlfn._xlws.FILTER(Table8[[Day Total]:[Day Total]],(MONTH(Table8[[Date]:[Date]])=$AM270)*(DAY(Table8[[Date]:[Date]])=$AN270)*(YEAR(Table8[[Date]:[Date]])=AR$1),0)</f>
        <v>48</v>
      </c>
      <c r="AS270">
        <f t="shared" si="17"/>
        <v>4989</v>
      </c>
      <c r="AT270" cm="1">
        <f t="array" ref="AT270">_xlfn._xlws.FILTER(Table8[[Day Total]:[Day Total]],(MONTH(Table8[[Date]:[Date]])=$AM270)*(DAY(Table8[[Date]:[Date]])=$AN270)*(YEAR(Table8[[Date]:[Date]])=AT$1),0)</f>
        <v>37</v>
      </c>
      <c r="AU270">
        <f t="shared" si="20"/>
        <v>1322</v>
      </c>
      <c r="AV270" cm="1">
        <f t="array" ref="AV270">_xlfn._xlws.FILTER(Table8[[Day Total]:[Day Total]],(MONTH(Table8[[Date]:[Date]])=$AM270)*(DAY(Table8[[Date]:[Date]])=$AN270)*(YEAR(Table8[[Date]:[Date]])=AV$1),0)</f>
        <v>0</v>
      </c>
      <c r="AW270">
        <f t="shared" si="19"/>
        <v>2497</v>
      </c>
    </row>
    <row r="271" spans="39:49" x14ac:dyDescent="0.25">
      <c r="AM271">
        <v>9</v>
      </c>
      <c r="AN271">
        <v>26</v>
      </c>
      <c r="AO271" t="str">
        <f t="shared" si="18"/>
        <v>9/26</v>
      </c>
      <c r="AP271" cm="1">
        <f t="array" ref="AP271">_xlfn._xlws.FILTER(Table8[[Day Total]:[Day Total]],(MONTH(Table8[[Date]:[Date]])=$AM271)*(DAY(Table8[[Date]:[Date]])=$AN271)*(YEAR(Table8[[Date]:[Date]])=AP$1),0)</f>
        <v>0</v>
      </c>
      <c r="AR271" cm="1">
        <f t="array" ref="AR271">_xlfn._xlws.FILTER(Table8[[Day Total]:[Day Total]],(MONTH(Table8[[Date]:[Date]])=$AM271)*(DAY(Table8[[Date]:[Date]])=$AN271)*(YEAR(Table8[[Date]:[Date]])=AR$1),0)</f>
        <v>0</v>
      </c>
      <c r="AS271">
        <f t="shared" si="17"/>
        <v>4989</v>
      </c>
      <c r="AT271" cm="1">
        <f t="array" ref="AT271">_xlfn._xlws.FILTER(Table8[[Day Total]:[Day Total]],(MONTH(Table8[[Date]:[Date]])=$AM271)*(DAY(Table8[[Date]:[Date]])=$AN271)*(YEAR(Table8[[Date]:[Date]])=AT$1),0)</f>
        <v>21</v>
      </c>
      <c r="AU271">
        <f t="shared" si="20"/>
        <v>1343</v>
      </c>
      <c r="AV271" cm="1">
        <f t="array" ref="AV271">_xlfn._xlws.FILTER(Table8[[Day Total]:[Day Total]],(MONTH(Table8[[Date]:[Date]])=$AM271)*(DAY(Table8[[Date]:[Date]])=$AN271)*(YEAR(Table8[[Date]:[Date]])=AV$1),0)</f>
        <v>0</v>
      </c>
      <c r="AW271">
        <f t="shared" si="19"/>
        <v>2497</v>
      </c>
    </row>
    <row r="272" spans="39:49" x14ac:dyDescent="0.25">
      <c r="AM272">
        <v>9</v>
      </c>
      <c r="AN272">
        <v>27</v>
      </c>
      <c r="AO272" t="str">
        <f t="shared" si="18"/>
        <v>9/27</v>
      </c>
      <c r="AP272" cm="1">
        <f t="array" ref="AP272">_xlfn._xlws.FILTER(Table8[[Day Total]:[Day Total]],(MONTH(Table8[[Date]:[Date]])=$AM272)*(DAY(Table8[[Date]:[Date]])=$AN272)*(YEAR(Table8[[Date]:[Date]])=AP$1),0)</f>
        <v>0</v>
      </c>
      <c r="AR272" cm="1">
        <f t="array" ref="AR272">_xlfn._xlws.FILTER(Table8[[Day Total]:[Day Total]],(MONTH(Table8[[Date]:[Date]])=$AM272)*(DAY(Table8[[Date]:[Date]])=$AN272)*(YEAR(Table8[[Date]:[Date]])=AR$1),0)</f>
        <v>0</v>
      </c>
      <c r="AS272">
        <f t="shared" si="17"/>
        <v>4989</v>
      </c>
      <c r="AT272" cm="1">
        <f t="array" ref="AT272">_xlfn._xlws.FILTER(Table8[[Day Total]:[Day Total]],(MONTH(Table8[[Date]:[Date]])=$AM272)*(DAY(Table8[[Date]:[Date]])=$AN272)*(YEAR(Table8[[Date]:[Date]])=AT$1),0)</f>
        <v>0</v>
      </c>
      <c r="AU272">
        <f t="shared" si="20"/>
        <v>1343</v>
      </c>
      <c r="AV272" cm="1">
        <f t="array" ref="AV272">_xlfn._xlws.FILTER(Table8[[Day Total]:[Day Total]],(MONTH(Table8[[Date]:[Date]])=$AM272)*(DAY(Table8[[Date]:[Date]])=$AN272)*(YEAR(Table8[[Date]:[Date]])=AV$1),0)</f>
        <v>0</v>
      </c>
      <c r="AW272">
        <f t="shared" si="19"/>
        <v>2497</v>
      </c>
    </row>
    <row r="273" spans="38:49" x14ac:dyDescent="0.25">
      <c r="AM273">
        <v>9</v>
      </c>
      <c r="AN273">
        <v>28</v>
      </c>
      <c r="AO273" t="str">
        <f t="shared" si="18"/>
        <v>9/28</v>
      </c>
      <c r="AP273" cm="1">
        <f t="array" ref="AP273">_xlfn._xlws.FILTER(Table8[[Day Total]:[Day Total]],(MONTH(Table8[[Date]:[Date]])=$AM273)*(DAY(Table8[[Date]:[Date]])=$AN273)*(YEAR(Table8[[Date]:[Date]])=AP$1),0)</f>
        <v>0</v>
      </c>
      <c r="AR273" cm="1">
        <f t="array" ref="AR273">_xlfn._xlws.FILTER(Table8[[Day Total]:[Day Total]],(MONTH(Table8[[Date]:[Date]])=$AM273)*(DAY(Table8[[Date]:[Date]])=$AN273)*(YEAR(Table8[[Date]:[Date]])=AR$1),0)</f>
        <v>0</v>
      </c>
      <c r="AS273">
        <f t="shared" si="17"/>
        <v>4989</v>
      </c>
      <c r="AT273" cm="1">
        <f t="array" ref="AT273">_xlfn._xlws.FILTER(Table8[[Day Total]:[Day Total]],(MONTH(Table8[[Date]:[Date]])=$AM273)*(DAY(Table8[[Date]:[Date]])=$AN273)*(YEAR(Table8[[Date]:[Date]])=AT$1),0)</f>
        <v>0</v>
      </c>
      <c r="AU273">
        <f t="shared" si="20"/>
        <v>1343</v>
      </c>
      <c r="AV273" cm="1">
        <f t="array" ref="AV273">_xlfn._xlws.FILTER(Table8[[Day Total]:[Day Total]],(MONTH(Table8[[Date]:[Date]])=$AM273)*(DAY(Table8[[Date]:[Date]])=$AN273)*(YEAR(Table8[[Date]:[Date]])=AV$1),0)</f>
        <v>0</v>
      </c>
      <c r="AW273">
        <f t="shared" si="19"/>
        <v>2497</v>
      </c>
    </row>
    <row r="274" spans="38:49" x14ac:dyDescent="0.25">
      <c r="AM274">
        <v>9</v>
      </c>
      <c r="AN274">
        <v>29</v>
      </c>
      <c r="AO274" t="str">
        <f t="shared" si="18"/>
        <v>9/29</v>
      </c>
      <c r="AP274" cm="1">
        <f t="array" ref="AP274">_xlfn._xlws.FILTER(Table8[[Day Total]:[Day Total]],(MONTH(Table8[[Date]:[Date]])=$AM274)*(DAY(Table8[[Date]:[Date]])=$AN274)*(YEAR(Table8[[Date]:[Date]])=AP$1),0)</f>
        <v>0</v>
      </c>
      <c r="AR274" cm="1">
        <f t="array" ref="AR274">_xlfn._xlws.FILTER(Table8[[Day Total]:[Day Total]],(MONTH(Table8[[Date]:[Date]])=$AM274)*(DAY(Table8[[Date]:[Date]])=$AN274)*(YEAR(Table8[[Date]:[Date]])=AR$1),0)</f>
        <v>0</v>
      </c>
      <c r="AS274">
        <f t="shared" si="17"/>
        <v>4989</v>
      </c>
      <c r="AT274" cm="1">
        <f t="array" ref="AT274">_xlfn._xlws.FILTER(Table8[[Day Total]:[Day Total]],(MONTH(Table8[[Date]:[Date]])=$AM274)*(DAY(Table8[[Date]:[Date]])=$AN274)*(YEAR(Table8[[Date]:[Date]])=AT$1),0)</f>
        <v>34</v>
      </c>
      <c r="AU274">
        <f t="shared" si="20"/>
        <v>1377</v>
      </c>
      <c r="AV274" cm="1">
        <f t="array" ref="AV274">_xlfn._xlws.FILTER(Table8[[Day Total]:[Day Total]],(MONTH(Table8[[Date]:[Date]])=$AM274)*(DAY(Table8[[Date]:[Date]])=$AN274)*(YEAR(Table8[[Date]:[Date]])=AV$1),0)</f>
        <v>66</v>
      </c>
      <c r="AW274">
        <f t="shared" si="19"/>
        <v>2563</v>
      </c>
    </row>
    <row r="275" spans="38:49" x14ac:dyDescent="0.25">
      <c r="AM275">
        <v>9</v>
      </c>
      <c r="AN275">
        <v>30</v>
      </c>
      <c r="AO275" t="str">
        <f t="shared" si="18"/>
        <v>9/30</v>
      </c>
      <c r="AP275" cm="1">
        <f t="array" ref="AP275">_xlfn._xlws.FILTER(Table8[[Day Total]:[Day Total]],(MONTH(Table8[[Date]:[Date]])=$AM275)*(DAY(Table8[[Date]:[Date]])=$AN275)*(YEAR(Table8[[Date]:[Date]])=AP$1),0)</f>
        <v>0</v>
      </c>
      <c r="AR275" cm="1">
        <f t="array" ref="AR275">_xlfn._xlws.FILTER(Table8[[Day Total]:[Day Total]],(MONTH(Table8[[Date]:[Date]])=$AM275)*(DAY(Table8[[Date]:[Date]])=$AN275)*(YEAR(Table8[[Date]:[Date]])=AR$1),0)</f>
        <v>0</v>
      </c>
      <c r="AS275">
        <f t="shared" si="17"/>
        <v>4989</v>
      </c>
      <c r="AT275" cm="1">
        <f t="array" ref="AT275">_xlfn._xlws.FILTER(Table8[[Day Total]:[Day Total]],(MONTH(Table8[[Date]:[Date]])=$AM275)*(DAY(Table8[[Date]:[Date]])=$AN275)*(YEAR(Table8[[Date]:[Date]])=AT$1),0)</f>
        <v>0</v>
      </c>
      <c r="AU275">
        <f t="shared" si="20"/>
        <v>1377</v>
      </c>
      <c r="AV275" cm="1">
        <f t="array" ref="AV275">_xlfn._xlws.FILTER(Table8[[Day Total]:[Day Total]],(MONTH(Table8[[Date]:[Date]])=$AM275)*(DAY(Table8[[Date]:[Date]])=$AN275)*(YEAR(Table8[[Date]:[Date]])=AV$1),0)</f>
        <v>39</v>
      </c>
      <c r="AW275">
        <f t="shared" si="19"/>
        <v>2602</v>
      </c>
    </row>
    <row r="276" spans="38:49" x14ac:dyDescent="0.25">
      <c r="AL276" t="s">
        <v>109</v>
      </c>
      <c r="AM276">
        <v>10</v>
      </c>
      <c r="AN276">
        <v>1</v>
      </c>
      <c r="AO276" t="str">
        <f t="shared" si="18"/>
        <v>10/1</v>
      </c>
      <c r="AP276" cm="1">
        <f t="array" ref="AP276">_xlfn._xlws.FILTER(Table8[[Day Total]:[Day Total]],(MONTH(Table8[[Date]:[Date]])=$AM276)*(DAY(Table8[[Date]:[Date]])=$AN276)*(YEAR(Table8[[Date]:[Date]])=AP$1),0)</f>
        <v>0</v>
      </c>
      <c r="AR276" cm="1">
        <f t="array" ref="AR276">_xlfn._xlws.FILTER(Table8[[Day Total]:[Day Total]],(MONTH(Table8[[Date]:[Date]])=$AM276)*(DAY(Table8[[Date]:[Date]])=$AN276)*(YEAR(Table8[[Date]:[Date]])=AR$1),0)</f>
        <v>0</v>
      </c>
      <c r="AS276">
        <f t="shared" si="17"/>
        <v>4989</v>
      </c>
      <c r="AT276" cm="1">
        <f t="array" ref="AT276">_xlfn._xlws.FILTER(Table8[[Day Total]:[Day Total]],(MONTH(Table8[[Date]:[Date]])=$AM276)*(DAY(Table8[[Date]:[Date]])=$AN276)*(YEAR(Table8[[Date]:[Date]])=AT$1),0)</f>
        <v>0</v>
      </c>
      <c r="AU276">
        <f t="shared" si="20"/>
        <v>1377</v>
      </c>
      <c r="AV276" cm="1">
        <f t="array" ref="AV276">_xlfn._xlws.FILTER(Table8[[Day Total]:[Day Total]],(MONTH(Table8[[Date]:[Date]])=$AM276)*(DAY(Table8[[Date]:[Date]])=$AN276)*(YEAR(Table8[[Date]:[Date]])=AV$1),0)</f>
        <v>0</v>
      </c>
      <c r="AW276">
        <f t="shared" si="19"/>
        <v>2602</v>
      </c>
    </row>
    <row r="277" spans="38:49" x14ac:dyDescent="0.25">
      <c r="AM277">
        <v>10</v>
      </c>
      <c r="AN277">
        <v>2</v>
      </c>
      <c r="AO277" t="str">
        <f t="shared" si="18"/>
        <v>10/2</v>
      </c>
      <c r="AP277" cm="1">
        <f t="array" ref="AP277">_xlfn._xlws.FILTER(Table8[[Day Total]:[Day Total]],(MONTH(Table8[[Date]:[Date]])=$AM277)*(DAY(Table8[[Date]:[Date]])=$AN277)*(YEAR(Table8[[Date]:[Date]])=AP$1),0)</f>
        <v>0</v>
      </c>
      <c r="AR277" cm="1">
        <f t="array" ref="AR277">_xlfn._xlws.FILTER(Table8[[Day Total]:[Day Total]],(MONTH(Table8[[Date]:[Date]])=$AM277)*(DAY(Table8[[Date]:[Date]])=$AN277)*(YEAR(Table8[[Date]:[Date]])=AR$1),0)</f>
        <v>74</v>
      </c>
      <c r="AS277">
        <f t="shared" si="17"/>
        <v>5063</v>
      </c>
      <c r="AT277" cm="1">
        <f t="array" ref="AT277">_xlfn._xlws.FILTER(Table8[[Day Total]:[Day Total]],(MONTH(Table8[[Date]:[Date]])=$AM277)*(DAY(Table8[[Date]:[Date]])=$AN277)*(YEAR(Table8[[Date]:[Date]])=AT$1),0)</f>
        <v>0</v>
      </c>
      <c r="AU277">
        <f t="shared" si="20"/>
        <v>1377</v>
      </c>
      <c r="AV277" cm="1">
        <f t="array" ref="AV277">_xlfn._xlws.FILTER(Table8[[Day Total]:[Day Total]],(MONTH(Table8[[Date]:[Date]])=$AM277)*(DAY(Table8[[Date]:[Date]])=$AN277)*(YEAR(Table8[[Date]:[Date]])=AV$1),0)</f>
        <v>0</v>
      </c>
      <c r="AW277">
        <f t="shared" si="19"/>
        <v>2602</v>
      </c>
    </row>
    <row r="278" spans="38:49" x14ac:dyDescent="0.25">
      <c r="AM278">
        <v>10</v>
      </c>
      <c r="AN278">
        <v>3</v>
      </c>
      <c r="AO278" t="str">
        <f t="shared" si="18"/>
        <v>10/3</v>
      </c>
      <c r="AP278" cm="1">
        <f t="array" ref="AP278">_xlfn._xlws.FILTER(Table8[[Day Total]:[Day Total]],(MONTH(Table8[[Date]:[Date]])=$AM278)*(DAY(Table8[[Date]:[Date]])=$AN278)*(YEAR(Table8[[Date]:[Date]])=AP$1),0)</f>
        <v>0</v>
      </c>
      <c r="AR278" cm="1">
        <f t="array" ref="AR278">_xlfn._xlws.FILTER(Table8[[Day Total]:[Day Total]],(MONTH(Table8[[Date]:[Date]])=$AM278)*(DAY(Table8[[Date]:[Date]])=$AN278)*(YEAR(Table8[[Date]:[Date]])=AR$1),0)</f>
        <v>148</v>
      </c>
      <c r="AS278">
        <f t="shared" si="17"/>
        <v>5211</v>
      </c>
      <c r="AT278" cm="1">
        <f t="array" ref="AT278">_xlfn._xlws.FILTER(Table8[[Day Total]:[Day Total]],(MONTH(Table8[[Date]:[Date]])=$AM278)*(DAY(Table8[[Date]:[Date]])=$AN278)*(YEAR(Table8[[Date]:[Date]])=AT$1),0)</f>
        <v>0</v>
      </c>
      <c r="AU278">
        <f t="shared" si="20"/>
        <v>1377</v>
      </c>
      <c r="AV278" cm="1">
        <f t="array" ref="AV278">_xlfn._xlws.FILTER(Table8[[Day Total]:[Day Total]],(MONTH(Table8[[Date]:[Date]])=$AM278)*(DAY(Table8[[Date]:[Date]])=$AN278)*(YEAR(Table8[[Date]:[Date]])=AV$1),0)</f>
        <v>0</v>
      </c>
      <c r="AW278">
        <f t="shared" si="19"/>
        <v>2602</v>
      </c>
    </row>
    <row r="279" spans="38:49" x14ac:dyDescent="0.25">
      <c r="AM279">
        <v>10</v>
      </c>
      <c r="AN279">
        <v>4</v>
      </c>
      <c r="AO279" t="str">
        <f t="shared" si="18"/>
        <v>10/4</v>
      </c>
      <c r="AP279" cm="1">
        <f t="array" ref="AP279">_xlfn._xlws.FILTER(Table8[[Day Total]:[Day Total]],(MONTH(Table8[[Date]:[Date]])=$AM279)*(DAY(Table8[[Date]:[Date]])=$AN279)*(YEAR(Table8[[Date]:[Date]])=AP$1),0)</f>
        <v>0</v>
      </c>
      <c r="AR279" cm="1">
        <f t="array" ref="AR279">_xlfn._xlws.FILTER(Table8[[Day Total]:[Day Total]],(MONTH(Table8[[Date]:[Date]])=$AM279)*(DAY(Table8[[Date]:[Date]])=$AN279)*(YEAR(Table8[[Date]:[Date]])=AR$1),0)</f>
        <v>4</v>
      </c>
      <c r="AS279">
        <f t="shared" si="17"/>
        <v>5215</v>
      </c>
      <c r="AT279" cm="1">
        <f t="array" ref="AT279">_xlfn._xlws.FILTER(Table8[[Day Total]:[Day Total]],(MONTH(Table8[[Date]:[Date]])=$AM279)*(DAY(Table8[[Date]:[Date]])=$AN279)*(YEAR(Table8[[Date]:[Date]])=AT$1),0)</f>
        <v>0</v>
      </c>
      <c r="AU279">
        <f t="shared" si="20"/>
        <v>1377</v>
      </c>
      <c r="AV279" cm="1">
        <f t="array" ref="AV279">_xlfn._xlws.FILTER(Table8[[Day Total]:[Day Total]],(MONTH(Table8[[Date]:[Date]])=$AM279)*(DAY(Table8[[Date]:[Date]])=$AN279)*(YEAR(Table8[[Date]:[Date]])=AV$1),0)</f>
        <v>107</v>
      </c>
      <c r="AW279">
        <f t="shared" si="19"/>
        <v>2709</v>
      </c>
    </row>
    <row r="280" spans="38:49" x14ac:dyDescent="0.25">
      <c r="AM280">
        <v>10</v>
      </c>
      <c r="AN280">
        <v>5</v>
      </c>
      <c r="AO280" t="str">
        <f t="shared" si="18"/>
        <v>10/5</v>
      </c>
      <c r="AP280" cm="1">
        <f t="array" ref="AP280">_xlfn._xlws.FILTER(Table8[[Day Total]:[Day Total]],(MONTH(Table8[[Date]:[Date]])=$AM280)*(DAY(Table8[[Date]:[Date]])=$AN280)*(YEAR(Table8[[Date]:[Date]])=AP$1),0)</f>
        <v>0</v>
      </c>
      <c r="AR280" cm="1">
        <f t="array" ref="AR280">_xlfn._xlws.FILTER(Table8[[Day Total]:[Day Total]],(MONTH(Table8[[Date]:[Date]])=$AM280)*(DAY(Table8[[Date]:[Date]])=$AN280)*(YEAR(Table8[[Date]:[Date]])=AR$1),0)</f>
        <v>24</v>
      </c>
      <c r="AS280">
        <f t="shared" si="17"/>
        <v>5239</v>
      </c>
      <c r="AT280" cm="1">
        <f t="array" ref="AT280">_xlfn._xlws.FILTER(Table8[[Day Total]:[Day Total]],(MONTH(Table8[[Date]:[Date]])=$AM280)*(DAY(Table8[[Date]:[Date]])=$AN280)*(YEAR(Table8[[Date]:[Date]])=AT$1),0)</f>
        <v>0</v>
      </c>
      <c r="AU280">
        <f t="shared" si="20"/>
        <v>1377</v>
      </c>
      <c r="AV280" cm="1">
        <f t="array" ref="AV280">_xlfn._xlws.FILTER(Table8[[Day Total]:[Day Total]],(MONTH(Table8[[Date]:[Date]])=$AM280)*(DAY(Table8[[Date]:[Date]])=$AN280)*(YEAR(Table8[[Date]:[Date]])=AV$1),0)</f>
        <v>0</v>
      </c>
      <c r="AW280">
        <f t="shared" si="19"/>
        <v>2709</v>
      </c>
    </row>
    <row r="281" spans="38:49" x14ac:dyDescent="0.25">
      <c r="AM281">
        <v>10</v>
      </c>
      <c r="AN281">
        <v>6</v>
      </c>
      <c r="AO281" t="str">
        <f t="shared" si="18"/>
        <v>10/6</v>
      </c>
      <c r="AP281" cm="1">
        <f t="array" ref="AP281">_xlfn._xlws.FILTER(Table8[[Day Total]:[Day Total]],(MONTH(Table8[[Date]:[Date]])=$AM281)*(DAY(Table8[[Date]:[Date]])=$AN281)*(YEAR(Table8[[Date]:[Date]])=AP$1),0)</f>
        <v>0</v>
      </c>
      <c r="AR281" cm="1">
        <f t="array" ref="AR281">_xlfn._xlws.FILTER(Table8[[Day Total]:[Day Total]],(MONTH(Table8[[Date]:[Date]])=$AM281)*(DAY(Table8[[Date]:[Date]])=$AN281)*(YEAR(Table8[[Date]:[Date]])=AR$1),0)</f>
        <v>69</v>
      </c>
      <c r="AS281">
        <f t="shared" si="17"/>
        <v>5308</v>
      </c>
      <c r="AT281" cm="1">
        <f t="array" ref="AT281">_xlfn._xlws.FILTER(Table8[[Day Total]:[Day Total]],(MONTH(Table8[[Date]:[Date]])=$AM281)*(DAY(Table8[[Date]:[Date]])=$AN281)*(YEAR(Table8[[Date]:[Date]])=AT$1),0)</f>
        <v>0</v>
      </c>
      <c r="AU281">
        <f t="shared" si="20"/>
        <v>1377</v>
      </c>
      <c r="AV281" cm="1">
        <f t="array" ref="AV281">_xlfn._xlws.FILTER(Table8[[Day Total]:[Day Total]],(MONTH(Table8[[Date]:[Date]])=$AM281)*(DAY(Table8[[Date]:[Date]])=$AN281)*(YEAR(Table8[[Date]:[Date]])=AV$1),0)</f>
        <v>0</v>
      </c>
      <c r="AW281">
        <f t="shared" si="19"/>
        <v>2709</v>
      </c>
    </row>
    <row r="282" spans="38:49" x14ac:dyDescent="0.25">
      <c r="AM282">
        <v>10</v>
      </c>
      <c r="AN282">
        <v>7</v>
      </c>
      <c r="AO282" t="str">
        <f t="shared" si="18"/>
        <v>10/7</v>
      </c>
      <c r="AP282" cm="1">
        <f t="array" ref="AP282">_xlfn._xlws.FILTER(Table8[[Day Total]:[Day Total]],(MONTH(Table8[[Date]:[Date]])=$AM282)*(DAY(Table8[[Date]:[Date]])=$AN282)*(YEAR(Table8[[Date]:[Date]])=AP$1),0)</f>
        <v>0</v>
      </c>
      <c r="AR282" cm="1">
        <f t="array" ref="AR282">_xlfn._xlws.FILTER(Table8[[Day Total]:[Day Total]],(MONTH(Table8[[Date]:[Date]])=$AM282)*(DAY(Table8[[Date]:[Date]])=$AN282)*(YEAR(Table8[[Date]:[Date]])=AR$1),0)</f>
        <v>17</v>
      </c>
      <c r="AS282">
        <f t="shared" si="17"/>
        <v>5325</v>
      </c>
      <c r="AT282" cm="1">
        <f t="array" ref="AT282">_xlfn._xlws.FILTER(Table8[[Day Total]:[Day Total]],(MONTH(Table8[[Date]:[Date]])=$AM282)*(DAY(Table8[[Date]:[Date]])=$AN282)*(YEAR(Table8[[Date]:[Date]])=AT$1),0)</f>
        <v>0</v>
      </c>
      <c r="AU282">
        <f t="shared" si="20"/>
        <v>1377</v>
      </c>
      <c r="AV282" cm="1">
        <f t="array" ref="AV282">_xlfn._xlws.FILTER(Table8[[Day Total]:[Day Total]],(MONTH(Table8[[Date]:[Date]])=$AM282)*(DAY(Table8[[Date]:[Date]])=$AN282)*(YEAR(Table8[[Date]:[Date]])=AV$1),0)</f>
        <v>0</v>
      </c>
      <c r="AW282">
        <f t="shared" si="19"/>
        <v>2709</v>
      </c>
    </row>
    <row r="283" spans="38:49" x14ac:dyDescent="0.25">
      <c r="AM283">
        <v>10</v>
      </c>
      <c r="AN283">
        <v>8</v>
      </c>
      <c r="AO283" t="str">
        <f t="shared" si="18"/>
        <v>10/8</v>
      </c>
      <c r="AP283" cm="1">
        <f t="array" ref="AP283">_xlfn._xlws.FILTER(Table8[[Day Total]:[Day Total]],(MONTH(Table8[[Date]:[Date]])=$AM283)*(DAY(Table8[[Date]:[Date]])=$AN283)*(YEAR(Table8[[Date]:[Date]])=AP$1),0)</f>
        <v>0</v>
      </c>
      <c r="AR283" cm="1">
        <f t="array" ref="AR283">_xlfn._xlws.FILTER(Table8[[Day Total]:[Day Total]],(MONTH(Table8[[Date]:[Date]])=$AM283)*(DAY(Table8[[Date]:[Date]])=$AN283)*(YEAR(Table8[[Date]:[Date]])=AR$1),0)</f>
        <v>27</v>
      </c>
      <c r="AS283">
        <f t="shared" si="17"/>
        <v>5352</v>
      </c>
      <c r="AT283" cm="1">
        <f t="array" ref="AT283">_xlfn._xlws.FILTER(Table8[[Day Total]:[Day Total]],(MONTH(Table8[[Date]:[Date]])=$AM283)*(DAY(Table8[[Date]:[Date]])=$AN283)*(YEAR(Table8[[Date]:[Date]])=AT$1),0)</f>
        <v>0</v>
      </c>
      <c r="AU283">
        <f t="shared" si="20"/>
        <v>1377</v>
      </c>
      <c r="AV283" cm="1">
        <f t="array" ref="AV283">_xlfn._xlws.FILTER(Table8[[Day Total]:[Day Total]],(MONTH(Table8[[Date]:[Date]])=$AM283)*(DAY(Table8[[Date]:[Date]])=$AN283)*(YEAR(Table8[[Date]:[Date]])=AV$1),0)</f>
        <v>0</v>
      </c>
      <c r="AW283">
        <f t="shared" si="19"/>
        <v>2709</v>
      </c>
    </row>
    <row r="284" spans="38:49" x14ac:dyDescent="0.25">
      <c r="AM284">
        <v>10</v>
      </c>
      <c r="AN284">
        <v>9</v>
      </c>
      <c r="AO284" t="str">
        <f t="shared" si="18"/>
        <v>10/9</v>
      </c>
      <c r="AP284" cm="1">
        <f t="array" ref="AP284">_xlfn._xlws.FILTER(Table8[[Day Total]:[Day Total]],(MONTH(Table8[[Date]:[Date]])=$AM284)*(DAY(Table8[[Date]:[Date]])=$AN284)*(YEAR(Table8[[Date]:[Date]])=AP$1),0)</f>
        <v>0</v>
      </c>
      <c r="AR284" cm="1">
        <f t="array" ref="AR284">_xlfn._xlws.FILTER(Table8[[Day Total]:[Day Total]],(MONTH(Table8[[Date]:[Date]])=$AM284)*(DAY(Table8[[Date]:[Date]])=$AN284)*(YEAR(Table8[[Date]:[Date]])=AR$1),0)</f>
        <v>51</v>
      </c>
      <c r="AS284">
        <f t="shared" si="17"/>
        <v>5403</v>
      </c>
      <c r="AT284" cm="1">
        <f t="array" ref="AT284">_xlfn._xlws.FILTER(Table8[[Day Total]:[Day Total]],(MONTH(Table8[[Date]:[Date]])=$AM284)*(DAY(Table8[[Date]:[Date]])=$AN284)*(YEAR(Table8[[Date]:[Date]])=AT$1),0)</f>
        <v>0</v>
      </c>
      <c r="AU284">
        <f t="shared" si="20"/>
        <v>1377</v>
      </c>
      <c r="AV284" cm="1">
        <f t="array" ref="AV284">_xlfn._xlws.FILTER(Table8[[Day Total]:[Day Total]],(MONTH(Table8[[Date]:[Date]])=$AM284)*(DAY(Table8[[Date]:[Date]])=$AN284)*(YEAR(Table8[[Date]:[Date]])=AV$1),0)</f>
        <v>0</v>
      </c>
      <c r="AW284">
        <f t="shared" si="19"/>
        <v>2709</v>
      </c>
    </row>
    <row r="285" spans="38:49" x14ac:dyDescent="0.25">
      <c r="AM285">
        <v>10</v>
      </c>
      <c r="AN285">
        <v>10</v>
      </c>
      <c r="AO285" t="str">
        <f t="shared" si="18"/>
        <v>10/10</v>
      </c>
      <c r="AP285" cm="1">
        <f t="array" ref="AP285">_xlfn._xlws.FILTER(Table8[[Day Total]:[Day Total]],(MONTH(Table8[[Date]:[Date]])=$AM285)*(DAY(Table8[[Date]:[Date]])=$AN285)*(YEAR(Table8[[Date]:[Date]])=AP$1),0)</f>
        <v>0</v>
      </c>
      <c r="AR285" cm="1">
        <f t="array" ref="AR285">_xlfn._xlws.FILTER(Table8[[Day Total]:[Day Total]],(MONTH(Table8[[Date]:[Date]])=$AM285)*(DAY(Table8[[Date]:[Date]])=$AN285)*(YEAR(Table8[[Date]:[Date]])=AR$1),0)</f>
        <v>0</v>
      </c>
      <c r="AS285">
        <f t="shared" si="17"/>
        <v>5403</v>
      </c>
      <c r="AT285" cm="1">
        <f t="array" ref="AT285">_xlfn._xlws.FILTER(Table8[[Day Total]:[Day Total]],(MONTH(Table8[[Date]:[Date]])=$AM285)*(DAY(Table8[[Date]:[Date]])=$AN285)*(YEAR(Table8[[Date]:[Date]])=AT$1),0)</f>
        <v>0</v>
      </c>
      <c r="AU285">
        <f t="shared" si="20"/>
        <v>1377</v>
      </c>
      <c r="AV285" cm="1">
        <f t="array" ref="AV285">_xlfn._xlws.FILTER(Table8[[Day Total]:[Day Total]],(MONTH(Table8[[Date]:[Date]])=$AM285)*(DAY(Table8[[Date]:[Date]])=$AN285)*(YEAR(Table8[[Date]:[Date]])=AV$1),0)</f>
        <v>0</v>
      </c>
      <c r="AW285">
        <f t="shared" si="19"/>
        <v>2709</v>
      </c>
    </row>
    <row r="286" spans="38:49" x14ac:dyDescent="0.25">
      <c r="AM286">
        <v>10</v>
      </c>
      <c r="AN286">
        <v>11</v>
      </c>
      <c r="AO286" t="str">
        <f t="shared" si="18"/>
        <v>10/11</v>
      </c>
      <c r="AP286" cm="1">
        <f t="array" ref="AP286">_xlfn._xlws.FILTER(Table8[[Day Total]:[Day Total]],(MONTH(Table8[[Date]:[Date]])=$AM286)*(DAY(Table8[[Date]:[Date]])=$AN286)*(YEAR(Table8[[Date]:[Date]])=AP$1),0)</f>
        <v>0</v>
      </c>
      <c r="AQ286">
        <f t="shared" ref="AQ286:AQ317" si="21">AQ285+AP286</f>
        <v>0</v>
      </c>
      <c r="AR286" cm="1">
        <f t="array" ref="AR286">_xlfn._xlws.FILTER(Table8[[Day Total]:[Day Total]],(MONTH(Table8[[Date]:[Date]])=$AM286)*(DAY(Table8[[Date]:[Date]])=$AN286)*(YEAR(Table8[[Date]:[Date]])=AR$1),0)</f>
        <v>37</v>
      </c>
      <c r="AS286">
        <f t="shared" si="17"/>
        <v>5440</v>
      </c>
      <c r="AT286" cm="1">
        <f t="array" ref="AT286">_xlfn._xlws.FILTER(Table8[[Day Total]:[Day Total]],(MONTH(Table8[[Date]:[Date]])=$AM286)*(DAY(Table8[[Date]:[Date]])=$AN286)*(YEAR(Table8[[Date]:[Date]])=AT$1),0)</f>
        <v>0</v>
      </c>
      <c r="AU286">
        <f t="shared" si="20"/>
        <v>1377</v>
      </c>
      <c r="AV286" cm="1">
        <f t="array" ref="AV286">_xlfn._xlws.FILTER(Table8[[Day Total]:[Day Total]],(MONTH(Table8[[Date]:[Date]])=$AM286)*(DAY(Table8[[Date]:[Date]])=$AN286)*(YEAR(Table8[[Date]:[Date]])=AV$1),0)</f>
        <v>0</v>
      </c>
      <c r="AW286">
        <f t="shared" si="19"/>
        <v>2709</v>
      </c>
    </row>
    <row r="287" spans="38:49" x14ac:dyDescent="0.25">
      <c r="AM287">
        <v>10</v>
      </c>
      <c r="AN287">
        <v>12</v>
      </c>
      <c r="AO287" t="str">
        <f t="shared" si="18"/>
        <v>10/12</v>
      </c>
      <c r="AP287" cm="1">
        <f t="array" ref="AP287">_xlfn._xlws.FILTER(Table8[[Day Total]:[Day Total]],(MONTH(Table8[[Date]:[Date]])=$AM287)*(DAY(Table8[[Date]:[Date]])=$AN287)*(YEAR(Table8[[Date]:[Date]])=AP$1),0)</f>
        <v>129</v>
      </c>
      <c r="AQ287">
        <f t="shared" si="21"/>
        <v>129</v>
      </c>
      <c r="AR287" cm="1">
        <f t="array" ref="AR287">_xlfn._xlws.FILTER(Table8[[Day Total]:[Day Total]],(MONTH(Table8[[Date]:[Date]])=$AM287)*(DAY(Table8[[Date]:[Date]])=$AN287)*(YEAR(Table8[[Date]:[Date]])=AR$1),0)</f>
        <v>0</v>
      </c>
      <c r="AS287">
        <f t="shared" si="17"/>
        <v>5440</v>
      </c>
      <c r="AT287" cm="1">
        <f t="array" ref="AT287">_xlfn._xlws.FILTER(Table8[[Day Total]:[Day Total]],(MONTH(Table8[[Date]:[Date]])=$AM287)*(DAY(Table8[[Date]:[Date]])=$AN287)*(YEAR(Table8[[Date]:[Date]])=AT$1),0)</f>
        <v>0</v>
      </c>
      <c r="AU287">
        <f t="shared" si="20"/>
        <v>1377</v>
      </c>
      <c r="AV287" cm="1">
        <f t="array" ref="AV287">_xlfn._xlws.FILTER(Table8[[Day Total]:[Day Total]],(MONTH(Table8[[Date]:[Date]])=$AM287)*(DAY(Table8[[Date]:[Date]])=$AN287)*(YEAR(Table8[[Date]:[Date]])=AV$1),0)</f>
        <v>0</v>
      </c>
      <c r="AW287">
        <f t="shared" si="19"/>
        <v>2709</v>
      </c>
    </row>
    <row r="288" spans="38:49" x14ac:dyDescent="0.25">
      <c r="AM288">
        <v>10</v>
      </c>
      <c r="AN288">
        <v>13</v>
      </c>
      <c r="AO288" t="str">
        <f t="shared" si="18"/>
        <v>10/13</v>
      </c>
      <c r="AP288" cm="1">
        <f t="array" ref="AP288">_xlfn._xlws.FILTER(Table8[[Day Total]:[Day Total]],(MONTH(Table8[[Date]:[Date]])=$AM288)*(DAY(Table8[[Date]:[Date]])=$AN288)*(YEAR(Table8[[Date]:[Date]])=AP$1),0)</f>
        <v>0</v>
      </c>
      <c r="AQ288">
        <f t="shared" si="21"/>
        <v>129</v>
      </c>
      <c r="AR288" cm="1">
        <f t="array" ref="AR288">_xlfn._xlws.FILTER(Table8[[Day Total]:[Day Total]],(MONTH(Table8[[Date]:[Date]])=$AM288)*(DAY(Table8[[Date]:[Date]])=$AN288)*(YEAR(Table8[[Date]:[Date]])=AR$1),0)</f>
        <v>78</v>
      </c>
      <c r="AS288">
        <f t="shared" si="17"/>
        <v>5518</v>
      </c>
      <c r="AT288" cm="1">
        <f t="array" ref="AT288">_xlfn._xlws.FILTER(Table8[[Day Total]:[Day Total]],(MONTH(Table8[[Date]:[Date]])=$AM288)*(DAY(Table8[[Date]:[Date]])=$AN288)*(YEAR(Table8[[Date]:[Date]])=AT$1),0)</f>
        <v>0</v>
      </c>
      <c r="AU288">
        <f t="shared" si="20"/>
        <v>1377</v>
      </c>
      <c r="AV288" cm="1">
        <f t="array" ref="AV288">_xlfn._xlws.FILTER(Table8[[Day Total]:[Day Total]],(MONTH(Table8[[Date]:[Date]])=$AM288)*(DAY(Table8[[Date]:[Date]])=$AN288)*(YEAR(Table8[[Date]:[Date]])=AV$1),0)</f>
        <v>0</v>
      </c>
      <c r="AW288">
        <f t="shared" si="19"/>
        <v>2709</v>
      </c>
    </row>
    <row r="289" spans="39:49" x14ac:dyDescent="0.25">
      <c r="AM289">
        <v>10</v>
      </c>
      <c r="AN289">
        <v>14</v>
      </c>
      <c r="AO289" t="str">
        <f t="shared" si="18"/>
        <v>10/14</v>
      </c>
      <c r="AP289" cm="1">
        <f t="array" ref="AP289">_xlfn._xlws.FILTER(Table8[[Day Total]:[Day Total]],(MONTH(Table8[[Date]:[Date]])=$AM289)*(DAY(Table8[[Date]:[Date]])=$AN289)*(YEAR(Table8[[Date]:[Date]])=AP$1),0)</f>
        <v>0</v>
      </c>
      <c r="AQ289">
        <f t="shared" si="21"/>
        <v>129</v>
      </c>
      <c r="AR289" cm="1">
        <f t="array" ref="AR289">_xlfn._xlws.FILTER(Table8[[Day Total]:[Day Total]],(MONTH(Table8[[Date]:[Date]])=$AM289)*(DAY(Table8[[Date]:[Date]])=$AN289)*(YEAR(Table8[[Date]:[Date]])=AR$1),0)</f>
        <v>1</v>
      </c>
      <c r="AS289">
        <f t="shared" si="17"/>
        <v>5519</v>
      </c>
      <c r="AT289" cm="1">
        <f t="array" ref="AT289">_xlfn._xlws.FILTER(Table8[[Day Total]:[Day Total]],(MONTH(Table8[[Date]:[Date]])=$AM289)*(DAY(Table8[[Date]:[Date]])=$AN289)*(YEAR(Table8[[Date]:[Date]])=AT$1),0)</f>
        <v>0</v>
      </c>
      <c r="AU289">
        <f t="shared" si="20"/>
        <v>1377</v>
      </c>
      <c r="AV289" cm="1">
        <f t="array" ref="AV289">_xlfn._xlws.FILTER(Table8[[Day Total]:[Day Total]],(MONTH(Table8[[Date]:[Date]])=$AM289)*(DAY(Table8[[Date]:[Date]])=$AN289)*(YEAR(Table8[[Date]:[Date]])=AV$1),0)</f>
        <v>0</v>
      </c>
      <c r="AW289">
        <f t="shared" si="19"/>
        <v>2709</v>
      </c>
    </row>
    <row r="290" spans="39:49" x14ac:dyDescent="0.25">
      <c r="AM290">
        <v>10</v>
      </c>
      <c r="AN290">
        <v>15</v>
      </c>
      <c r="AO290" t="str">
        <f t="shared" si="18"/>
        <v>10/15</v>
      </c>
      <c r="AP290" cm="1">
        <f t="array" ref="AP290">_xlfn._xlws.FILTER(Table8[[Day Total]:[Day Total]],(MONTH(Table8[[Date]:[Date]])=$AM290)*(DAY(Table8[[Date]:[Date]])=$AN290)*(YEAR(Table8[[Date]:[Date]])=AP$1),0)</f>
        <v>0</v>
      </c>
      <c r="AQ290">
        <f t="shared" si="21"/>
        <v>129</v>
      </c>
      <c r="AR290" cm="1">
        <f t="array" ref="AR290">_xlfn._xlws.FILTER(Table8[[Day Total]:[Day Total]],(MONTH(Table8[[Date]:[Date]])=$AM290)*(DAY(Table8[[Date]:[Date]])=$AN290)*(YEAR(Table8[[Date]:[Date]])=AR$1),0)</f>
        <v>0</v>
      </c>
      <c r="AS290">
        <f t="shared" si="17"/>
        <v>5519</v>
      </c>
      <c r="AT290" cm="1">
        <f t="array" ref="AT290">_xlfn._xlws.FILTER(Table8[[Day Total]:[Day Total]],(MONTH(Table8[[Date]:[Date]])=$AM290)*(DAY(Table8[[Date]:[Date]])=$AN290)*(YEAR(Table8[[Date]:[Date]])=AT$1),0)</f>
        <v>0</v>
      </c>
      <c r="AU290">
        <f t="shared" si="20"/>
        <v>1377</v>
      </c>
      <c r="AV290" cm="1">
        <f t="array" ref="AV290">_xlfn._xlws.FILTER(Table8[[Day Total]:[Day Total]],(MONTH(Table8[[Date]:[Date]])=$AM290)*(DAY(Table8[[Date]:[Date]])=$AN290)*(YEAR(Table8[[Date]:[Date]])=AV$1),0)</f>
        <v>0</v>
      </c>
      <c r="AW290">
        <f t="shared" si="19"/>
        <v>2709</v>
      </c>
    </row>
    <row r="291" spans="39:49" x14ac:dyDescent="0.25">
      <c r="AM291">
        <v>10</v>
      </c>
      <c r="AN291">
        <v>16</v>
      </c>
      <c r="AO291" t="str">
        <f t="shared" si="18"/>
        <v>10/16</v>
      </c>
      <c r="AP291" cm="1">
        <f t="array" ref="AP291">_xlfn._xlws.FILTER(Table8[[Day Total]:[Day Total]],(MONTH(Table8[[Date]:[Date]])=$AM291)*(DAY(Table8[[Date]:[Date]])=$AN291)*(YEAR(Table8[[Date]:[Date]])=AP$1),0)</f>
        <v>0</v>
      </c>
      <c r="AQ291">
        <f t="shared" si="21"/>
        <v>129</v>
      </c>
      <c r="AR291" cm="1">
        <f t="array" ref="AR291">_xlfn._xlws.FILTER(Table8[[Day Total]:[Day Total]],(MONTH(Table8[[Date]:[Date]])=$AM291)*(DAY(Table8[[Date]:[Date]])=$AN291)*(YEAR(Table8[[Date]:[Date]])=AR$1),0)</f>
        <v>0</v>
      </c>
      <c r="AS291">
        <f t="shared" si="17"/>
        <v>5519</v>
      </c>
      <c r="AT291" cm="1">
        <f t="array" ref="AT291">_xlfn._xlws.FILTER(Table8[[Day Total]:[Day Total]],(MONTH(Table8[[Date]:[Date]])=$AM291)*(DAY(Table8[[Date]:[Date]])=$AN291)*(YEAR(Table8[[Date]:[Date]])=AT$1),0)</f>
        <v>0</v>
      </c>
      <c r="AU291">
        <f t="shared" si="20"/>
        <v>1377</v>
      </c>
      <c r="AV291" cm="1">
        <f t="array" ref="AV291">_xlfn._xlws.FILTER(Table8[[Day Total]:[Day Total]],(MONTH(Table8[[Date]:[Date]])=$AM291)*(DAY(Table8[[Date]:[Date]])=$AN291)*(YEAR(Table8[[Date]:[Date]])=AV$1),0)</f>
        <v>0</v>
      </c>
      <c r="AW291">
        <f t="shared" si="19"/>
        <v>2709</v>
      </c>
    </row>
    <row r="292" spans="39:49" x14ac:dyDescent="0.25">
      <c r="AM292">
        <v>10</v>
      </c>
      <c r="AN292">
        <v>17</v>
      </c>
      <c r="AO292" t="str">
        <f t="shared" si="18"/>
        <v>10/17</v>
      </c>
      <c r="AP292" cm="1">
        <f t="array" ref="AP292">_xlfn._xlws.FILTER(Table8[[Day Total]:[Day Total]],(MONTH(Table8[[Date]:[Date]])=$AM292)*(DAY(Table8[[Date]:[Date]])=$AN292)*(YEAR(Table8[[Date]:[Date]])=AP$1),0)</f>
        <v>34</v>
      </c>
      <c r="AQ292">
        <f t="shared" si="21"/>
        <v>163</v>
      </c>
      <c r="AR292" cm="1">
        <f t="array" ref="AR292">_xlfn._xlws.FILTER(Table8[[Day Total]:[Day Total]],(MONTH(Table8[[Date]:[Date]])=$AM292)*(DAY(Table8[[Date]:[Date]])=$AN292)*(YEAR(Table8[[Date]:[Date]])=AR$1),0)</f>
        <v>0</v>
      </c>
      <c r="AS292">
        <f t="shared" si="17"/>
        <v>5519</v>
      </c>
      <c r="AT292" cm="1">
        <f t="array" ref="AT292">_xlfn._xlws.FILTER(Table8[[Day Total]:[Day Total]],(MONTH(Table8[[Date]:[Date]])=$AM292)*(DAY(Table8[[Date]:[Date]])=$AN292)*(YEAR(Table8[[Date]:[Date]])=AT$1),0)</f>
        <v>0</v>
      </c>
      <c r="AU292">
        <f t="shared" si="20"/>
        <v>1377</v>
      </c>
      <c r="AV292" cm="1">
        <f t="array" ref="AV292">_xlfn._xlws.FILTER(Table8[[Day Total]:[Day Total]],(MONTH(Table8[[Date]:[Date]])=$AM292)*(DAY(Table8[[Date]:[Date]])=$AN292)*(YEAR(Table8[[Date]:[Date]])=AV$1),0)</f>
        <v>0</v>
      </c>
      <c r="AW292">
        <f t="shared" si="19"/>
        <v>2709</v>
      </c>
    </row>
    <row r="293" spans="39:49" x14ac:dyDescent="0.25">
      <c r="AM293">
        <v>10</v>
      </c>
      <c r="AN293">
        <v>18</v>
      </c>
      <c r="AO293" t="str">
        <f t="shared" si="18"/>
        <v>10/18</v>
      </c>
      <c r="AP293" cm="1">
        <f t="array" ref="AP293">_xlfn._xlws.FILTER(Table8[[Day Total]:[Day Total]],(MONTH(Table8[[Date]:[Date]])=$AM293)*(DAY(Table8[[Date]:[Date]])=$AN293)*(YEAR(Table8[[Date]:[Date]])=AP$1),0)</f>
        <v>41</v>
      </c>
      <c r="AQ293">
        <f t="shared" si="21"/>
        <v>204</v>
      </c>
      <c r="AR293" cm="1">
        <f t="array" ref="AR293">_xlfn._xlws.FILTER(Table8[[Day Total]:[Day Total]],(MONTH(Table8[[Date]:[Date]])=$AM293)*(DAY(Table8[[Date]:[Date]])=$AN293)*(YEAR(Table8[[Date]:[Date]])=AR$1),0)</f>
        <v>0</v>
      </c>
      <c r="AS293">
        <f t="shared" si="17"/>
        <v>5519</v>
      </c>
      <c r="AT293" cm="1">
        <f t="array" ref="AT293">_xlfn._xlws.FILTER(Table8[[Day Total]:[Day Total]],(MONTH(Table8[[Date]:[Date]])=$AM293)*(DAY(Table8[[Date]:[Date]])=$AN293)*(YEAR(Table8[[Date]:[Date]])=AT$1),0)</f>
        <v>0</v>
      </c>
      <c r="AU293">
        <f t="shared" si="20"/>
        <v>1377</v>
      </c>
      <c r="AV293" cm="1">
        <f t="array" ref="AV293">_xlfn._xlws.FILTER(Table8[[Day Total]:[Day Total]],(MONTH(Table8[[Date]:[Date]])=$AM293)*(DAY(Table8[[Date]:[Date]])=$AN293)*(YEAR(Table8[[Date]:[Date]])=AV$1),0)</f>
        <v>0</v>
      </c>
      <c r="AW293">
        <f t="shared" si="19"/>
        <v>2709</v>
      </c>
    </row>
    <row r="294" spans="39:49" x14ac:dyDescent="0.25">
      <c r="AM294">
        <v>10</v>
      </c>
      <c r="AN294">
        <v>19</v>
      </c>
      <c r="AO294" t="str">
        <f t="shared" si="18"/>
        <v>10/19</v>
      </c>
      <c r="AP294" cm="1">
        <f t="array" ref="AP294">_xlfn._xlws.FILTER(Table8[[Day Total]:[Day Total]],(MONTH(Table8[[Date]:[Date]])=$AM294)*(DAY(Table8[[Date]:[Date]])=$AN294)*(YEAR(Table8[[Date]:[Date]])=AP$1),0)</f>
        <v>0</v>
      </c>
      <c r="AQ294">
        <f t="shared" si="21"/>
        <v>204</v>
      </c>
      <c r="AR294" cm="1">
        <f t="array" ref="AR294">_xlfn._xlws.FILTER(Table8[[Day Total]:[Day Total]],(MONTH(Table8[[Date]:[Date]])=$AM294)*(DAY(Table8[[Date]:[Date]])=$AN294)*(YEAR(Table8[[Date]:[Date]])=AR$1),0)</f>
        <v>0</v>
      </c>
      <c r="AS294">
        <f t="shared" si="17"/>
        <v>5519</v>
      </c>
      <c r="AT294" cm="1">
        <f t="array" ref="AT294">_xlfn._xlws.FILTER(Table8[[Day Total]:[Day Total]],(MONTH(Table8[[Date]:[Date]])=$AM294)*(DAY(Table8[[Date]:[Date]])=$AN294)*(YEAR(Table8[[Date]:[Date]])=AT$1),0)</f>
        <v>0</v>
      </c>
      <c r="AU294">
        <f t="shared" si="20"/>
        <v>1377</v>
      </c>
      <c r="AV294" cm="1">
        <f t="array" ref="AV294">_xlfn._xlws.FILTER(Table8[[Day Total]:[Day Total]],(MONTH(Table8[[Date]:[Date]])=$AM294)*(DAY(Table8[[Date]:[Date]])=$AN294)*(YEAR(Table8[[Date]:[Date]])=AV$1),0)</f>
        <v>0</v>
      </c>
      <c r="AW294">
        <f t="shared" si="19"/>
        <v>2709</v>
      </c>
    </row>
    <row r="295" spans="39:49" x14ac:dyDescent="0.25">
      <c r="AM295">
        <v>10</v>
      </c>
      <c r="AN295">
        <v>20</v>
      </c>
      <c r="AO295" t="str">
        <f t="shared" si="18"/>
        <v>10/20</v>
      </c>
      <c r="AP295" cm="1">
        <f t="array" ref="AP295">_xlfn._xlws.FILTER(Table8[[Day Total]:[Day Total]],(MONTH(Table8[[Date]:[Date]])=$AM295)*(DAY(Table8[[Date]:[Date]])=$AN295)*(YEAR(Table8[[Date]:[Date]])=AP$1),0)</f>
        <v>0</v>
      </c>
      <c r="AQ295">
        <f t="shared" si="21"/>
        <v>204</v>
      </c>
      <c r="AR295" cm="1">
        <f t="array" ref="AR295">_xlfn._xlws.FILTER(Table8[[Day Total]:[Day Total]],(MONTH(Table8[[Date]:[Date]])=$AM295)*(DAY(Table8[[Date]:[Date]])=$AN295)*(YEAR(Table8[[Date]:[Date]])=AR$1),0)</f>
        <v>0</v>
      </c>
      <c r="AS295">
        <f t="shared" si="17"/>
        <v>5519</v>
      </c>
      <c r="AT295" cm="1">
        <f t="array" ref="AT295">_xlfn._xlws.FILTER(Table8[[Day Total]:[Day Total]],(MONTH(Table8[[Date]:[Date]])=$AM295)*(DAY(Table8[[Date]:[Date]])=$AN295)*(YEAR(Table8[[Date]:[Date]])=AT$1),0)</f>
        <v>0</v>
      </c>
      <c r="AU295">
        <f t="shared" si="20"/>
        <v>1377</v>
      </c>
      <c r="AV295" cm="1">
        <f t="array" ref="AV295">_xlfn._xlws.FILTER(Table8[[Day Total]:[Day Total]],(MONTH(Table8[[Date]:[Date]])=$AM295)*(DAY(Table8[[Date]:[Date]])=$AN295)*(YEAR(Table8[[Date]:[Date]])=AV$1),0)</f>
        <v>0</v>
      </c>
      <c r="AW295">
        <f t="shared" si="19"/>
        <v>2709</v>
      </c>
    </row>
    <row r="296" spans="39:49" x14ac:dyDescent="0.25">
      <c r="AM296">
        <v>10</v>
      </c>
      <c r="AN296">
        <v>21</v>
      </c>
      <c r="AO296" t="str">
        <f t="shared" si="18"/>
        <v>10/21</v>
      </c>
      <c r="AP296" cm="1">
        <f t="array" ref="AP296">_xlfn._xlws.FILTER(Table8[[Day Total]:[Day Total]],(MONTH(Table8[[Date]:[Date]])=$AM296)*(DAY(Table8[[Date]:[Date]])=$AN296)*(YEAR(Table8[[Date]:[Date]])=AP$1),0)</f>
        <v>0</v>
      </c>
      <c r="AQ296">
        <f t="shared" si="21"/>
        <v>204</v>
      </c>
      <c r="AR296" cm="1">
        <f t="array" ref="AR296">_xlfn._xlws.FILTER(Table8[[Day Total]:[Day Total]],(MONTH(Table8[[Date]:[Date]])=$AM296)*(DAY(Table8[[Date]:[Date]])=$AN296)*(YEAR(Table8[[Date]:[Date]])=AR$1),0)</f>
        <v>0</v>
      </c>
      <c r="AS296">
        <f t="shared" si="17"/>
        <v>5519</v>
      </c>
      <c r="AT296" cm="1">
        <f t="array" ref="AT296">_xlfn._xlws.FILTER(Table8[[Day Total]:[Day Total]],(MONTH(Table8[[Date]:[Date]])=$AM296)*(DAY(Table8[[Date]:[Date]])=$AN296)*(YEAR(Table8[[Date]:[Date]])=AT$1),0)</f>
        <v>0</v>
      </c>
      <c r="AU296">
        <f t="shared" si="20"/>
        <v>1377</v>
      </c>
      <c r="AV296" cm="1">
        <f t="array" ref="AV296">_xlfn._xlws.FILTER(Table8[[Day Total]:[Day Total]],(MONTH(Table8[[Date]:[Date]])=$AM296)*(DAY(Table8[[Date]:[Date]])=$AN296)*(YEAR(Table8[[Date]:[Date]])=AV$1),0)</f>
        <v>0</v>
      </c>
      <c r="AW296">
        <f t="shared" si="19"/>
        <v>2709</v>
      </c>
    </row>
    <row r="297" spans="39:49" x14ac:dyDescent="0.25">
      <c r="AM297">
        <v>10</v>
      </c>
      <c r="AN297">
        <v>22</v>
      </c>
      <c r="AO297" t="str">
        <f t="shared" si="18"/>
        <v>10/22</v>
      </c>
      <c r="AP297" cm="1">
        <f t="array" ref="AP297">_xlfn._xlws.FILTER(Table8[[Day Total]:[Day Total]],(MONTH(Table8[[Date]:[Date]])=$AM297)*(DAY(Table8[[Date]:[Date]])=$AN297)*(YEAR(Table8[[Date]:[Date]])=AP$1),0)</f>
        <v>0</v>
      </c>
      <c r="AQ297">
        <f t="shared" si="21"/>
        <v>204</v>
      </c>
      <c r="AR297" cm="1">
        <f t="array" ref="AR297">_xlfn._xlws.FILTER(Table8[[Day Total]:[Day Total]],(MONTH(Table8[[Date]:[Date]])=$AM297)*(DAY(Table8[[Date]:[Date]])=$AN297)*(YEAR(Table8[[Date]:[Date]])=AR$1),0)</f>
        <v>0</v>
      </c>
      <c r="AS297">
        <f t="shared" si="17"/>
        <v>5519</v>
      </c>
      <c r="AT297" cm="1">
        <f t="array" ref="AT297">_xlfn._xlws.FILTER(Table8[[Day Total]:[Day Total]],(MONTH(Table8[[Date]:[Date]])=$AM297)*(DAY(Table8[[Date]:[Date]])=$AN297)*(YEAR(Table8[[Date]:[Date]])=AT$1),0)</f>
        <v>0</v>
      </c>
      <c r="AU297">
        <f t="shared" si="20"/>
        <v>1377</v>
      </c>
      <c r="AV297" cm="1">
        <f t="array" ref="AV297">_xlfn._xlws.FILTER(Table8[[Day Total]:[Day Total]],(MONTH(Table8[[Date]:[Date]])=$AM297)*(DAY(Table8[[Date]:[Date]])=$AN297)*(YEAR(Table8[[Date]:[Date]])=AV$1),0)</f>
        <v>0</v>
      </c>
      <c r="AW297">
        <f t="shared" si="19"/>
        <v>2709</v>
      </c>
    </row>
    <row r="298" spans="39:49" x14ac:dyDescent="0.25">
      <c r="AM298">
        <v>10</v>
      </c>
      <c r="AN298">
        <v>23</v>
      </c>
      <c r="AO298" t="str">
        <f t="shared" si="18"/>
        <v>10/23</v>
      </c>
      <c r="AP298" cm="1">
        <f t="array" ref="AP298">_xlfn._xlws.FILTER(Table8[[Day Total]:[Day Total]],(MONTH(Table8[[Date]:[Date]])=$AM298)*(DAY(Table8[[Date]:[Date]])=$AN298)*(YEAR(Table8[[Date]:[Date]])=AP$1),0)</f>
        <v>232</v>
      </c>
      <c r="AQ298">
        <f t="shared" si="21"/>
        <v>436</v>
      </c>
      <c r="AR298" cm="1">
        <f t="array" ref="AR298">_xlfn._xlws.FILTER(Table8[[Day Total]:[Day Total]],(MONTH(Table8[[Date]:[Date]])=$AM298)*(DAY(Table8[[Date]:[Date]])=$AN298)*(YEAR(Table8[[Date]:[Date]])=AR$1),0)</f>
        <v>0</v>
      </c>
      <c r="AS298">
        <f t="shared" si="17"/>
        <v>5519</v>
      </c>
      <c r="AT298" cm="1">
        <f t="array" ref="AT298">_xlfn._xlws.FILTER(Table8[[Day Total]:[Day Total]],(MONTH(Table8[[Date]:[Date]])=$AM298)*(DAY(Table8[[Date]:[Date]])=$AN298)*(YEAR(Table8[[Date]:[Date]])=AT$1),0)</f>
        <v>0</v>
      </c>
      <c r="AU298">
        <f t="shared" si="20"/>
        <v>1377</v>
      </c>
      <c r="AV298" cm="1">
        <f t="array" ref="AV298">_xlfn._xlws.FILTER(Table8[[Day Total]:[Day Total]],(MONTH(Table8[[Date]:[Date]])=$AM298)*(DAY(Table8[[Date]:[Date]])=$AN298)*(YEAR(Table8[[Date]:[Date]])=AV$1),0)</f>
        <v>0</v>
      </c>
      <c r="AW298">
        <f t="shared" si="19"/>
        <v>2709</v>
      </c>
    </row>
    <row r="299" spans="39:49" x14ac:dyDescent="0.25">
      <c r="AM299">
        <v>10</v>
      </c>
      <c r="AN299">
        <v>24</v>
      </c>
      <c r="AO299" t="str">
        <f t="shared" si="18"/>
        <v>10/24</v>
      </c>
      <c r="AP299" cm="1">
        <f t="array" ref="AP299">_xlfn._xlws.FILTER(Table8[[Day Total]:[Day Total]],(MONTH(Table8[[Date]:[Date]])=$AM299)*(DAY(Table8[[Date]:[Date]])=$AN299)*(YEAR(Table8[[Date]:[Date]])=AP$1),0)</f>
        <v>102</v>
      </c>
      <c r="AQ299">
        <f t="shared" si="21"/>
        <v>538</v>
      </c>
      <c r="AR299" cm="1">
        <f t="array" ref="AR299">_xlfn._xlws.FILTER(Table8[[Day Total]:[Day Total]],(MONTH(Table8[[Date]:[Date]])=$AM299)*(DAY(Table8[[Date]:[Date]])=$AN299)*(YEAR(Table8[[Date]:[Date]])=AR$1),0)</f>
        <v>0</v>
      </c>
      <c r="AS299">
        <f t="shared" si="17"/>
        <v>5519</v>
      </c>
      <c r="AT299" cm="1">
        <f t="array" ref="AT299">_xlfn._xlws.FILTER(Table8[[Day Total]:[Day Total]],(MONTH(Table8[[Date]:[Date]])=$AM299)*(DAY(Table8[[Date]:[Date]])=$AN299)*(YEAR(Table8[[Date]:[Date]])=AT$1),0)</f>
        <v>0</v>
      </c>
      <c r="AU299">
        <f t="shared" si="20"/>
        <v>1377</v>
      </c>
      <c r="AV299" cm="1">
        <f t="array" ref="AV299">_xlfn._xlws.FILTER(Table8[[Day Total]:[Day Total]],(MONTH(Table8[[Date]:[Date]])=$AM299)*(DAY(Table8[[Date]:[Date]])=$AN299)*(YEAR(Table8[[Date]:[Date]])=AV$1),0)</f>
        <v>0</v>
      </c>
      <c r="AW299">
        <f t="shared" si="19"/>
        <v>2709</v>
      </c>
    </row>
    <row r="300" spans="39:49" x14ac:dyDescent="0.25">
      <c r="AM300">
        <v>10</v>
      </c>
      <c r="AN300">
        <v>25</v>
      </c>
      <c r="AO300" t="str">
        <f t="shared" si="18"/>
        <v>10/25</v>
      </c>
      <c r="AP300" cm="1">
        <f t="array" ref="AP300">_xlfn._xlws.FILTER(Table8[[Day Total]:[Day Total]],(MONTH(Table8[[Date]:[Date]])=$AM300)*(DAY(Table8[[Date]:[Date]])=$AN300)*(YEAR(Table8[[Date]:[Date]])=AP$1),0)</f>
        <v>95</v>
      </c>
      <c r="AQ300">
        <f t="shared" si="21"/>
        <v>633</v>
      </c>
      <c r="AR300" cm="1">
        <f t="array" ref="AR300">_xlfn._xlws.FILTER(Table8[[Day Total]:[Day Total]],(MONTH(Table8[[Date]:[Date]])=$AM300)*(DAY(Table8[[Date]:[Date]])=$AN300)*(YEAR(Table8[[Date]:[Date]])=AR$1),0)</f>
        <v>0</v>
      </c>
      <c r="AS300">
        <f t="shared" si="17"/>
        <v>5519</v>
      </c>
      <c r="AT300" cm="1">
        <f t="array" ref="AT300">_xlfn._xlws.FILTER(Table8[[Day Total]:[Day Total]],(MONTH(Table8[[Date]:[Date]])=$AM300)*(DAY(Table8[[Date]:[Date]])=$AN300)*(YEAR(Table8[[Date]:[Date]])=AT$1),0)</f>
        <v>0</v>
      </c>
      <c r="AU300">
        <f t="shared" si="20"/>
        <v>1377</v>
      </c>
      <c r="AV300" cm="1">
        <f t="array" ref="AV300">_xlfn._xlws.FILTER(Table8[[Day Total]:[Day Total]],(MONTH(Table8[[Date]:[Date]])=$AM300)*(DAY(Table8[[Date]:[Date]])=$AN300)*(YEAR(Table8[[Date]:[Date]])=AV$1),0)</f>
        <v>0</v>
      </c>
      <c r="AW300">
        <f t="shared" si="19"/>
        <v>2709</v>
      </c>
    </row>
    <row r="301" spans="39:49" x14ac:dyDescent="0.25">
      <c r="AM301">
        <v>10</v>
      </c>
      <c r="AN301">
        <v>26</v>
      </c>
      <c r="AO301" t="str">
        <f t="shared" si="18"/>
        <v>10/26</v>
      </c>
      <c r="AP301" cm="1">
        <f t="array" ref="AP301">_xlfn._xlws.FILTER(Table8[[Day Total]:[Day Total]],(MONTH(Table8[[Date]:[Date]])=$AM301)*(DAY(Table8[[Date]:[Date]])=$AN301)*(YEAR(Table8[[Date]:[Date]])=AP$1),0)</f>
        <v>128</v>
      </c>
      <c r="AQ301">
        <f t="shared" si="21"/>
        <v>761</v>
      </c>
      <c r="AR301" cm="1">
        <f t="array" ref="AR301">_xlfn._xlws.FILTER(Table8[[Day Total]:[Day Total]],(MONTH(Table8[[Date]:[Date]])=$AM301)*(DAY(Table8[[Date]:[Date]])=$AN301)*(YEAR(Table8[[Date]:[Date]])=AR$1),0)</f>
        <v>0</v>
      </c>
      <c r="AS301">
        <f t="shared" si="17"/>
        <v>5519</v>
      </c>
      <c r="AT301" cm="1">
        <f t="array" ref="AT301">_xlfn._xlws.FILTER(Table8[[Day Total]:[Day Total]],(MONTH(Table8[[Date]:[Date]])=$AM301)*(DAY(Table8[[Date]:[Date]])=$AN301)*(YEAR(Table8[[Date]:[Date]])=AT$1),0)</f>
        <v>0</v>
      </c>
      <c r="AU301">
        <f t="shared" si="20"/>
        <v>1377</v>
      </c>
      <c r="AV301" cm="1">
        <f t="array" ref="AV301">_xlfn._xlws.FILTER(Table8[[Day Total]:[Day Total]],(MONTH(Table8[[Date]:[Date]])=$AM301)*(DAY(Table8[[Date]:[Date]])=$AN301)*(YEAR(Table8[[Date]:[Date]])=AV$1),0)</f>
        <v>0</v>
      </c>
      <c r="AW301">
        <f t="shared" si="19"/>
        <v>2709</v>
      </c>
    </row>
    <row r="302" spans="39:49" x14ac:dyDescent="0.25">
      <c r="AM302">
        <v>10</v>
      </c>
      <c r="AN302">
        <v>27</v>
      </c>
      <c r="AO302" t="str">
        <f t="shared" si="18"/>
        <v>10/27</v>
      </c>
      <c r="AP302" cm="1">
        <f t="array" ref="AP302">_xlfn._xlws.FILTER(Table8[[Day Total]:[Day Total]],(MONTH(Table8[[Date]:[Date]])=$AM302)*(DAY(Table8[[Date]:[Date]])=$AN302)*(YEAR(Table8[[Date]:[Date]])=AP$1),0)</f>
        <v>82</v>
      </c>
      <c r="AQ302">
        <f t="shared" si="21"/>
        <v>843</v>
      </c>
      <c r="AR302" cm="1">
        <f t="array" ref="AR302">_xlfn._xlws.FILTER(Table8[[Day Total]:[Day Total]],(MONTH(Table8[[Date]:[Date]])=$AM302)*(DAY(Table8[[Date]:[Date]])=$AN302)*(YEAR(Table8[[Date]:[Date]])=AR$1),0)</f>
        <v>0</v>
      </c>
      <c r="AS302">
        <f t="shared" si="17"/>
        <v>5519</v>
      </c>
      <c r="AT302" cm="1">
        <f t="array" ref="AT302">_xlfn._xlws.FILTER(Table8[[Day Total]:[Day Total]],(MONTH(Table8[[Date]:[Date]])=$AM302)*(DAY(Table8[[Date]:[Date]])=$AN302)*(YEAR(Table8[[Date]:[Date]])=AT$1),0)</f>
        <v>0</v>
      </c>
      <c r="AU302">
        <f t="shared" si="20"/>
        <v>1377</v>
      </c>
      <c r="AV302" cm="1">
        <f t="array" ref="AV302">_xlfn._xlws.FILTER(Table8[[Day Total]:[Day Total]],(MONTH(Table8[[Date]:[Date]])=$AM302)*(DAY(Table8[[Date]:[Date]])=$AN302)*(YEAR(Table8[[Date]:[Date]])=AV$1),0)</f>
        <v>185</v>
      </c>
      <c r="AW302">
        <f t="shared" si="19"/>
        <v>2894</v>
      </c>
    </row>
    <row r="303" spans="39:49" x14ac:dyDescent="0.25">
      <c r="AM303">
        <v>10</v>
      </c>
      <c r="AN303">
        <v>28</v>
      </c>
      <c r="AO303" t="str">
        <f t="shared" si="18"/>
        <v>10/28</v>
      </c>
      <c r="AP303" cm="1">
        <f t="array" ref="AP303">_xlfn._xlws.FILTER(Table8[[Day Total]:[Day Total]],(MONTH(Table8[[Date]:[Date]])=$AM303)*(DAY(Table8[[Date]:[Date]])=$AN303)*(YEAR(Table8[[Date]:[Date]])=AP$1),0)</f>
        <v>0</v>
      </c>
      <c r="AQ303">
        <f t="shared" si="21"/>
        <v>843</v>
      </c>
      <c r="AR303" cm="1">
        <f t="array" ref="AR303">_xlfn._xlws.FILTER(Table8[[Day Total]:[Day Total]],(MONTH(Table8[[Date]:[Date]])=$AM303)*(DAY(Table8[[Date]:[Date]])=$AN303)*(YEAR(Table8[[Date]:[Date]])=AR$1),0)</f>
        <v>0</v>
      </c>
      <c r="AS303">
        <f t="shared" si="17"/>
        <v>5519</v>
      </c>
      <c r="AT303" cm="1">
        <f t="array" ref="AT303">_xlfn._xlws.FILTER(Table8[[Day Total]:[Day Total]],(MONTH(Table8[[Date]:[Date]])=$AM303)*(DAY(Table8[[Date]:[Date]])=$AN303)*(YEAR(Table8[[Date]:[Date]])=AT$1),0)</f>
        <v>0</v>
      </c>
      <c r="AU303">
        <f t="shared" si="20"/>
        <v>1377</v>
      </c>
      <c r="AV303" cm="1">
        <f t="array" ref="AV303">_xlfn._xlws.FILTER(Table8[[Day Total]:[Day Total]],(MONTH(Table8[[Date]:[Date]])=$AM303)*(DAY(Table8[[Date]:[Date]])=$AN303)*(YEAR(Table8[[Date]:[Date]])=AV$1),0)</f>
        <v>103</v>
      </c>
      <c r="AW303">
        <f t="shared" si="19"/>
        <v>2997</v>
      </c>
    </row>
    <row r="304" spans="39:49" x14ac:dyDescent="0.25">
      <c r="AM304">
        <v>10</v>
      </c>
      <c r="AN304">
        <v>29</v>
      </c>
      <c r="AO304" t="str">
        <f t="shared" si="18"/>
        <v>10/29</v>
      </c>
      <c r="AP304" cm="1">
        <f t="array" ref="AP304">_xlfn._xlws.FILTER(Table8[[Day Total]:[Day Total]],(MONTH(Table8[[Date]:[Date]])=$AM304)*(DAY(Table8[[Date]:[Date]])=$AN304)*(YEAR(Table8[[Date]:[Date]])=AP$1),0)</f>
        <v>0</v>
      </c>
      <c r="AQ304">
        <f t="shared" si="21"/>
        <v>843</v>
      </c>
      <c r="AR304" cm="1">
        <f t="array" ref="AR304">_xlfn._xlws.FILTER(Table8[[Day Total]:[Day Total]],(MONTH(Table8[[Date]:[Date]])=$AM304)*(DAY(Table8[[Date]:[Date]])=$AN304)*(YEAR(Table8[[Date]:[Date]])=AR$1),0)</f>
        <v>0</v>
      </c>
      <c r="AS304">
        <f t="shared" si="17"/>
        <v>5519</v>
      </c>
      <c r="AT304" cm="1">
        <f t="array" ref="AT304">_xlfn._xlws.FILTER(Table8[[Day Total]:[Day Total]],(MONTH(Table8[[Date]:[Date]])=$AM304)*(DAY(Table8[[Date]:[Date]])=$AN304)*(YEAR(Table8[[Date]:[Date]])=AT$1),0)</f>
        <v>0</v>
      </c>
      <c r="AU304">
        <f t="shared" si="20"/>
        <v>1377</v>
      </c>
      <c r="AV304" cm="1">
        <f t="array" ref="AV304">_xlfn._xlws.FILTER(Table8[[Day Total]:[Day Total]],(MONTH(Table8[[Date]:[Date]])=$AM304)*(DAY(Table8[[Date]:[Date]])=$AN304)*(YEAR(Table8[[Date]:[Date]])=AV$1),0)</f>
        <v>105</v>
      </c>
      <c r="AW304">
        <f t="shared" si="19"/>
        <v>3102</v>
      </c>
    </row>
    <row r="305" spans="38:49" x14ac:dyDescent="0.25">
      <c r="AM305">
        <v>10</v>
      </c>
      <c r="AN305">
        <v>30</v>
      </c>
      <c r="AO305" t="str">
        <f t="shared" si="18"/>
        <v>10/30</v>
      </c>
      <c r="AP305" cm="1">
        <f t="array" ref="AP305">_xlfn._xlws.FILTER(Table8[[Day Total]:[Day Total]],(MONTH(Table8[[Date]:[Date]])=$AM305)*(DAY(Table8[[Date]:[Date]])=$AN305)*(YEAR(Table8[[Date]:[Date]])=AP$1),0)</f>
        <v>0</v>
      </c>
      <c r="AQ305">
        <f t="shared" si="21"/>
        <v>843</v>
      </c>
      <c r="AR305" cm="1">
        <f t="array" ref="AR305">_xlfn._xlws.FILTER(Table8[[Day Total]:[Day Total]],(MONTH(Table8[[Date]:[Date]])=$AM305)*(DAY(Table8[[Date]:[Date]])=$AN305)*(YEAR(Table8[[Date]:[Date]])=AR$1),0)</f>
        <v>0</v>
      </c>
      <c r="AS305">
        <f t="shared" si="17"/>
        <v>5519</v>
      </c>
      <c r="AT305" cm="1">
        <f t="array" ref="AT305">_xlfn._xlws.FILTER(Table8[[Day Total]:[Day Total]],(MONTH(Table8[[Date]:[Date]])=$AM305)*(DAY(Table8[[Date]:[Date]])=$AN305)*(YEAR(Table8[[Date]:[Date]])=AT$1),0)</f>
        <v>0</v>
      </c>
      <c r="AU305">
        <f t="shared" si="20"/>
        <v>1377</v>
      </c>
      <c r="AV305" cm="1">
        <f t="array" ref="AV305">_xlfn._xlws.FILTER(Table8[[Day Total]:[Day Total]],(MONTH(Table8[[Date]:[Date]])=$AM305)*(DAY(Table8[[Date]:[Date]])=$AN305)*(YEAR(Table8[[Date]:[Date]])=AV$1),0)</f>
        <v>0</v>
      </c>
      <c r="AW305">
        <f t="shared" si="19"/>
        <v>3102</v>
      </c>
    </row>
    <row r="306" spans="38:49" x14ac:dyDescent="0.25">
      <c r="AM306">
        <v>10</v>
      </c>
      <c r="AN306">
        <v>31</v>
      </c>
      <c r="AO306" t="str">
        <f t="shared" si="18"/>
        <v>10/31</v>
      </c>
      <c r="AP306" cm="1">
        <f t="array" ref="AP306">_xlfn._xlws.FILTER(Table8[[Day Total]:[Day Total]],(MONTH(Table8[[Date]:[Date]])=$AM306)*(DAY(Table8[[Date]:[Date]])=$AN306)*(YEAR(Table8[[Date]:[Date]])=AP$1),0)</f>
        <v>76</v>
      </c>
      <c r="AQ306">
        <f t="shared" si="21"/>
        <v>919</v>
      </c>
      <c r="AR306" cm="1">
        <f t="array" ref="AR306">_xlfn._xlws.FILTER(Table8[[Day Total]:[Day Total]],(MONTH(Table8[[Date]:[Date]])=$AM306)*(DAY(Table8[[Date]:[Date]])=$AN306)*(YEAR(Table8[[Date]:[Date]])=AR$1),0)</f>
        <v>0</v>
      </c>
      <c r="AS306">
        <f t="shared" si="17"/>
        <v>5519</v>
      </c>
      <c r="AT306" cm="1">
        <f t="array" ref="AT306">_xlfn._xlws.FILTER(Table8[[Day Total]:[Day Total]],(MONTH(Table8[[Date]:[Date]])=$AM306)*(DAY(Table8[[Date]:[Date]])=$AN306)*(YEAR(Table8[[Date]:[Date]])=AT$1),0)</f>
        <v>0</v>
      </c>
      <c r="AU306">
        <f t="shared" si="20"/>
        <v>1377</v>
      </c>
      <c r="AV306" cm="1">
        <f t="array" ref="AV306">_xlfn._xlws.FILTER(Table8[[Day Total]:[Day Total]],(MONTH(Table8[[Date]:[Date]])=$AM306)*(DAY(Table8[[Date]:[Date]])=$AN306)*(YEAR(Table8[[Date]:[Date]])=AV$1),0)</f>
        <v>0</v>
      </c>
      <c r="AW306">
        <f t="shared" si="19"/>
        <v>3102</v>
      </c>
    </row>
    <row r="307" spans="38:49" x14ac:dyDescent="0.25">
      <c r="AL307" t="s">
        <v>110</v>
      </c>
      <c r="AM307">
        <v>11</v>
      </c>
      <c r="AN307">
        <v>1</v>
      </c>
      <c r="AO307" t="str">
        <f t="shared" si="18"/>
        <v>11/1</v>
      </c>
      <c r="AP307" cm="1">
        <f t="array" ref="AP307">_xlfn._xlws.FILTER(Table8[[Day Total]:[Day Total]],(MONTH(Table8[[Date]:[Date]])=$AM307)*(DAY(Table8[[Date]:[Date]])=$AN307)*(YEAR(Table8[[Date]:[Date]])=AP$1),0)</f>
        <v>166</v>
      </c>
      <c r="AQ307">
        <f t="shared" si="21"/>
        <v>1085</v>
      </c>
      <c r="AR307" cm="1">
        <f t="array" ref="AR307">_xlfn._xlws.FILTER(Table8[[Day Total]:[Day Total]],(MONTH(Table8[[Date]:[Date]])=$AM307)*(DAY(Table8[[Date]:[Date]])=$AN307)*(YEAR(Table8[[Date]:[Date]])=AR$1),0)</f>
        <v>0</v>
      </c>
      <c r="AS307">
        <f t="shared" si="17"/>
        <v>5519</v>
      </c>
      <c r="AT307" cm="1">
        <f t="array" ref="AT307">_xlfn._xlws.FILTER(Table8[[Day Total]:[Day Total]],(MONTH(Table8[[Date]:[Date]])=$AM307)*(DAY(Table8[[Date]:[Date]])=$AN307)*(YEAR(Table8[[Date]:[Date]])=AT$1),0)</f>
        <v>0</v>
      </c>
      <c r="AU307">
        <f t="shared" si="20"/>
        <v>1377</v>
      </c>
      <c r="AV307" cm="1">
        <f t="array" ref="AV307">_xlfn._xlws.FILTER(Table8[[Day Total]:[Day Total]],(MONTH(Table8[[Date]:[Date]])=$AM307)*(DAY(Table8[[Date]:[Date]])=$AN307)*(YEAR(Table8[[Date]:[Date]])=AV$1),0)</f>
        <v>0</v>
      </c>
      <c r="AW307">
        <f t="shared" si="19"/>
        <v>3102</v>
      </c>
    </row>
    <row r="308" spans="38:49" x14ac:dyDescent="0.25">
      <c r="AM308">
        <v>11</v>
      </c>
      <c r="AN308">
        <v>2</v>
      </c>
      <c r="AO308" t="str">
        <f t="shared" si="18"/>
        <v>11/2</v>
      </c>
      <c r="AP308" cm="1">
        <f t="array" ref="AP308">_xlfn._xlws.FILTER(Table8[[Day Total]:[Day Total]],(MONTH(Table8[[Date]:[Date]])=$AM308)*(DAY(Table8[[Date]:[Date]])=$AN308)*(YEAR(Table8[[Date]:[Date]])=AP$1),0)</f>
        <v>139</v>
      </c>
      <c r="AQ308">
        <f t="shared" si="21"/>
        <v>1224</v>
      </c>
      <c r="AR308" cm="1">
        <f t="array" ref="AR308">_xlfn._xlws.FILTER(Table8[[Day Total]:[Day Total]],(MONTH(Table8[[Date]:[Date]])=$AM308)*(DAY(Table8[[Date]:[Date]])=$AN308)*(YEAR(Table8[[Date]:[Date]])=AR$1),0)</f>
        <v>0</v>
      </c>
      <c r="AS308">
        <f t="shared" si="17"/>
        <v>5519</v>
      </c>
      <c r="AT308" cm="1">
        <f t="array" ref="AT308">_xlfn._xlws.FILTER(Table8[[Day Total]:[Day Total]],(MONTH(Table8[[Date]:[Date]])=$AM308)*(DAY(Table8[[Date]:[Date]])=$AN308)*(YEAR(Table8[[Date]:[Date]])=AT$1),0)</f>
        <v>0</v>
      </c>
      <c r="AU308">
        <f t="shared" si="20"/>
        <v>1377</v>
      </c>
      <c r="AV308" cm="1">
        <f t="array" ref="AV308">_xlfn._xlws.FILTER(Table8[[Day Total]:[Day Total]],(MONTH(Table8[[Date]:[Date]])=$AM308)*(DAY(Table8[[Date]:[Date]])=$AN308)*(YEAR(Table8[[Date]:[Date]])=AV$1),0)</f>
        <v>0</v>
      </c>
      <c r="AW308">
        <f t="shared" si="19"/>
        <v>3102</v>
      </c>
    </row>
    <row r="309" spans="38:49" x14ac:dyDescent="0.25">
      <c r="AM309">
        <v>11</v>
      </c>
      <c r="AN309">
        <v>3</v>
      </c>
      <c r="AO309" t="str">
        <f t="shared" si="18"/>
        <v>11/3</v>
      </c>
      <c r="AP309" cm="1">
        <f t="array" ref="AP309">_xlfn._xlws.FILTER(Table8[[Day Total]:[Day Total]],(MONTH(Table8[[Date]:[Date]])=$AM309)*(DAY(Table8[[Date]:[Date]])=$AN309)*(YEAR(Table8[[Date]:[Date]])=AP$1),0)</f>
        <v>0</v>
      </c>
      <c r="AQ309">
        <f t="shared" si="21"/>
        <v>1224</v>
      </c>
      <c r="AR309" cm="1">
        <f t="array" ref="AR309">_xlfn._xlws.FILTER(Table8[[Day Total]:[Day Total]],(MONTH(Table8[[Date]:[Date]])=$AM309)*(DAY(Table8[[Date]:[Date]])=$AN309)*(YEAR(Table8[[Date]:[Date]])=AR$1),0)</f>
        <v>0</v>
      </c>
      <c r="AS309">
        <f t="shared" si="17"/>
        <v>5519</v>
      </c>
      <c r="AT309" cm="1">
        <f t="array" ref="AT309">_xlfn._xlws.FILTER(Table8[[Day Total]:[Day Total]],(MONTH(Table8[[Date]:[Date]])=$AM309)*(DAY(Table8[[Date]:[Date]])=$AN309)*(YEAR(Table8[[Date]:[Date]])=AT$1),0)</f>
        <v>0</v>
      </c>
      <c r="AU309">
        <f t="shared" si="20"/>
        <v>1377</v>
      </c>
      <c r="AV309" cm="1">
        <f t="array" ref="AV309">_xlfn._xlws.FILTER(Table8[[Day Total]:[Day Total]],(MONTH(Table8[[Date]:[Date]])=$AM309)*(DAY(Table8[[Date]:[Date]])=$AN309)*(YEAR(Table8[[Date]:[Date]])=AV$1),0)</f>
        <v>0</v>
      </c>
      <c r="AW309">
        <f t="shared" si="19"/>
        <v>3102</v>
      </c>
    </row>
    <row r="310" spans="38:49" x14ac:dyDescent="0.25">
      <c r="AM310">
        <v>11</v>
      </c>
      <c r="AN310">
        <v>4</v>
      </c>
      <c r="AO310" t="str">
        <f t="shared" si="18"/>
        <v>11/4</v>
      </c>
      <c r="AP310" cm="1">
        <f t="array" ref="AP310">_xlfn._xlws.FILTER(Table8[[Day Total]:[Day Total]],(MONTH(Table8[[Date]:[Date]])=$AM310)*(DAY(Table8[[Date]:[Date]])=$AN310)*(YEAR(Table8[[Date]:[Date]])=AP$1),0)</f>
        <v>0</v>
      </c>
      <c r="AQ310">
        <f t="shared" si="21"/>
        <v>1224</v>
      </c>
      <c r="AR310" cm="1">
        <f t="array" ref="AR310">_xlfn._xlws.FILTER(Table8[[Day Total]:[Day Total]],(MONTH(Table8[[Date]:[Date]])=$AM310)*(DAY(Table8[[Date]:[Date]])=$AN310)*(YEAR(Table8[[Date]:[Date]])=AR$1),0)</f>
        <v>21</v>
      </c>
      <c r="AS310">
        <f t="shared" si="17"/>
        <v>5540</v>
      </c>
      <c r="AT310" cm="1">
        <f t="array" ref="AT310">_xlfn._xlws.FILTER(Table8[[Day Total]:[Day Total]],(MONTH(Table8[[Date]:[Date]])=$AM310)*(DAY(Table8[[Date]:[Date]])=$AN310)*(YEAR(Table8[[Date]:[Date]])=AT$1),0)</f>
        <v>0</v>
      </c>
      <c r="AU310">
        <f t="shared" si="20"/>
        <v>1377</v>
      </c>
      <c r="AV310" cm="1">
        <f t="array" ref="AV310">_xlfn._xlws.FILTER(Table8[[Day Total]:[Day Total]],(MONTH(Table8[[Date]:[Date]])=$AM310)*(DAY(Table8[[Date]:[Date]])=$AN310)*(YEAR(Table8[[Date]:[Date]])=AV$1),0)</f>
        <v>0</v>
      </c>
      <c r="AW310">
        <f t="shared" si="19"/>
        <v>3102</v>
      </c>
    </row>
    <row r="311" spans="38:49" x14ac:dyDescent="0.25">
      <c r="AM311">
        <v>11</v>
      </c>
      <c r="AN311">
        <v>5</v>
      </c>
      <c r="AO311" t="str">
        <f t="shared" si="18"/>
        <v>11/5</v>
      </c>
      <c r="AP311" cm="1">
        <f t="array" ref="AP311">_xlfn._xlws.FILTER(Table8[[Day Total]:[Day Total]],(MONTH(Table8[[Date]:[Date]])=$AM311)*(DAY(Table8[[Date]:[Date]])=$AN311)*(YEAR(Table8[[Date]:[Date]])=AP$1),0)</f>
        <v>0</v>
      </c>
      <c r="AQ311">
        <f t="shared" si="21"/>
        <v>1224</v>
      </c>
      <c r="AR311" cm="1">
        <f t="array" ref="AR311">_xlfn._xlws.FILTER(Table8[[Day Total]:[Day Total]],(MONTH(Table8[[Date]:[Date]])=$AM311)*(DAY(Table8[[Date]:[Date]])=$AN311)*(YEAR(Table8[[Date]:[Date]])=AR$1),0)</f>
        <v>10</v>
      </c>
      <c r="AS311">
        <f t="shared" si="17"/>
        <v>5550</v>
      </c>
      <c r="AT311" cm="1">
        <f t="array" ref="AT311">_xlfn._xlws.FILTER(Table8[[Day Total]:[Day Total]],(MONTH(Table8[[Date]:[Date]])=$AM311)*(DAY(Table8[[Date]:[Date]])=$AN311)*(YEAR(Table8[[Date]:[Date]])=AT$1),0)</f>
        <v>0</v>
      </c>
      <c r="AU311">
        <f t="shared" si="20"/>
        <v>1377</v>
      </c>
      <c r="AV311" cm="1">
        <f t="array" ref="AV311">_xlfn._xlws.FILTER(Table8[[Day Total]:[Day Total]],(MONTH(Table8[[Date]:[Date]])=$AM311)*(DAY(Table8[[Date]:[Date]])=$AN311)*(YEAR(Table8[[Date]:[Date]])=AV$1),0)</f>
        <v>0</v>
      </c>
      <c r="AW311">
        <f t="shared" si="19"/>
        <v>3102</v>
      </c>
    </row>
    <row r="312" spans="38:49" x14ac:dyDescent="0.25">
      <c r="AM312">
        <v>11</v>
      </c>
      <c r="AN312">
        <v>6</v>
      </c>
      <c r="AO312" t="str">
        <f t="shared" si="18"/>
        <v>11/6</v>
      </c>
      <c r="AP312" cm="1">
        <f t="array" ref="AP312">_xlfn._xlws.FILTER(Table8[[Day Total]:[Day Total]],(MONTH(Table8[[Date]:[Date]])=$AM312)*(DAY(Table8[[Date]:[Date]])=$AN312)*(YEAR(Table8[[Date]:[Date]])=AP$1),0)</f>
        <v>77</v>
      </c>
      <c r="AQ312">
        <f t="shared" si="21"/>
        <v>1301</v>
      </c>
      <c r="AR312" cm="1">
        <f t="array" ref="AR312">_xlfn._xlws.FILTER(Table8[[Day Total]:[Day Total]],(MONTH(Table8[[Date]:[Date]])=$AM312)*(DAY(Table8[[Date]:[Date]])=$AN312)*(YEAR(Table8[[Date]:[Date]])=AR$1),0)</f>
        <v>42</v>
      </c>
      <c r="AS312">
        <f t="shared" si="17"/>
        <v>5592</v>
      </c>
      <c r="AT312" cm="1">
        <f t="array" ref="AT312">_xlfn._xlws.FILTER(Table8[[Day Total]:[Day Total]],(MONTH(Table8[[Date]:[Date]])=$AM312)*(DAY(Table8[[Date]:[Date]])=$AN312)*(YEAR(Table8[[Date]:[Date]])=AT$1),0)</f>
        <v>0</v>
      </c>
      <c r="AU312">
        <f t="shared" si="20"/>
        <v>1377</v>
      </c>
      <c r="AV312" cm="1">
        <f t="array" ref="AV312">_xlfn._xlws.FILTER(Table8[[Day Total]:[Day Total]],(MONTH(Table8[[Date]:[Date]])=$AM312)*(DAY(Table8[[Date]:[Date]])=$AN312)*(YEAR(Table8[[Date]:[Date]])=AV$1),0)</f>
        <v>0</v>
      </c>
      <c r="AW312">
        <f t="shared" si="19"/>
        <v>3102</v>
      </c>
    </row>
    <row r="313" spans="38:49" x14ac:dyDescent="0.25">
      <c r="AM313">
        <v>11</v>
      </c>
      <c r="AN313">
        <v>7</v>
      </c>
      <c r="AO313" t="str">
        <f t="shared" si="18"/>
        <v>11/7</v>
      </c>
      <c r="AP313" cm="1">
        <f t="array" ref="AP313">_xlfn._xlws.FILTER(Table8[[Day Total]:[Day Total]],(MONTH(Table8[[Date]:[Date]])=$AM313)*(DAY(Table8[[Date]:[Date]])=$AN313)*(YEAR(Table8[[Date]:[Date]])=AP$1),0)</f>
        <v>129</v>
      </c>
      <c r="AQ313">
        <f t="shared" si="21"/>
        <v>1430</v>
      </c>
      <c r="AR313" cm="1">
        <f t="array" ref="AR313">_xlfn._xlws.FILTER(Table8[[Day Total]:[Day Total]],(MONTH(Table8[[Date]:[Date]])=$AM313)*(DAY(Table8[[Date]:[Date]])=$AN313)*(YEAR(Table8[[Date]:[Date]])=AR$1),0)</f>
        <v>0</v>
      </c>
      <c r="AS313">
        <f t="shared" si="17"/>
        <v>5592</v>
      </c>
      <c r="AT313" cm="1">
        <f t="array" ref="AT313">_xlfn._xlws.FILTER(Table8[[Day Total]:[Day Total]],(MONTH(Table8[[Date]:[Date]])=$AM313)*(DAY(Table8[[Date]:[Date]])=$AN313)*(YEAR(Table8[[Date]:[Date]])=AT$1),0)</f>
        <v>0</v>
      </c>
      <c r="AU313">
        <f t="shared" si="20"/>
        <v>1377</v>
      </c>
      <c r="AV313" cm="1">
        <f t="array" ref="AV313">_xlfn._xlws.FILTER(Table8[[Day Total]:[Day Total]],(MONTH(Table8[[Date]:[Date]])=$AM313)*(DAY(Table8[[Date]:[Date]])=$AN313)*(YEAR(Table8[[Date]:[Date]])=AV$1),0)</f>
        <v>0</v>
      </c>
      <c r="AW313">
        <f t="shared" si="19"/>
        <v>3102</v>
      </c>
    </row>
    <row r="314" spans="38:49" x14ac:dyDescent="0.25">
      <c r="AM314">
        <v>11</v>
      </c>
      <c r="AN314">
        <v>8</v>
      </c>
      <c r="AO314" t="str">
        <f t="shared" si="18"/>
        <v>11/8</v>
      </c>
      <c r="AP314" cm="1">
        <f t="array" ref="AP314">_xlfn._xlws.FILTER(Table8[[Day Total]:[Day Total]],(MONTH(Table8[[Date]:[Date]])=$AM314)*(DAY(Table8[[Date]:[Date]])=$AN314)*(YEAR(Table8[[Date]:[Date]])=AP$1),0)</f>
        <v>42</v>
      </c>
      <c r="AQ314">
        <f t="shared" si="21"/>
        <v>1472</v>
      </c>
      <c r="AR314" cm="1">
        <f t="array" ref="AR314">_xlfn._xlws.FILTER(Table8[[Day Total]:[Day Total]],(MONTH(Table8[[Date]:[Date]])=$AM314)*(DAY(Table8[[Date]:[Date]])=$AN314)*(YEAR(Table8[[Date]:[Date]])=AR$1),0)</f>
        <v>96</v>
      </c>
      <c r="AS314">
        <f t="shared" si="17"/>
        <v>5688</v>
      </c>
      <c r="AT314" cm="1">
        <f t="array" ref="AT314">_xlfn._xlws.FILTER(Table8[[Day Total]:[Day Total]],(MONTH(Table8[[Date]:[Date]])=$AM314)*(DAY(Table8[[Date]:[Date]])=$AN314)*(YEAR(Table8[[Date]:[Date]])=AT$1),0)</f>
        <v>0</v>
      </c>
      <c r="AU314">
        <f t="shared" si="20"/>
        <v>1377</v>
      </c>
      <c r="AV314" cm="1">
        <f t="array" ref="AV314">_xlfn._xlws.FILTER(Table8[[Day Total]:[Day Total]],(MONTH(Table8[[Date]:[Date]])=$AM314)*(DAY(Table8[[Date]:[Date]])=$AN314)*(YEAR(Table8[[Date]:[Date]])=AV$1),0)</f>
        <v>0</v>
      </c>
      <c r="AW314">
        <f t="shared" si="19"/>
        <v>3102</v>
      </c>
    </row>
    <row r="315" spans="38:49" x14ac:dyDescent="0.25">
      <c r="AM315">
        <v>11</v>
      </c>
      <c r="AN315">
        <v>9</v>
      </c>
      <c r="AO315" t="str">
        <f t="shared" si="18"/>
        <v>11/9</v>
      </c>
      <c r="AP315" cm="1">
        <f t="array" ref="AP315">_xlfn._xlws.FILTER(Table8[[Day Total]:[Day Total]],(MONTH(Table8[[Date]:[Date]])=$AM315)*(DAY(Table8[[Date]:[Date]])=$AN315)*(YEAR(Table8[[Date]:[Date]])=AP$1),0)</f>
        <v>88</v>
      </c>
      <c r="AQ315">
        <f t="shared" si="21"/>
        <v>1560</v>
      </c>
      <c r="AR315" cm="1">
        <f t="array" ref="AR315">_xlfn._xlws.FILTER(Table8[[Day Total]:[Day Total]],(MONTH(Table8[[Date]:[Date]])=$AM315)*(DAY(Table8[[Date]:[Date]])=$AN315)*(YEAR(Table8[[Date]:[Date]])=AR$1),0)</f>
        <v>93</v>
      </c>
      <c r="AS315">
        <f t="shared" si="17"/>
        <v>5781</v>
      </c>
      <c r="AT315" cm="1">
        <f t="array" ref="AT315">_xlfn._xlws.FILTER(Table8[[Day Total]:[Day Total]],(MONTH(Table8[[Date]:[Date]])=$AM315)*(DAY(Table8[[Date]:[Date]])=$AN315)*(YEAR(Table8[[Date]:[Date]])=AT$1),0)</f>
        <v>0</v>
      </c>
      <c r="AU315">
        <f t="shared" si="20"/>
        <v>1377</v>
      </c>
      <c r="AV315" cm="1">
        <f t="array" ref="AV315">_xlfn._xlws.FILTER(Table8[[Day Total]:[Day Total]],(MONTH(Table8[[Date]:[Date]])=$AM315)*(DAY(Table8[[Date]:[Date]])=$AN315)*(YEAR(Table8[[Date]:[Date]])=AV$1),0)</f>
        <v>0</v>
      </c>
      <c r="AW315">
        <f t="shared" si="19"/>
        <v>3102</v>
      </c>
    </row>
    <row r="316" spans="38:49" x14ac:dyDescent="0.25">
      <c r="AM316">
        <v>11</v>
      </c>
      <c r="AN316">
        <v>10</v>
      </c>
      <c r="AO316" t="str">
        <f t="shared" si="18"/>
        <v>11/10</v>
      </c>
      <c r="AP316" cm="1">
        <f t="array" ref="AP316">_xlfn._xlws.FILTER(Table8[[Day Total]:[Day Total]],(MONTH(Table8[[Date]:[Date]])=$AM316)*(DAY(Table8[[Date]:[Date]])=$AN316)*(YEAR(Table8[[Date]:[Date]])=AP$1),0)</f>
        <v>63</v>
      </c>
      <c r="AQ316">
        <f t="shared" si="21"/>
        <v>1623</v>
      </c>
      <c r="AR316" cm="1">
        <f t="array" ref="AR316">_xlfn._xlws.FILTER(Table8[[Day Total]:[Day Total]],(MONTH(Table8[[Date]:[Date]])=$AM316)*(DAY(Table8[[Date]:[Date]])=$AN316)*(YEAR(Table8[[Date]:[Date]])=AR$1),0)</f>
        <v>12</v>
      </c>
      <c r="AS316">
        <f t="shared" si="17"/>
        <v>5793</v>
      </c>
      <c r="AT316" cm="1">
        <f t="array" ref="AT316">_xlfn._xlws.FILTER(Table8[[Day Total]:[Day Total]],(MONTH(Table8[[Date]:[Date]])=$AM316)*(DAY(Table8[[Date]:[Date]])=$AN316)*(YEAR(Table8[[Date]:[Date]])=AT$1),0)</f>
        <v>0</v>
      </c>
      <c r="AU316">
        <f t="shared" si="20"/>
        <v>1377</v>
      </c>
      <c r="AV316" cm="1">
        <f t="array" ref="AV316">_xlfn._xlws.FILTER(Table8[[Day Total]:[Day Total]],(MONTH(Table8[[Date]:[Date]])=$AM316)*(DAY(Table8[[Date]:[Date]])=$AN316)*(YEAR(Table8[[Date]:[Date]])=AV$1),0)</f>
        <v>0</v>
      </c>
      <c r="AW316">
        <f t="shared" si="19"/>
        <v>3102</v>
      </c>
    </row>
    <row r="317" spans="38:49" x14ac:dyDescent="0.25">
      <c r="AM317">
        <v>11</v>
      </c>
      <c r="AN317">
        <v>11</v>
      </c>
      <c r="AO317" t="str">
        <f t="shared" si="18"/>
        <v>11/11</v>
      </c>
      <c r="AP317" cm="1">
        <f t="array" ref="AP317">_xlfn._xlws.FILTER(Table8[[Day Total]:[Day Total]],(MONTH(Table8[[Date]:[Date]])=$AM317)*(DAY(Table8[[Date]:[Date]])=$AN317)*(YEAR(Table8[[Date]:[Date]])=AP$1),0)</f>
        <v>0</v>
      </c>
      <c r="AQ317">
        <f t="shared" si="21"/>
        <v>1623</v>
      </c>
      <c r="AR317" cm="1">
        <f t="array" ref="AR317">_xlfn._xlws.FILTER(Table8[[Day Total]:[Day Total]],(MONTH(Table8[[Date]:[Date]])=$AM317)*(DAY(Table8[[Date]:[Date]])=$AN317)*(YEAR(Table8[[Date]:[Date]])=AR$1),0)</f>
        <v>0</v>
      </c>
      <c r="AS317">
        <f t="shared" si="17"/>
        <v>5793</v>
      </c>
      <c r="AT317" cm="1">
        <f t="array" ref="AT317">_xlfn._xlws.FILTER(Table8[[Day Total]:[Day Total]],(MONTH(Table8[[Date]:[Date]])=$AM317)*(DAY(Table8[[Date]:[Date]])=$AN317)*(YEAR(Table8[[Date]:[Date]])=AT$1),0)</f>
        <v>0</v>
      </c>
      <c r="AU317">
        <f t="shared" si="20"/>
        <v>1377</v>
      </c>
      <c r="AV317" cm="1">
        <f t="array" ref="AV317">_xlfn._xlws.FILTER(Table8[[Day Total]:[Day Total]],(MONTH(Table8[[Date]:[Date]])=$AM317)*(DAY(Table8[[Date]:[Date]])=$AN317)*(YEAR(Table8[[Date]:[Date]])=AV$1),0)</f>
        <v>0</v>
      </c>
      <c r="AW317">
        <f t="shared" si="19"/>
        <v>3102</v>
      </c>
    </row>
    <row r="318" spans="38:49" x14ac:dyDescent="0.25">
      <c r="AM318">
        <v>11</v>
      </c>
      <c r="AN318">
        <v>12</v>
      </c>
      <c r="AO318" t="str">
        <f t="shared" si="18"/>
        <v>11/12</v>
      </c>
      <c r="AP318" cm="1">
        <f t="array" ref="AP318">_xlfn._xlws.FILTER(Table8[[Day Total]:[Day Total]],(MONTH(Table8[[Date]:[Date]])=$AM318)*(DAY(Table8[[Date]:[Date]])=$AN318)*(YEAR(Table8[[Date]:[Date]])=AP$1),0)</f>
        <v>54</v>
      </c>
      <c r="AQ318">
        <f t="shared" ref="AQ318:AQ349" si="22">AQ317+AP318</f>
        <v>1677</v>
      </c>
      <c r="AR318" cm="1">
        <f t="array" ref="AR318">_xlfn._xlws.FILTER(Table8[[Day Total]:[Day Total]],(MONTH(Table8[[Date]:[Date]])=$AM318)*(DAY(Table8[[Date]:[Date]])=$AN318)*(YEAR(Table8[[Date]:[Date]])=AR$1),0)</f>
        <v>0</v>
      </c>
      <c r="AS318">
        <f t="shared" si="17"/>
        <v>5793</v>
      </c>
      <c r="AT318" cm="1">
        <f t="array" ref="AT318">_xlfn._xlws.FILTER(Table8[[Day Total]:[Day Total]],(MONTH(Table8[[Date]:[Date]])=$AM318)*(DAY(Table8[[Date]:[Date]])=$AN318)*(YEAR(Table8[[Date]:[Date]])=AT$1),0)</f>
        <v>0</v>
      </c>
      <c r="AU318">
        <f t="shared" si="20"/>
        <v>1377</v>
      </c>
      <c r="AV318" cm="1">
        <f t="array" ref="AV318">_xlfn._xlws.FILTER(Table8[[Day Total]:[Day Total]],(MONTH(Table8[[Date]:[Date]])=$AM318)*(DAY(Table8[[Date]:[Date]])=$AN318)*(YEAR(Table8[[Date]:[Date]])=AV$1),0)</f>
        <v>0</v>
      </c>
      <c r="AW318">
        <f t="shared" si="19"/>
        <v>3102</v>
      </c>
    </row>
    <row r="319" spans="38:49" x14ac:dyDescent="0.25">
      <c r="AM319">
        <v>11</v>
      </c>
      <c r="AN319">
        <v>13</v>
      </c>
      <c r="AO319" t="str">
        <f t="shared" si="18"/>
        <v>11/13</v>
      </c>
      <c r="AP319" cm="1">
        <f t="array" ref="AP319">_xlfn._xlws.FILTER(Table8[[Day Total]:[Day Total]],(MONTH(Table8[[Date]:[Date]])=$AM319)*(DAY(Table8[[Date]:[Date]])=$AN319)*(YEAR(Table8[[Date]:[Date]])=AP$1),0)</f>
        <v>121</v>
      </c>
      <c r="AQ319">
        <f t="shared" si="22"/>
        <v>1798</v>
      </c>
      <c r="AR319" cm="1">
        <f t="array" ref="AR319">_xlfn._xlws.FILTER(Table8[[Day Total]:[Day Total]],(MONTH(Table8[[Date]:[Date]])=$AM319)*(DAY(Table8[[Date]:[Date]])=$AN319)*(YEAR(Table8[[Date]:[Date]])=AR$1),0)</f>
        <v>7</v>
      </c>
      <c r="AS319">
        <f t="shared" si="17"/>
        <v>5800</v>
      </c>
      <c r="AT319" cm="1">
        <f t="array" ref="AT319">_xlfn._xlws.FILTER(Table8[[Day Total]:[Day Total]],(MONTH(Table8[[Date]:[Date]])=$AM319)*(DAY(Table8[[Date]:[Date]])=$AN319)*(YEAR(Table8[[Date]:[Date]])=AT$1),0)</f>
        <v>0</v>
      </c>
      <c r="AU319">
        <f t="shared" si="20"/>
        <v>1377</v>
      </c>
      <c r="AV319" cm="1">
        <f t="array" ref="AV319">_xlfn._xlws.FILTER(Table8[[Day Total]:[Day Total]],(MONTH(Table8[[Date]:[Date]])=$AM319)*(DAY(Table8[[Date]:[Date]])=$AN319)*(YEAR(Table8[[Date]:[Date]])=AV$1),0)</f>
        <v>0</v>
      </c>
      <c r="AW319">
        <f t="shared" si="19"/>
        <v>3102</v>
      </c>
    </row>
    <row r="320" spans="38:49" x14ac:dyDescent="0.25">
      <c r="AM320">
        <v>11</v>
      </c>
      <c r="AN320">
        <v>14</v>
      </c>
      <c r="AO320" t="str">
        <f t="shared" si="18"/>
        <v>11/14</v>
      </c>
      <c r="AP320" cm="1">
        <f t="array" ref="AP320">_xlfn._xlws.FILTER(Table8[[Day Total]:[Day Total]],(MONTH(Table8[[Date]:[Date]])=$AM320)*(DAY(Table8[[Date]:[Date]])=$AN320)*(YEAR(Table8[[Date]:[Date]])=AP$1),0)</f>
        <v>62</v>
      </c>
      <c r="AQ320">
        <f t="shared" si="22"/>
        <v>1860</v>
      </c>
      <c r="AR320" cm="1">
        <f t="array" ref="AR320">_xlfn._xlws.FILTER(Table8[[Day Total]:[Day Total]],(MONTH(Table8[[Date]:[Date]])=$AM320)*(DAY(Table8[[Date]:[Date]])=$AN320)*(YEAR(Table8[[Date]:[Date]])=AR$1),0)</f>
        <v>0</v>
      </c>
      <c r="AS320">
        <f t="shared" si="17"/>
        <v>5800</v>
      </c>
      <c r="AT320" cm="1">
        <f t="array" ref="AT320">_xlfn._xlws.FILTER(Table8[[Day Total]:[Day Total]],(MONTH(Table8[[Date]:[Date]])=$AM320)*(DAY(Table8[[Date]:[Date]])=$AN320)*(YEAR(Table8[[Date]:[Date]])=AT$1),0)</f>
        <v>0</v>
      </c>
      <c r="AU320">
        <f t="shared" si="20"/>
        <v>1377</v>
      </c>
      <c r="AV320" cm="1">
        <f t="array" ref="AV320">_xlfn._xlws.FILTER(Table8[[Day Total]:[Day Total]],(MONTH(Table8[[Date]:[Date]])=$AM320)*(DAY(Table8[[Date]:[Date]])=$AN320)*(YEAR(Table8[[Date]:[Date]])=AV$1),0)</f>
        <v>0</v>
      </c>
      <c r="AW320">
        <f t="shared" si="19"/>
        <v>3102</v>
      </c>
    </row>
    <row r="321" spans="39:49" x14ac:dyDescent="0.25">
      <c r="AM321">
        <v>11</v>
      </c>
      <c r="AN321">
        <v>15</v>
      </c>
      <c r="AO321" t="str">
        <f t="shared" si="18"/>
        <v>11/15</v>
      </c>
      <c r="AP321" cm="1">
        <f t="array" ref="AP321">_xlfn._xlws.FILTER(Table8[[Day Total]:[Day Total]],(MONTH(Table8[[Date]:[Date]])=$AM321)*(DAY(Table8[[Date]:[Date]])=$AN321)*(YEAR(Table8[[Date]:[Date]])=AP$1),0)</f>
        <v>47</v>
      </c>
      <c r="AQ321">
        <f t="shared" si="22"/>
        <v>1907</v>
      </c>
      <c r="AR321" cm="1">
        <f t="array" ref="AR321">_xlfn._xlws.FILTER(Table8[[Day Total]:[Day Total]],(MONTH(Table8[[Date]:[Date]])=$AM321)*(DAY(Table8[[Date]:[Date]])=$AN321)*(YEAR(Table8[[Date]:[Date]])=AR$1),0)</f>
        <v>0</v>
      </c>
      <c r="AS321">
        <f t="shared" si="17"/>
        <v>5800</v>
      </c>
      <c r="AT321" cm="1">
        <f t="array" ref="AT321">_xlfn._xlws.FILTER(Table8[[Day Total]:[Day Total]],(MONTH(Table8[[Date]:[Date]])=$AM321)*(DAY(Table8[[Date]:[Date]])=$AN321)*(YEAR(Table8[[Date]:[Date]])=AT$1),0)</f>
        <v>0</v>
      </c>
      <c r="AU321">
        <f t="shared" si="20"/>
        <v>1377</v>
      </c>
      <c r="AV321" cm="1">
        <f t="array" ref="AV321">_xlfn._xlws.FILTER(Table8[[Day Total]:[Day Total]],(MONTH(Table8[[Date]:[Date]])=$AM321)*(DAY(Table8[[Date]:[Date]])=$AN321)*(YEAR(Table8[[Date]:[Date]])=AV$1),0)</f>
        <v>0</v>
      </c>
      <c r="AW321">
        <f t="shared" si="19"/>
        <v>3102</v>
      </c>
    </row>
    <row r="322" spans="39:49" x14ac:dyDescent="0.25">
      <c r="AM322">
        <v>11</v>
      </c>
      <c r="AN322">
        <v>16</v>
      </c>
      <c r="AO322" t="str">
        <f t="shared" si="18"/>
        <v>11/16</v>
      </c>
      <c r="AP322" cm="1">
        <f t="array" ref="AP322">_xlfn._xlws.FILTER(Table8[[Day Total]:[Day Total]],(MONTH(Table8[[Date]:[Date]])=$AM322)*(DAY(Table8[[Date]:[Date]])=$AN322)*(YEAR(Table8[[Date]:[Date]])=AP$1),0)</f>
        <v>101</v>
      </c>
      <c r="AQ322">
        <f t="shared" si="22"/>
        <v>2008</v>
      </c>
      <c r="AR322" cm="1">
        <f t="array" ref="AR322">_xlfn._xlws.FILTER(Table8[[Day Total]:[Day Total]],(MONTH(Table8[[Date]:[Date]])=$AM322)*(DAY(Table8[[Date]:[Date]])=$AN322)*(YEAR(Table8[[Date]:[Date]])=AR$1),0)</f>
        <v>0</v>
      </c>
      <c r="AS322">
        <f t="shared" ref="AS322:AS367" si="23">AS321+AR322</f>
        <v>5800</v>
      </c>
      <c r="AT322" cm="1">
        <f t="array" ref="AT322">_xlfn._xlws.FILTER(Table8[[Day Total]:[Day Total]],(MONTH(Table8[[Date]:[Date]])=$AM322)*(DAY(Table8[[Date]:[Date]])=$AN322)*(YEAR(Table8[[Date]:[Date]])=AT$1),0)</f>
        <v>0</v>
      </c>
      <c r="AU322">
        <f t="shared" si="20"/>
        <v>1377</v>
      </c>
      <c r="AV322" cm="1">
        <f t="array" ref="AV322">_xlfn._xlws.FILTER(Table8[[Day Total]:[Day Total]],(MONTH(Table8[[Date]:[Date]])=$AM322)*(DAY(Table8[[Date]:[Date]])=$AN322)*(YEAR(Table8[[Date]:[Date]])=AV$1),0)</f>
        <v>0</v>
      </c>
      <c r="AW322">
        <f t="shared" si="19"/>
        <v>3102</v>
      </c>
    </row>
    <row r="323" spans="39:49" x14ac:dyDescent="0.25">
      <c r="AM323">
        <v>11</v>
      </c>
      <c r="AN323">
        <v>17</v>
      </c>
      <c r="AO323" t="str">
        <f t="shared" ref="AO323:AO367" si="24">_xlfn.CONCAT(AM323,"/",AN323)</f>
        <v>11/17</v>
      </c>
      <c r="AP323" cm="1">
        <f t="array" ref="AP323">_xlfn._xlws.FILTER(Table8[[Day Total]:[Day Total]],(MONTH(Table8[[Date]:[Date]])=$AM323)*(DAY(Table8[[Date]:[Date]])=$AN323)*(YEAR(Table8[[Date]:[Date]])=AP$1),0)</f>
        <v>200</v>
      </c>
      <c r="AQ323">
        <f t="shared" si="22"/>
        <v>2208</v>
      </c>
      <c r="AR323" cm="1">
        <f t="array" ref="AR323">_xlfn._xlws.FILTER(Table8[[Day Total]:[Day Total]],(MONTH(Table8[[Date]:[Date]])=$AM323)*(DAY(Table8[[Date]:[Date]])=$AN323)*(YEAR(Table8[[Date]:[Date]])=AR$1),0)</f>
        <v>0</v>
      </c>
      <c r="AS323">
        <f t="shared" si="23"/>
        <v>5800</v>
      </c>
      <c r="AT323" cm="1">
        <f t="array" ref="AT323">_xlfn._xlws.FILTER(Table8[[Day Total]:[Day Total]],(MONTH(Table8[[Date]:[Date]])=$AM323)*(DAY(Table8[[Date]:[Date]])=$AN323)*(YEAR(Table8[[Date]:[Date]])=AT$1),0)</f>
        <v>0</v>
      </c>
      <c r="AU323">
        <f t="shared" si="20"/>
        <v>1377</v>
      </c>
      <c r="AV323" cm="1">
        <f t="array" ref="AV323">_xlfn._xlws.FILTER(Table8[[Day Total]:[Day Total]],(MONTH(Table8[[Date]:[Date]])=$AM323)*(DAY(Table8[[Date]:[Date]])=$AN323)*(YEAR(Table8[[Date]:[Date]])=AV$1),0)</f>
        <v>0</v>
      </c>
      <c r="AW323">
        <f t="shared" si="19"/>
        <v>3102</v>
      </c>
    </row>
    <row r="324" spans="39:49" x14ac:dyDescent="0.25">
      <c r="AM324">
        <v>11</v>
      </c>
      <c r="AN324">
        <v>18</v>
      </c>
      <c r="AO324" t="str">
        <f t="shared" si="24"/>
        <v>11/18</v>
      </c>
      <c r="AP324" cm="1">
        <f t="array" ref="AP324">_xlfn._xlws.FILTER(Table8[[Day Total]:[Day Total]],(MONTH(Table8[[Date]:[Date]])=$AM324)*(DAY(Table8[[Date]:[Date]])=$AN324)*(YEAR(Table8[[Date]:[Date]])=AP$1),0)</f>
        <v>144</v>
      </c>
      <c r="AQ324">
        <f t="shared" si="22"/>
        <v>2352</v>
      </c>
      <c r="AR324" cm="1">
        <f t="array" ref="AR324">_xlfn._xlws.FILTER(Table8[[Day Total]:[Day Total]],(MONTH(Table8[[Date]:[Date]])=$AM324)*(DAY(Table8[[Date]:[Date]])=$AN324)*(YEAR(Table8[[Date]:[Date]])=AR$1),0)</f>
        <v>0</v>
      </c>
      <c r="AS324">
        <f t="shared" si="23"/>
        <v>5800</v>
      </c>
      <c r="AT324" cm="1">
        <f t="array" ref="AT324">_xlfn._xlws.FILTER(Table8[[Day Total]:[Day Total]],(MONTH(Table8[[Date]:[Date]])=$AM324)*(DAY(Table8[[Date]:[Date]])=$AN324)*(YEAR(Table8[[Date]:[Date]])=AT$1),0)</f>
        <v>0</v>
      </c>
      <c r="AU324">
        <f t="shared" si="20"/>
        <v>1377</v>
      </c>
      <c r="AV324" cm="1">
        <f t="array" ref="AV324">_xlfn._xlws.FILTER(Table8[[Day Total]:[Day Total]],(MONTH(Table8[[Date]:[Date]])=$AM324)*(DAY(Table8[[Date]:[Date]])=$AN324)*(YEAR(Table8[[Date]:[Date]])=AV$1),0)</f>
        <v>0</v>
      </c>
      <c r="AW324">
        <f t="shared" si="19"/>
        <v>3102</v>
      </c>
    </row>
    <row r="325" spans="39:49" x14ac:dyDescent="0.25">
      <c r="AM325">
        <v>11</v>
      </c>
      <c r="AN325">
        <v>19</v>
      </c>
      <c r="AO325" t="str">
        <f t="shared" si="24"/>
        <v>11/19</v>
      </c>
      <c r="AP325" cm="1">
        <f t="array" ref="AP325">_xlfn._xlws.FILTER(Table8[[Day Total]:[Day Total]],(MONTH(Table8[[Date]:[Date]])=$AM325)*(DAY(Table8[[Date]:[Date]])=$AN325)*(YEAR(Table8[[Date]:[Date]])=AP$1),0)</f>
        <v>71</v>
      </c>
      <c r="AQ325">
        <f t="shared" si="22"/>
        <v>2423</v>
      </c>
      <c r="AR325" cm="1">
        <f t="array" ref="AR325">_xlfn._xlws.FILTER(Table8[[Day Total]:[Day Total]],(MONTH(Table8[[Date]:[Date]])=$AM325)*(DAY(Table8[[Date]:[Date]])=$AN325)*(YEAR(Table8[[Date]:[Date]])=AR$1),0)</f>
        <v>0</v>
      </c>
      <c r="AS325">
        <f t="shared" si="23"/>
        <v>5800</v>
      </c>
      <c r="AT325" cm="1">
        <f t="array" ref="AT325">_xlfn._xlws.FILTER(Table8[[Day Total]:[Day Total]],(MONTH(Table8[[Date]:[Date]])=$AM325)*(DAY(Table8[[Date]:[Date]])=$AN325)*(YEAR(Table8[[Date]:[Date]])=AT$1),0)</f>
        <v>0</v>
      </c>
      <c r="AU325">
        <f t="shared" si="20"/>
        <v>1377</v>
      </c>
      <c r="AV325" cm="1">
        <f t="array" ref="AV325">_xlfn._xlws.FILTER(Table8[[Day Total]:[Day Total]],(MONTH(Table8[[Date]:[Date]])=$AM325)*(DAY(Table8[[Date]:[Date]])=$AN325)*(YEAR(Table8[[Date]:[Date]])=AV$1),0)</f>
        <v>0</v>
      </c>
      <c r="AW325">
        <f t="shared" si="19"/>
        <v>3102</v>
      </c>
    </row>
    <row r="326" spans="39:49" x14ac:dyDescent="0.25">
      <c r="AM326">
        <v>11</v>
      </c>
      <c r="AN326">
        <v>20</v>
      </c>
      <c r="AO326" t="str">
        <f t="shared" si="24"/>
        <v>11/20</v>
      </c>
      <c r="AP326" cm="1">
        <f t="array" ref="AP326">_xlfn._xlws.FILTER(Table8[[Day Total]:[Day Total]],(MONTH(Table8[[Date]:[Date]])=$AM326)*(DAY(Table8[[Date]:[Date]])=$AN326)*(YEAR(Table8[[Date]:[Date]])=AP$1),0)</f>
        <v>100</v>
      </c>
      <c r="AQ326">
        <f t="shared" si="22"/>
        <v>2523</v>
      </c>
      <c r="AR326" cm="1">
        <f t="array" ref="AR326">_xlfn._xlws.FILTER(Table8[[Day Total]:[Day Total]],(MONTH(Table8[[Date]:[Date]])=$AM326)*(DAY(Table8[[Date]:[Date]])=$AN326)*(YEAR(Table8[[Date]:[Date]])=AR$1),0)</f>
        <v>0</v>
      </c>
      <c r="AS326">
        <f t="shared" si="23"/>
        <v>5800</v>
      </c>
      <c r="AT326" cm="1">
        <f t="array" ref="AT326">_xlfn._xlws.FILTER(Table8[[Day Total]:[Day Total]],(MONTH(Table8[[Date]:[Date]])=$AM326)*(DAY(Table8[[Date]:[Date]])=$AN326)*(YEAR(Table8[[Date]:[Date]])=AT$1),0)</f>
        <v>0</v>
      </c>
      <c r="AU326">
        <f t="shared" si="20"/>
        <v>1377</v>
      </c>
      <c r="AV326" cm="1">
        <f t="array" ref="AV326">_xlfn._xlws.FILTER(Table8[[Day Total]:[Day Total]],(MONTH(Table8[[Date]:[Date]])=$AM326)*(DAY(Table8[[Date]:[Date]])=$AN326)*(YEAR(Table8[[Date]:[Date]])=AV$1),0)</f>
        <v>0</v>
      </c>
      <c r="AW326">
        <f t="shared" ref="AW326:AW367" si="25">AW325+AV326</f>
        <v>3102</v>
      </c>
    </row>
    <row r="327" spans="39:49" x14ac:dyDescent="0.25">
      <c r="AM327">
        <v>11</v>
      </c>
      <c r="AN327">
        <v>21</v>
      </c>
      <c r="AO327" t="str">
        <f t="shared" si="24"/>
        <v>11/21</v>
      </c>
      <c r="AP327" cm="1">
        <f t="array" ref="AP327">_xlfn._xlws.FILTER(Table8[[Day Total]:[Day Total]],(MONTH(Table8[[Date]:[Date]])=$AM327)*(DAY(Table8[[Date]:[Date]])=$AN327)*(YEAR(Table8[[Date]:[Date]])=AP$1),0)</f>
        <v>15</v>
      </c>
      <c r="AQ327">
        <f t="shared" si="22"/>
        <v>2538</v>
      </c>
      <c r="AR327" cm="1">
        <f t="array" ref="AR327">_xlfn._xlws.FILTER(Table8[[Day Total]:[Day Total]],(MONTH(Table8[[Date]:[Date]])=$AM327)*(DAY(Table8[[Date]:[Date]])=$AN327)*(YEAR(Table8[[Date]:[Date]])=AR$1),0)</f>
        <v>0</v>
      </c>
      <c r="AS327">
        <f t="shared" si="23"/>
        <v>5800</v>
      </c>
      <c r="AT327" cm="1">
        <f t="array" ref="AT327">_xlfn._xlws.FILTER(Table8[[Day Total]:[Day Total]],(MONTH(Table8[[Date]:[Date]])=$AM327)*(DAY(Table8[[Date]:[Date]])=$AN327)*(YEAR(Table8[[Date]:[Date]])=AT$1),0)</f>
        <v>0</v>
      </c>
      <c r="AU327">
        <f t="shared" si="20"/>
        <v>1377</v>
      </c>
      <c r="AV327" cm="1">
        <f t="array" ref="AV327">_xlfn._xlws.FILTER(Table8[[Day Total]:[Day Total]],(MONTH(Table8[[Date]:[Date]])=$AM327)*(DAY(Table8[[Date]:[Date]])=$AN327)*(YEAR(Table8[[Date]:[Date]])=AV$1),0)</f>
        <v>0</v>
      </c>
      <c r="AW327">
        <f t="shared" si="25"/>
        <v>3102</v>
      </c>
    </row>
    <row r="328" spans="39:49" x14ac:dyDescent="0.25">
      <c r="AM328">
        <v>11</v>
      </c>
      <c r="AN328">
        <v>22</v>
      </c>
      <c r="AO328" t="str">
        <f t="shared" si="24"/>
        <v>11/22</v>
      </c>
      <c r="AP328" cm="1">
        <f t="array" ref="AP328">_xlfn._xlws.FILTER(Table8[[Day Total]:[Day Total]],(MONTH(Table8[[Date]:[Date]])=$AM328)*(DAY(Table8[[Date]:[Date]])=$AN328)*(YEAR(Table8[[Date]:[Date]])=AP$1),0)</f>
        <v>72</v>
      </c>
      <c r="AQ328">
        <f t="shared" si="22"/>
        <v>2610</v>
      </c>
      <c r="AR328" cm="1">
        <f t="array" ref="AR328">_xlfn._xlws.FILTER(Table8[[Day Total]:[Day Total]],(MONTH(Table8[[Date]:[Date]])=$AM328)*(DAY(Table8[[Date]:[Date]])=$AN328)*(YEAR(Table8[[Date]:[Date]])=AR$1),0)</f>
        <v>0</v>
      </c>
      <c r="AS328">
        <f t="shared" si="23"/>
        <v>5800</v>
      </c>
      <c r="AT328" cm="1">
        <f t="array" ref="AT328">_xlfn._xlws.FILTER(Table8[[Day Total]:[Day Total]],(MONTH(Table8[[Date]:[Date]])=$AM328)*(DAY(Table8[[Date]:[Date]])=$AN328)*(YEAR(Table8[[Date]:[Date]])=AT$1),0)</f>
        <v>0</v>
      </c>
      <c r="AU328">
        <f t="shared" si="20"/>
        <v>1377</v>
      </c>
      <c r="AV328" cm="1">
        <f t="array" ref="AV328">_xlfn._xlws.FILTER(Table8[[Day Total]:[Day Total]],(MONTH(Table8[[Date]:[Date]])=$AM328)*(DAY(Table8[[Date]:[Date]])=$AN328)*(YEAR(Table8[[Date]:[Date]])=AV$1),0)</f>
        <v>0</v>
      </c>
      <c r="AW328">
        <f t="shared" si="25"/>
        <v>3102</v>
      </c>
    </row>
    <row r="329" spans="39:49" x14ac:dyDescent="0.25">
      <c r="AM329">
        <v>11</v>
      </c>
      <c r="AN329">
        <v>23</v>
      </c>
      <c r="AO329" t="str">
        <f t="shared" si="24"/>
        <v>11/23</v>
      </c>
      <c r="AP329" cm="1">
        <f t="array" ref="AP329">_xlfn._xlws.FILTER(Table8[[Day Total]:[Day Total]],(MONTH(Table8[[Date]:[Date]])=$AM329)*(DAY(Table8[[Date]:[Date]])=$AN329)*(YEAR(Table8[[Date]:[Date]])=AP$1),0)</f>
        <v>0</v>
      </c>
      <c r="AQ329">
        <f t="shared" si="22"/>
        <v>2610</v>
      </c>
      <c r="AR329" cm="1">
        <f t="array" ref="AR329">_xlfn._xlws.FILTER(Table8[[Day Total]:[Day Total]],(MONTH(Table8[[Date]:[Date]])=$AM329)*(DAY(Table8[[Date]:[Date]])=$AN329)*(YEAR(Table8[[Date]:[Date]])=AR$1),0)</f>
        <v>0</v>
      </c>
      <c r="AS329">
        <f t="shared" si="23"/>
        <v>5800</v>
      </c>
      <c r="AT329" cm="1">
        <f t="array" ref="AT329">_xlfn._xlws.FILTER(Table8[[Day Total]:[Day Total]],(MONTH(Table8[[Date]:[Date]])=$AM329)*(DAY(Table8[[Date]:[Date]])=$AN329)*(YEAR(Table8[[Date]:[Date]])=AT$1),0)</f>
        <v>0</v>
      </c>
      <c r="AU329">
        <f t="shared" si="20"/>
        <v>1377</v>
      </c>
      <c r="AV329" cm="1">
        <f t="array" ref="AV329">_xlfn._xlws.FILTER(Table8[[Day Total]:[Day Total]],(MONTH(Table8[[Date]:[Date]])=$AM329)*(DAY(Table8[[Date]:[Date]])=$AN329)*(YEAR(Table8[[Date]:[Date]])=AV$1),0)</f>
        <v>0</v>
      </c>
      <c r="AW329">
        <f t="shared" si="25"/>
        <v>3102</v>
      </c>
    </row>
    <row r="330" spans="39:49" x14ac:dyDescent="0.25">
      <c r="AM330">
        <v>11</v>
      </c>
      <c r="AN330">
        <v>24</v>
      </c>
      <c r="AO330" t="str">
        <f t="shared" si="24"/>
        <v>11/24</v>
      </c>
      <c r="AP330" cm="1">
        <f t="array" ref="AP330">_xlfn._xlws.FILTER(Table8[[Day Total]:[Day Total]],(MONTH(Table8[[Date]:[Date]])=$AM330)*(DAY(Table8[[Date]:[Date]])=$AN330)*(YEAR(Table8[[Date]:[Date]])=AP$1),0)</f>
        <v>44</v>
      </c>
      <c r="AQ330">
        <f t="shared" si="22"/>
        <v>2654</v>
      </c>
      <c r="AR330" cm="1">
        <f t="array" ref="AR330">_xlfn._xlws.FILTER(Table8[[Day Total]:[Day Total]],(MONTH(Table8[[Date]:[Date]])=$AM330)*(DAY(Table8[[Date]:[Date]])=$AN330)*(YEAR(Table8[[Date]:[Date]])=AR$1),0)</f>
        <v>0</v>
      </c>
      <c r="AS330">
        <f t="shared" si="23"/>
        <v>5800</v>
      </c>
      <c r="AT330" cm="1">
        <f t="array" ref="AT330">_xlfn._xlws.FILTER(Table8[[Day Total]:[Day Total]],(MONTH(Table8[[Date]:[Date]])=$AM330)*(DAY(Table8[[Date]:[Date]])=$AN330)*(YEAR(Table8[[Date]:[Date]])=AT$1),0)</f>
        <v>0</v>
      </c>
      <c r="AU330">
        <f t="shared" ref="AU330:AU367" si="26">AU329+AT330</f>
        <v>1377</v>
      </c>
      <c r="AV330" cm="1">
        <f t="array" ref="AV330">_xlfn._xlws.FILTER(Table8[[Day Total]:[Day Total]],(MONTH(Table8[[Date]:[Date]])=$AM330)*(DAY(Table8[[Date]:[Date]])=$AN330)*(YEAR(Table8[[Date]:[Date]])=AV$1),0)</f>
        <v>0</v>
      </c>
      <c r="AW330">
        <f t="shared" si="25"/>
        <v>3102</v>
      </c>
    </row>
    <row r="331" spans="39:49" x14ac:dyDescent="0.25">
      <c r="AM331">
        <v>11</v>
      </c>
      <c r="AN331">
        <v>25</v>
      </c>
      <c r="AO331" t="str">
        <f t="shared" si="24"/>
        <v>11/25</v>
      </c>
      <c r="AP331" cm="1">
        <f t="array" ref="AP331">_xlfn._xlws.FILTER(Table8[[Day Total]:[Day Total]],(MONTH(Table8[[Date]:[Date]])=$AM331)*(DAY(Table8[[Date]:[Date]])=$AN331)*(YEAR(Table8[[Date]:[Date]])=AP$1),0)</f>
        <v>22</v>
      </c>
      <c r="AQ331">
        <f t="shared" si="22"/>
        <v>2676</v>
      </c>
      <c r="AR331" cm="1">
        <f t="array" ref="AR331">_xlfn._xlws.FILTER(Table8[[Day Total]:[Day Total]],(MONTH(Table8[[Date]:[Date]])=$AM331)*(DAY(Table8[[Date]:[Date]])=$AN331)*(YEAR(Table8[[Date]:[Date]])=AR$1),0)</f>
        <v>0</v>
      </c>
      <c r="AS331">
        <f t="shared" si="23"/>
        <v>5800</v>
      </c>
      <c r="AT331" cm="1">
        <f t="array" ref="AT331">_xlfn._xlws.FILTER(Table8[[Day Total]:[Day Total]],(MONTH(Table8[[Date]:[Date]])=$AM331)*(DAY(Table8[[Date]:[Date]])=$AN331)*(YEAR(Table8[[Date]:[Date]])=AT$1),0)</f>
        <v>0</v>
      </c>
      <c r="AU331">
        <f t="shared" si="26"/>
        <v>1377</v>
      </c>
      <c r="AV331" cm="1">
        <f t="array" ref="AV331">_xlfn._xlws.FILTER(Table8[[Day Total]:[Day Total]],(MONTH(Table8[[Date]:[Date]])=$AM331)*(DAY(Table8[[Date]:[Date]])=$AN331)*(YEAR(Table8[[Date]:[Date]])=AV$1),0)</f>
        <v>0</v>
      </c>
      <c r="AW331">
        <f t="shared" si="25"/>
        <v>3102</v>
      </c>
    </row>
    <row r="332" spans="39:49" x14ac:dyDescent="0.25">
      <c r="AM332">
        <v>11</v>
      </c>
      <c r="AN332">
        <v>26</v>
      </c>
      <c r="AO332" t="str">
        <f t="shared" si="24"/>
        <v>11/26</v>
      </c>
      <c r="AP332" cm="1">
        <f t="array" ref="AP332">_xlfn._xlws.FILTER(Table8[[Day Total]:[Day Total]],(MONTH(Table8[[Date]:[Date]])=$AM332)*(DAY(Table8[[Date]:[Date]])=$AN332)*(YEAR(Table8[[Date]:[Date]])=AP$1),0)</f>
        <v>76</v>
      </c>
      <c r="AQ332">
        <f t="shared" si="22"/>
        <v>2752</v>
      </c>
      <c r="AR332" cm="1">
        <f t="array" ref="AR332">_xlfn._xlws.FILTER(Table8[[Day Total]:[Day Total]],(MONTH(Table8[[Date]:[Date]])=$AM332)*(DAY(Table8[[Date]:[Date]])=$AN332)*(YEAR(Table8[[Date]:[Date]])=AR$1),0)</f>
        <v>0</v>
      </c>
      <c r="AS332">
        <f t="shared" si="23"/>
        <v>5800</v>
      </c>
      <c r="AT332" cm="1">
        <f t="array" ref="AT332">_xlfn._xlws.FILTER(Table8[[Day Total]:[Day Total]],(MONTH(Table8[[Date]:[Date]])=$AM332)*(DAY(Table8[[Date]:[Date]])=$AN332)*(YEAR(Table8[[Date]:[Date]])=AT$1),0)</f>
        <v>0</v>
      </c>
      <c r="AU332">
        <f t="shared" si="26"/>
        <v>1377</v>
      </c>
      <c r="AV332" cm="1">
        <f t="array" ref="AV332">_xlfn._xlws.FILTER(Table8[[Day Total]:[Day Total]],(MONTH(Table8[[Date]:[Date]])=$AM332)*(DAY(Table8[[Date]:[Date]])=$AN332)*(YEAR(Table8[[Date]:[Date]])=AV$1),0)</f>
        <v>0</v>
      </c>
      <c r="AW332">
        <f t="shared" si="25"/>
        <v>3102</v>
      </c>
    </row>
    <row r="333" spans="39:49" x14ac:dyDescent="0.25">
      <c r="AM333">
        <v>11</v>
      </c>
      <c r="AN333">
        <v>27</v>
      </c>
      <c r="AO333" t="str">
        <f t="shared" si="24"/>
        <v>11/27</v>
      </c>
      <c r="AP333" cm="1">
        <f t="array" ref="AP333">_xlfn._xlws.FILTER(Table8[[Day Total]:[Day Total]],(MONTH(Table8[[Date]:[Date]])=$AM333)*(DAY(Table8[[Date]:[Date]])=$AN333)*(YEAR(Table8[[Date]:[Date]])=AP$1),0)</f>
        <v>89</v>
      </c>
      <c r="AQ333">
        <f t="shared" si="22"/>
        <v>2841</v>
      </c>
      <c r="AR333" cm="1">
        <f t="array" ref="AR333">_xlfn._xlws.FILTER(Table8[[Day Total]:[Day Total]],(MONTH(Table8[[Date]:[Date]])=$AM333)*(DAY(Table8[[Date]:[Date]])=$AN333)*(YEAR(Table8[[Date]:[Date]])=AR$1),0)</f>
        <v>0</v>
      </c>
      <c r="AS333">
        <f t="shared" si="23"/>
        <v>5800</v>
      </c>
      <c r="AT333" cm="1">
        <f t="array" ref="AT333">_xlfn._xlws.FILTER(Table8[[Day Total]:[Day Total]],(MONTH(Table8[[Date]:[Date]])=$AM333)*(DAY(Table8[[Date]:[Date]])=$AN333)*(YEAR(Table8[[Date]:[Date]])=AT$1),0)</f>
        <v>0</v>
      </c>
      <c r="AU333">
        <f t="shared" si="26"/>
        <v>1377</v>
      </c>
      <c r="AV333" cm="1">
        <f t="array" ref="AV333">_xlfn._xlws.FILTER(Table8[[Day Total]:[Day Total]],(MONTH(Table8[[Date]:[Date]])=$AM333)*(DAY(Table8[[Date]:[Date]])=$AN333)*(YEAR(Table8[[Date]:[Date]])=AV$1),0)</f>
        <v>0</v>
      </c>
      <c r="AW333">
        <f t="shared" si="25"/>
        <v>3102</v>
      </c>
    </row>
    <row r="334" spans="39:49" x14ac:dyDescent="0.25">
      <c r="AM334">
        <v>11</v>
      </c>
      <c r="AN334">
        <v>28</v>
      </c>
      <c r="AO334" t="str">
        <f t="shared" si="24"/>
        <v>11/28</v>
      </c>
      <c r="AP334" cm="1">
        <f t="array" ref="AP334">_xlfn._xlws.FILTER(Table8[[Day Total]:[Day Total]],(MONTH(Table8[[Date]:[Date]])=$AM334)*(DAY(Table8[[Date]:[Date]])=$AN334)*(YEAR(Table8[[Date]:[Date]])=AP$1),0)</f>
        <v>0</v>
      </c>
      <c r="AQ334">
        <f t="shared" si="22"/>
        <v>2841</v>
      </c>
      <c r="AR334" cm="1">
        <f t="array" ref="AR334">_xlfn._xlws.FILTER(Table8[[Day Total]:[Day Total]],(MONTH(Table8[[Date]:[Date]])=$AM334)*(DAY(Table8[[Date]:[Date]])=$AN334)*(YEAR(Table8[[Date]:[Date]])=AR$1),0)</f>
        <v>0</v>
      </c>
      <c r="AS334">
        <f t="shared" si="23"/>
        <v>5800</v>
      </c>
      <c r="AT334" cm="1">
        <f t="array" ref="AT334">_xlfn._xlws.FILTER(Table8[[Day Total]:[Day Total]],(MONTH(Table8[[Date]:[Date]])=$AM334)*(DAY(Table8[[Date]:[Date]])=$AN334)*(YEAR(Table8[[Date]:[Date]])=AT$1),0)</f>
        <v>0</v>
      </c>
      <c r="AU334">
        <f t="shared" si="26"/>
        <v>1377</v>
      </c>
      <c r="AV334" cm="1">
        <f t="array" ref="AV334">_xlfn._xlws.FILTER(Table8[[Day Total]:[Day Total]],(MONTH(Table8[[Date]:[Date]])=$AM334)*(DAY(Table8[[Date]:[Date]])=$AN334)*(YEAR(Table8[[Date]:[Date]])=AV$1),0)</f>
        <v>0</v>
      </c>
      <c r="AW334">
        <f t="shared" si="25"/>
        <v>3102</v>
      </c>
    </row>
    <row r="335" spans="39:49" x14ac:dyDescent="0.25">
      <c r="AM335">
        <v>11</v>
      </c>
      <c r="AN335">
        <v>29</v>
      </c>
      <c r="AO335" t="str">
        <f t="shared" si="24"/>
        <v>11/29</v>
      </c>
      <c r="AP335" cm="1">
        <f t="array" ref="AP335">_xlfn._xlws.FILTER(Table8[[Day Total]:[Day Total]],(MONTH(Table8[[Date]:[Date]])=$AM335)*(DAY(Table8[[Date]:[Date]])=$AN335)*(YEAR(Table8[[Date]:[Date]])=AP$1),0)</f>
        <v>63</v>
      </c>
      <c r="AQ335">
        <f t="shared" si="22"/>
        <v>2904</v>
      </c>
      <c r="AR335" cm="1">
        <f t="array" ref="AR335">_xlfn._xlws.FILTER(Table8[[Day Total]:[Day Total]],(MONTH(Table8[[Date]:[Date]])=$AM335)*(DAY(Table8[[Date]:[Date]])=$AN335)*(YEAR(Table8[[Date]:[Date]])=AR$1),0)</f>
        <v>0</v>
      </c>
      <c r="AS335">
        <f t="shared" si="23"/>
        <v>5800</v>
      </c>
      <c r="AT335" cm="1">
        <f t="array" ref="AT335">_xlfn._xlws.FILTER(Table8[[Day Total]:[Day Total]],(MONTH(Table8[[Date]:[Date]])=$AM335)*(DAY(Table8[[Date]:[Date]])=$AN335)*(YEAR(Table8[[Date]:[Date]])=AT$1),0)</f>
        <v>0</v>
      </c>
      <c r="AU335">
        <f t="shared" si="26"/>
        <v>1377</v>
      </c>
      <c r="AV335" cm="1">
        <f t="array" ref="AV335">_xlfn._xlws.FILTER(Table8[[Day Total]:[Day Total]],(MONTH(Table8[[Date]:[Date]])=$AM335)*(DAY(Table8[[Date]:[Date]])=$AN335)*(YEAR(Table8[[Date]:[Date]])=AV$1),0)</f>
        <v>0</v>
      </c>
      <c r="AW335">
        <f t="shared" si="25"/>
        <v>3102</v>
      </c>
    </row>
    <row r="336" spans="39:49" x14ac:dyDescent="0.25">
      <c r="AM336">
        <v>11</v>
      </c>
      <c r="AN336">
        <v>30</v>
      </c>
      <c r="AO336" t="str">
        <f t="shared" si="24"/>
        <v>11/30</v>
      </c>
      <c r="AP336" cm="1">
        <f t="array" ref="AP336">_xlfn._xlws.FILTER(Table8[[Day Total]:[Day Total]],(MONTH(Table8[[Date]:[Date]])=$AM336)*(DAY(Table8[[Date]:[Date]])=$AN336)*(YEAR(Table8[[Date]:[Date]])=AP$1),0)</f>
        <v>179</v>
      </c>
      <c r="AQ336">
        <f t="shared" si="22"/>
        <v>3083</v>
      </c>
      <c r="AR336" cm="1">
        <f t="array" ref="AR336">_xlfn._xlws.FILTER(Table8[[Day Total]:[Day Total]],(MONTH(Table8[[Date]:[Date]])=$AM336)*(DAY(Table8[[Date]:[Date]])=$AN336)*(YEAR(Table8[[Date]:[Date]])=AR$1),0)</f>
        <v>0</v>
      </c>
      <c r="AS336">
        <f t="shared" si="23"/>
        <v>5800</v>
      </c>
      <c r="AT336" cm="1">
        <f t="array" ref="AT336">_xlfn._xlws.FILTER(Table8[[Day Total]:[Day Total]],(MONTH(Table8[[Date]:[Date]])=$AM336)*(DAY(Table8[[Date]:[Date]])=$AN336)*(YEAR(Table8[[Date]:[Date]])=AT$1),0)</f>
        <v>0</v>
      </c>
      <c r="AU336">
        <f t="shared" si="26"/>
        <v>1377</v>
      </c>
      <c r="AV336" cm="1">
        <f t="array" ref="AV336">_xlfn._xlws.FILTER(Table8[[Day Total]:[Day Total]],(MONTH(Table8[[Date]:[Date]])=$AM336)*(DAY(Table8[[Date]:[Date]])=$AN336)*(YEAR(Table8[[Date]:[Date]])=AV$1),0)</f>
        <v>0</v>
      </c>
      <c r="AW336">
        <f t="shared" si="25"/>
        <v>3102</v>
      </c>
    </row>
    <row r="337" spans="38:49" x14ac:dyDescent="0.25">
      <c r="AL337" t="s">
        <v>111</v>
      </c>
      <c r="AM337">
        <v>12</v>
      </c>
      <c r="AN337">
        <v>1</v>
      </c>
      <c r="AO337" t="str">
        <f t="shared" si="24"/>
        <v>12/1</v>
      </c>
      <c r="AP337" cm="1">
        <f t="array" ref="AP337">_xlfn._xlws.FILTER(Table8[[Day Total]:[Day Total]],(MONTH(Table8[[Date]:[Date]])=$AM337)*(DAY(Table8[[Date]:[Date]])=$AN337)*(YEAR(Table8[[Date]:[Date]])=AP$1),0)</f>
        <v>44</v>
      </c>
      <c r="AQ337">
        <f t="shared" si="22"/>
        <v>3127</v>
      </c>
      <c r="AR337" cm="1">
        <f t="array" ref="AR337">_xlfn._xlws.FILTER(Table8[[Day Total]:[Day Total]],(MONTH(Table8[[Date]:[Date]])=$AM337)*(DAY(Table8[[Date]:[Date]])=$AN337)*(YEAR(Table8[[Date]:[Date]])=AR$1),0)</f>
        <v>0</v>
      </c>
      <c r="AS337">
        <f t="shared" si="23"/>
        <v>5800</v>
      </c>
      <c r="AT337" cm="1">
        <f t="array" ref="AT337">_xlfn._xlws.FILTER(Table8[[Day Total]:[Day Total]],(MONTH(Table8[[Date]:[Date]])=$AM337)*(DAY(Table8[[Date]:[Date]])=$AN337)*(YEAR(Table8[[Date]:[Date]])=AT$1),0)</f>
        <v>0</v>
      </c>
      <c r="AU337">
        <f t="shared" si="26"/>
        <v>1377</v>
      </c>
      <c r="AV337" cm="1">
        <f t="array" ref="AV337">_xlfn._xlws.FILTER(Table8[[Day Total]:[Day Total]],(MONTH(Table8[[Date]:[Date]])=$AM337)*(DAY(Table8[[Date]:[Date]])=$AN337)*(YEAR(Table8[[Date]:[Date]])=AV$1),0)</f>
        <v>0</v>
      </c>
      <c r="AW337">
        <f t="shared" si="25"/>
        <v>3102</v>
      </c>
    </row>
    <row r="338" spans="38:49" x14ac:dyDescent="0.25">
      <c r="AM338">
        <v>12</v>
      </c>
      <c r="AN338">
        <v>2</v>
      </c>
      <c r="AO338" t="str">
        <f t="shared" si="24"/>
        <v>12/2</v>
      </c>
      <c r="AP338" cm="1">
        <f t="array" ref="AP338">_xlfn._xlws.FILTER(Table8[[Day Total]:[Day Total]],(MONTH(Table8[[Date]:[Date]])=$AM338)*(DAY(Table8[[Date]:[Date]])=$AN338)*(YEAR(Table8[[Date]:[Date]])=AP$1),0)</f>
        <v>0</v>
      </c>
      <c r="AQ338">
        <f t="shared" si="22"/>
        <v>3127</v>
      </c>
      <c r="AR338" cm="1">
        <f t="array" ref="AR338">_xlfn._xlws.FILTER(Table8[[Day Total]:[Day Total]],(MONTH(Table8[[Date]:[Date]])=$AM338)*(DAY(Table8[[Date]:[Date]])=$AN338)*(YEAR(Table8[[Date]:[Date]])=AR$1),0)</f>
        <v>0</v>
      </c>
      <c r="AS338">
        <f t="shared" si="23"/>
        <v>5800</v>
      </c>
      <c r="AT338" cm="1">
        <f t="array" ref="AT338">_xlfn._xlws.FILTER(Table8[[Day Total]:[Day Total]],(MONTH(Table8[[Date]:[Date]])=$AM338)*(DAY(Table8[[Date]:[Date]])=$AN338)*(YEAR(Table8[[Date]:[Date]])=AT$1),0)</f>
        <v>0</v>
      </c>
      <c r="AU338">
        <f t="shared" si="26"/>
        <v>1377</v>
      </c>
      <c r="AV338" cm="1">
        <f t="array" ref="AV338">_xlfn._xlws.FILTER(Table8[[Day Total]:[Day Total]],(MONTH(Table8[[Date]:[Date]])=$AM338)*(DAY(Table8[[Date]:[Date]])=$AN338)*(YEAR(Table8[[Date]:[Date]])=AV$1),0)</f>
        <v>0</v>
      </c>
      <c r="AW338">
        <f t="shared" si="25"/>
        <v>3102</v>
      </c>
    </row>
    <row r="339" spans="38:49" x14ac:dyDescent="0.25">
      <c r="AM339">
        <v>12</v>
      </c>
      <c r="AN339">
        <v>3</v>
      </c>
      <c r="AO339" t="str">
        <f t="shared" si="24"/>
        <v>12/3</v>
      </c>
      <c r="AP339" cm="1">
        <f t="array" ref="AP339">_xlfn._xlws.FILTER(Table8[[Day Total]:[Day Total]],(MONTH(Table8[[Date]:[Date]])=$AM339)*(DAY(Table8[[Date]:[Date]])=$AN339)*(YEAR(Table8[[Date]:[Date]])=AP$1),0)</f>
        <v>114</v>
      </c>
      <c r="AQ339">
        <f t="shared" si="22"/>
        <v>3241</v>
      </c>
      <c r="AR339" cm="1">
        <f t="array" ref="AR339">_xlfn._xlws.FILTER(Table8[[Day Total]:[Day Total]],(MONTH(Table8[[Date]:[Date]])=$AM339)*(DAY(Table8[[Date]:[Date]])=$AN339)*(YEAR(Table8[[Date]:[Date]])=AR$1),0)</f>
        <v>0</v>
      </c>
      <c r="AS339">
        <f t="shared" si="23"/>
        <v>5800</v>
      </c>
      <c r="AT339" cm="1">
        <f t="array" ref="AT339">_xlfn._xlws.FILTER(Table8[[Day Total]:[Day Total]],(MONTH(Table8[[Date]:[Date]])=$AM339)*(DAY(Table8[[Date]:[Date]])=$AN339)*(YEAR(Table8[[Date]:[Date]])=AT$1),0)</f>
        <v>0</v>
      </c>
      <c r="AU339">
        <f t="shared" si="26"/>
        <v>1377</v>
      </c>
      <c r="AV339" cm="1">
        <f t="array" ref="AV339">_xlfn._xlws.FILTER(Table8[[Day Total]:[Day Total]],(MONTH(Table8[[Date]:[Date]])=$AM339)*(DAY(Table8[[Date]:[Date]])=$AN339)*(YEAR(Table8[[Date]:[Date]])=AV$1),0)</f>
        <v>0</v>
      </c>
      <c r="AW339">
        <f t="shared" si="25"/>
        <v>3102</v>
      </c>
    </row>
    <row r="340" spans="38:49" x14ac:dyDescent="0.25">
      <c r="AM340">
        <v>12</v>
      </c>
      <c r="AN340">
        <v>4</v>
      </c>
      <c r="AO340" t="str">
        <f t="shared" si="24"/>
        <v>12/4</v>
      </c>
      <c r="AP340" cm="1">
        <f t="array" ref="AP340">_xlfn._xlws.FILTER(Table8[[Day Total]:[Day Total]],(MONTH(Table8[[Date]:[Date]])=$AM340)*(DAY(Table8[[Date]:[Date]])=$AN340)*(YEAR(Table8[[Date]:[Date]])=AP$1),0)</f>
        <v>0</v>
      </c>
      <c r="AQ340">
        <f t="shared" si="22"/>
        <v>3241</v>
      </c>
      <c r="AR340" cm="1">
        <f t="array" ref="AR340">_xlfn._xlws.FILTER(Table8[[Day Total]:[Day Total]],(MONTH(Table8[[Date]:[Date]])=$AM340)*(DAY(Table8[[Date]:[Date]])=$AN340)*(YEAR(Table8[[Date]:[Date]])=AR$1),0)</f>
        <v>0</v>
      </c>
      <c r="AS340">
        <f t="shared" si="23"/>
        <v>5800</v>
      </c>
      <c r="AT340" cm="1">
        <f t="array" ref="AT340">_xlfn._xlws.FILTER(Table8[[Day Total]:[Day Total]],(MONTH(Table8[[Date]:[Date]])=$AM340)*(DAY(Table8[[Date]:[Date]])=$AN340)*(YEAR(Table8[[Date]:[Date]])=AT$1),0)</f>
        <v>0</v>
      </c>
      <c r="AU340">
        <f t="shared" si="26"/>
        <v>1377</v>
      </c>
      <c r="AV340" cm="1">
        <f t="array" ref="AV340">_xlfn._xlws.FILTER(Table8[[Day Total]:[Day Total]],(MONTH(Table8[[Date]:[Date]])=$AM340)*(DAY(Table8[[Date]:[Date]])=$AN340)*(YEAR(Table8[[Date]:[Date]])=AV$1),0)</f>
        <v>0</v>
      </c>
      <c r="AW340">
        <f t="shared" si="25"/>
        <v>3102</v>
      </c>
    </row>
    <row r="341" spans="38:49" x14ac:dyDescent="0.25">
      <c r="AM341">
        <v>12</v>
      </c>
      <c r="AN341">
        <v>5</v>
      </c>
      <c r="AO341" t="str">
        <f t="shared" si="24"/>
        <v>12/5</v>
      </c>
      <c r="AP341" cm="1">
        <f t="array" ref="AP341">_xlfn._xlws.FILTER(Table8[[Day Total]:[Day Total]],(MONTH(Table8[[Date]:[Date]])=$AM341)*(DAY(Table8[[Date]:[Date]])=$AN341)*(YEAR(Table8[[Date]:[Date]])=AP$1),0)</f>
        <v>263</v>
      </c>
      <c r="AQ341">
        <f t="shared" si="22"/>
        <v>3504</v>
      </c>
      <c r="AR341" cm="1">
        <f t="array" ref="AR341">_xlfn._xlws.FILTER(Table8[[Day Total]:[Day Total]],(MONTH(Table8[[Date]:[Date]])=$AM341)*(DAY(Table8[[Date]:[Date]])=$AN341)*(YEAR(Table8[[Date]:[Date]])=AR$1),0)</f>
        <v>0</v>
      </c>
      <c r="AS341">
        <f t="shared" si="23"/>
        <v>5800</v>
      </c>
      <c r="AT341" cm="1">
        <f t="array" ref="AT341">_xlfn._xlws.FILTER(Table8[[Day Total]:[Day Total]],(MONTH(Table8[[Date]:[Date]])=$AM341)*(DAY(Table8[[Date]:[Date]])=$AN341)*(YEAR(Table8[[Date]:[Date]])=AT$1),0)</f>
        <v>0</v>
      </c>
      <c r="AU341">
        <f t="shared" si="26"/>
        <v>1377</v>
      </c>
      <c r="AV341" cm="1">
        <f t="array" ref="AV341">_xlfn._xlws.FILTER(Table8[[Day Total]:[Day Total]],(MONTH(Table8[[Date]:[Date]])=$AM341)*(DAY(Table8[[Date]:[Date]])=$AN341)*(YEAR(Table8[[Date]:[Date]])=AV$1),0)</f>
        <v>0</v>
      </c>
      <c r="AW341">
        <f t="shared" si="25"/>
        <v>3102</v>
      </c>
    </row>
    <row r="342" spans="38:49" x14ac:dyDescent="0.25">
      <c r="AM342">
        <v>12</v>
      </c>
      <c r="AN342">
        <v>6</v>
      </c>
      <c r="AO342" t="str">
        <f t="shared" si="24"/>
        <v>12/6</v>
      </c>
      <c r="AP342" cm="1">
        <f t="array" ref="AP342">_xlfn._xlws.FILTER(Table8[[Day Total]:[Day Total]],(MONTH(Table8[[Date]:[Date]])=$AM342)*(DAY(Table8[[Date]:[Date]])=$AN342)*(YEAR(Table8[[Date]:[Date]])=AP$1),0)</f>
        <v>42</v>
      </c>
      <c r="AQ342">
        <f t="shared" si="22"/>
        <v>3546</v>
      </c>
      <c r="AR342" cm="1">
        <f t="array" ref="AR342">_xlfn._xlws.FILTER(Table8[[Day Total]:[Day Total]],(MONTH(Table8[[Date]:[Date]])=$AM342)*(DAY(Table8[[Date]:[Date]])=$AN342)*(YEAR(Table8[[Date]:[Date]])=AR$1),0)</f>
        <v>0</v>
      </c>
      <c r="AS342">
        <f t="shared" si="23"/>
        <v>5800</v>
      </c>
      <c r="AT342" cm="1">
        <f t="array" ref="AT342">_xlfn._xlws.FILTER(Table8[[Day Total]:[Day Total]],(MONTH(Table8[[Date]:[Date]])=$AM342)*(DAY(Table8[[Date]:[Date]])=$AN342)*(YEAR(Table8[[Date]:[Date]])=AT$1),0)</f>
        <v>0</v>
      </c>
      <c r="AU342">
        <f t="shared" si="26"/>
        <v>1377</v>
      </c>
      <c r="AV342" cm="1">
        <f t="array" ref="AV342">_xlfn._xlws.FILTER(Table8[[Day Total]:[Day Total]],(MONTH(Table8[[Date]:[Date]])=$AM342)*(DAY(Table8[[Date]:[Date]])=$AN342)*(YEAR(Table8[[Date]:[Date]])=AV$1),0)</f>
        <v>0</v>
      </c>
      <c r="AW342">
        <f t="shared" si="25"/>
        <v>3102</v>
      </c>
    </row>
    <row r="343" spans="38:49" x14ac:dyDescent="0.25">
      <c r="AM343">
        <v>12</v>
      </c>
      <c r="AN343">
        <v>7</v>
      </c>
      <c r="AO343" t="str">
        <f t="shared" si="24"/>
        <v>12/7</v>
      </c>
      <c r="AP343" cm="1">
        <f t="array" ref="AP343">_xlfn._xlws.FILTER(Table8[[Day Total]:[Day Total]],(MONTH(Table8[[Date]:[Date]])=$AM343)*(DAY(Table8[[Date]:[Date]])=$AN343)*(YEAR(Table8[[Date]:[Date]])=AP$1),0)</f>
        <v>103</v>
      </c>
      <c r="AQ343">
        <f t="shared" si="22"/>
        <v>3649</v>
      </c>
      <c r="AR343" cm="1">
        <f t="array" ref="AR343">_xlfn._xlws.FILTER(Table8[[Day Total]:[Day Total]],(MONTH(Table8[[Date]:[Date]])=$AM343)*(DAY(Table8[[Date]:[Date]])=$AN343)*(YEAR(Table8[[Date]:[Date]])=AR$1),0)</f>
        <v>0</v>
      </c>
      <c r="AS343">
        <f t="shared" si="23"/>
        <v>5800</v>
      </c>
      <c r="AT343" cm="1">
        <f t="array" ref="AT343">_xlfn._xlws.FILTER(Table8[[Day Total]:[Day Total]],(MONTH(Table8[[Date]:[Date]])=$AM343)*(DAY(Table8[[Date]:[Date]])=$AN343)*(YEAR(Table8[[Date]:[Date]])=AT$1),0)</f>
        <v>0</v>
      </c>
      <c r="AU343">
        <f t="shared" si="26"/>
        <v>1377</v>
      </c>
      <c r="AV343" cm="1">
        <f t="array" ref="AV343">_xlfn._xlws.FILTER(Table8[[Day Total]:[Day Total]],(MONTH(Table8[[Date]:[Date]])=$AM343)*(DAY(Table8[[Date]:[Date]])=$AN343)*(YEAR(Table8[[Date]:[Date]])=AV$1),0)</f>
        <v>0</v>
      </c>
      <c r="AW343">
        <f t="shared" si="25"/>
        <v>3102</v>
      </c>
    </row>
    <row r="344" spans="38:49" x14ac:dyDescent="0.25">
      <c r="AM344">
        <v>12</v>
      </c>
      <c r="AN344">
        <v>8</v>
      </c>
      <c r="AO344" t="str">
        <f t="shared" si="24"/>
        <v>12/8</v>
      </c>
      <c r="AP344" cm="1">
        <f t="array" ref="AP344">_xlfn._xlws.FILTER(Table8[[Day Total]:[Day Total]],(MONTH(Table8[[Date]:[Date]])=$AM344)*(DAY(Table8[[Date]:[Date]])=$AN344)*(YEAR(Table8[[Date]:[Date]])=AP$1),0)</f>
        <v>62</v>
      </c>
      <c r="AQ344">
        <f t="shared" si="22"/>
        <v>3711</v>
      </c>
      <c r="AR344" cm="1">
        <f t="array" ref="AR344">_xlfn._xlws.FILTER(Table8[[Day Total]:[Day Total]],(MONTH(Table8[[Date]:[Date]])=$AM344)*(DAY(Table8[[Date]:[Date]])=$AN344)*(YEAR(Table8[[Date]:[Date]])=AR$1),0)</f>
        <v>0</v>
      </c>
      <c r="AS344">
        <f t="shared" si="23"/>
        <v>5800</v>
      </c>
      <c r="AT344" cm="1">
        <f t="array" ref="AT344">_xlfn._xlws.FILTER(Table8[[Day Total]:[Day Total]],(MONTH(Table8[[Date]:[Date]])=$AM344)*(DAY(Table8[[Date]:[Date]])=$AN344)*(YEAR(Table8[[Date]:[Date]])=AT$1),0)</f>
        <v>0</v>
      </c>
      <c r="AU344">
        <f t="shared" si="26"/>
        <v>1377</v>
      </c>
      <c r="AV344" cm="1">
        <f t="array" ref="AV344">_xlfn._xlws.FILTER(Table8[[Day Total]:[Day Total]],(MONTH(Table8[[Date]:[Date]])=$AM344)*(DAY(Table8[[Date]:[Date]])=$AN344)*(YEAR(Table8[[Date]:[Date]])=AV$1),0)</f>
        <v>0</v>
      </c>
      <c r="AW344">
        <f t="shared" si="25"/>
        <v>3102</v>
      </c>
    </row>
    <row r="345" spans="38:49" x14ac:dyDescent="0.25">
      <c r="AM345">
        <v>12</v>
      </c>
      <c r="AN345">
        <v>9</v>
      </c>
      <c r="AO345" t="str">
        <f t="shared" si="24"/>
        <v>12/9</v>
      </c>
      <c r="AP345" cm="1">
        <f t="array" ref="AP345">_xlfn._xlws.FILTER(Table8[[Day Total]:[Day Total]],(MONTH(Table8[[Date]:[Date]])=$AM345)*(DAY(Table8[[Date]:[Date]])=$AN345)*(YEAR(Table8[[Date]:[Date]])=AP$1),0)</f>
        <v>0</v>
      </c>
      <c r="AQ345">
        <f t="shared" si="22"/>
        <v>3711</v>
      </c>
      <c r="AR345" cm="1">
        <f t="array" ref="AR345">_xlfn._xlws.FILTER(Table8[[Day Total]:[Day Total]],(MONTH(Table8[[Date]:[Date]])=$AM345)*(DAY(Table8[[Date]:[Date]])=$AN345)*(YEAR(Table8[[Date]:[Date]])=AR$1),0)</f>
        <v>0</v>
      </c>
      <c r="AS345">
        <f t="shared" si="23"/>
        <v>5800</v>
      </c>
      <c r="AT345" cm="1">
        <f t="array" ref="AT345">_xlfn._xlws.FILTER(Table8[[Day Total]:[Day Total]],(MONTH(Table8[[Date]:[Date]])=$AM345)*(DAY(Table8[[Date]:[Date]])=$AN345)*(YEAR(Table8[[Date]:[Date]])=AT$1),0)</f>
        <v>0</v>
      </c>
      <c r="AU345">
        <f t="shared" si="26"/>
        <v>1377</v>
      </c>
      <c r="AV345" cm="1">
        <f t="array" ref="AV345">_xlfn._xlws.FILTER(Table8[[Day Total]:[Day Total]],(MONTH(Table8[[Date]:[Date]])=$AM345)*(DAY(Table8[[Date]:[Date]])=$AN345)*(YEAR(Table8[[Date]:[Date]])=AV$1),0)</f>
        <v>0</v>
      </c>
      <c r="AW345">
        <f t="shared" si="25"/>
        <v>3102</v>
      </c>
    </row>
    <row r="346" spans="38:49" x14ac:dyDescent="0.25">
      <c r="AM346">
        <v>12</v>
      </c>
      <c r="AN346">
        <v>10</v>
      </c>
      <c r="AO346" t="str">
        <f t="shared" si="24"/>
        <v>12/10</v>
      </c>
      <c r="AP346" cm="1">
        <f t="array" ref="AP346">_xlfn._xlws.FILTER(Table8[[Day Total]:[Day Total]],(MONTH(Table8[[Date]:[Date]])=$AM346)*(DAY(Table8[[Date]:[Date]])=$AN346)*(YEAR(Table8[[Date]:[Date]])=AP$1),0)</f>
        <v>0</v>
      </c>
      <c r="AQ346">
        <f t="shared" si="22"/>
        <v>3711</v>
      </c>
      <c r="AR346" cm="1">
        <f t="array" ref="AR346">_xlfn._xlws.FILTER(Table8[[Day Total]:[Day Total]],(MONTH(Table8[[Date]:[Date]])=$AM346)*(DAY(Table8[[Date]:[Date]])=$AN346)*(YEAR(Table8[[Date]:[Date]])=AR$1),0)</f>
        <v>0</v>
      </c>
      <c r="AS346">
        <f t="shared" si="23"/>
        <v>5800</v>
      </c>
      <c r="AT346" cm="1">
        <f t="array" ref="AT346">_xlfn._xlws.FILTER(Table8[[Day Total]:[Day Total]],(MONTH(Table8[[Date]:[Date]])=$AM346)*(DAY(Table8[[Date]:[Date]])=$AN346)*(YEAR(Table8[[Date]:[Date]])=AT$1),0)</f>
        <v>0</v>
      </c>
      <c r="AU346">
        <f t="shared" si="26"/>
        <v>1377</v>
      </c>
      <c r="AV346" cm="1">
        <f t="array" ref="AV346">_xlfn._xlws.FILTER(Table8[[Day Total]:[Day Total]],(MONTH(Table8[[Date]:[Date]])=$AM346)*(DAY(Table8[[Date]:[Date]])=$AN346)*(YEAR(Table8[[Date]:[Date]])=AV$1),0)</f>
        <v>0</v>
      </c>
      <c r="AW346">
        <f t="shared" si="25"/>
        <v>3102</v>
      </c>
    </row>
    <row r="347" spans="38:49" x14ac:dyDescent="0.25">
      <c r="AM347">
        <v>12</v>
      </c>
      <c r="AN347">
        <v>11</v>
      </c>
      <c r="AO347" t="str">
        <f t="shared" si="24"/>
        <v>12/11</v>
      </c>
      <c r="AP347" cm="1">
        <f t="array" ref="AP347">_xlfn._xlws.FILTER(Table8[[Day Total]:[Day Total]],(MONTH(Table8[[Date]:[Date]])=$AM347)*(DAY(Table8[[Date]:[Date]])=$AN347)*(YEAR(Table8[[Date]:[Date]])=AP$1),0)</f>
        <v>127</v>
      </c>
      <c r="AQ347">
        <f t="shared" si="22"/>
        <v>3838</v>
      </c>
      <c r="AR347" cm="1">
        <f t="array" ref="AR347">_xlfn._xlws.FILTER(Table8[[Day Total]:[Day Total]],(MONTH(Table8[[Date]:[Date]])=$AM347)*(DAY(Table8[[Date]:[Date]])=$AN347)*(YEAR(Table8[[Date]:[Date]])=AR$1),0)</f>
        <v>0</v>
      </c>
      <c r="AS347">
        <f t="shared" si="23"/>
        <v>5800</v>
      </c>
      <c r="AT347" cm="1">
        <f t="array" ref="AT347">_xlfn._xlws.FILTER(Table8[[Day Total]:[Day Total]],(MONTH(Table8[[Date]:[Date]])=$AM347)*(DAY(Table8[[Date]:[Date]])=$AN347)*(YEAR(Table8[[Date]:[Date]])=AT$1),0)</f>
        <v>0</v>
      </c>
      <c r="AU347">
        <f t="shared" si="26"/>
        <v>1377</v>
      </c>
      <c r="AV347" cm="1">
        <f t="array" ref="AV347">_xlfn._xlws.FILTER(Table8[[Day Total]:[Day Total]],(MONTH(Table8[[Date]:[Date]])=$AM347)*(DAY(Table8[[Date]:[Date]])=$AN347)*(YEAR(Table8[[Date]:[Date]])=AV$1),0)</f>
        <v>0</v>
      </c>
      <c r="AW347">
        <f t="shared" si="25"/>
        <v>3102</v>
      </c>
    </row>
    <row r="348" spans="38:49" x14ac:dyDescent="0.25">
      <c r="AM348">
        <v>12</v>
      </c>
      <c r="AN348">
        <v>12</v>
      </c>
      <c r="AO348" t="str">
        <f t="shared" si="24"/>
        <v>12/12</v>
      </c>
      <c r="AP348" cm="1">
        <f t="array" ref="AP348">_xlfn._xlws.FILTER(Table8[[Day Total]:[Day Total]],(MONTH(Table8[[Date]:[Date]])=$AM348)*(DAY(Table8[[Date]:[Date]])=$AN348)*(YEAR(Table8[[Date]:[Date]])=AP$1),0)</f>
        <v>34</v>
      </c>
      <c r="AQ348">
        <f t="shared" si="22"/>
        <v>3872</v>
      </c>
      <c r="AR348" cm="1">
        <f t="array" ref="AR348">_xlfn._xlws.FILTER(Table8[[Day Total]:[Day Total]],(MONTH(Table8[[Date]:[Date]])=$AM348)*(DAY(Table8[[Date]:[Date]])=$AN348)*(YEAR(Table8[[Date]:[Date]])=AR$1),0)</f>
        <v>0</v>
      </c>
      <c r="AS348">
        <f t="shared" si="23"/>
        <v>5800</v>
      </c>
      <c r="AT348" cm="1">
        <f t="array" ref="AT348">_xlfn._xlws.FILTER(Table8[[Day Total]:[Day Total]],(MONTH(Table8[[Date]:[Date]])=$AM348)*(DAY(Table8[[Date]:[Date]])=$AN348)*(YEAR(Table8[[Date]:[Date]])=AT$1),0)</f>
        <v>0</v>
      </c>
      <c r="AU348">
        <f t="shared" si="26"/>
        <v>1377</v>
      </c>
      <c r="AV348" cm="1">
        <f t="array" ref="AV348">_xlfn._xlws.FILTER(Table8[[Day Total]:[Day Total]],(MONTH(Table8[[Date]:[Date]])=$AM348)*(DAY(Table8[[Date]:[Date]])=$AN348)*(YEAR(Table8[[Date]:[Date]])=AV$1),0)</f>
        <v>0</v>
      </c>
      <c r="AW348">
        <f t="shared" si="25"/>
        <v>3102</v>
      </c>
    </row>
    <row r="349" spans="38:49" x14ac:dyDescent="0.25">
      <c r="AM349">
        <v>12</v>
      </c>
      <c r="AN349">
        <v>13</v>
      </c>
      <c r="AO349" t="str">
        <f t="shared" si="24"/>
        <v>12/13</v>
      </c>
      <c r="AP349" cm="1">
        <f t="array" ref="AP349">_xlfn._xlws.FILTER(Table8[[Day Total]:[Day Total]],(MONTH(Table8[[Date]:[Date]])=$AM349)*(DAY(Table8[[Date]:[Date]])=$AN349)*(YEAR(Table8[[Date]:[Date]])=AP$1),0)</f>
        <v>0</v>
      </c>
      <c r="AQ349">
        <f t="shared" si="22"/>
        <v>3872</v>
      </c>
      <c r="AR349" cm="1">
        <f t="array" ref="AR349">_xlfn._xlws.FILTER(Table8[[Day Total]:[Day Total]],(MONTH(Table8[[Date]:[Date]])=$AM349)*(DAY(Table8[[Date]:[Date]])=$AN349)*(YEAR(Table8[[Date]:[Date]])=AR$1),0)</f>
        <v>0</v>
      </c>
      <c r="AS349">
        <f t="shared" si="23"/>
        <v>5800</v>
      </c>
      <c r="AT349" cm="1">
        <f t="array" ref="AT349">_xlfn._xlws.FILTER(Table8[[Day Total]:[Day Total]],(MONTH(Table8[[Date]:[Date]])=$AM349)*(DAY(Table8[[Date]:[Date]])=$AN349)*(YEAR(Table8[[Date]:[Date]])=AT$1),0)</f>
        <v>0</v>
      </c>
      <c r="AU349">
        <f t="shared" si="26"/>
        <v>1377</v>
      </c>
      <c r="AV349" cm="1">
        <f t="array" ref="AV349">_xlfn._xlws.FILTER(Table8[[Day Total]:[Day Total]],(MONTH(Table8[[Date]:[Date]])=$AM349)*(DAY(Table8[[Date]:[Date]])=$AN349)*(YEAR(Table8[[Date]:[Date]])=AV$1),0)</f>
        <v>0</v>
      </c>
      <c r="AW349">
        <f t="shared" si="25"/>
        <v>3102</v>
      </c>
    </row>
    <row r="350" spans="38:49" x14ac:dyDescent="0.25">
      <c r="AM350">
        <v>12</v>
      </c>
      <c r="AN350">
        <v>14</v>
      </c>
      <c r="AO350" t="str">
        <f t="shared" si="24"/>
        <v>12/14</v>
      </c>
      <c r="AP350" cm="1">
        <f t="array" ref="AP350">_xlfn._xlws.FILTER(Table8[[Day Total]:[Day Total]],(MONTH(Table8[[Date]:[Date]])=$AM350)*(DAY(Table8[[Date]:[Date]])=$AN350)*(YEAR(Table8[[Date]:[Date]])=AP$1),0)</f>
        <v>26</v>
      </c>
      <c r="AQ350">
        <f t="shared" ref="AQ350:AQ367" si="27">AQ349+AP350</f>
        <v>3898</v>
      </c>
      <c r="AR350" cm="1">
        <f t="array" ref="AR350">_xlfn._xlws.FILTER(Table8[[Day Total]:[Day Total]],(MONTH(Table8[[Date]:[Date]])=$AM350)*(DAY(Table8[[Date]:[Date]])=$AN350)*(YEAR(Table8[[Date]:[Date]])=AR$1),0)</f>
        <v>0</v>
      </c>
      <c r="AS350">
        <f t="shared" si="23"/>
        <v>5800</v>
      </c>
      <c r="AT350" cm="1">
        <f t="array" ref="AT350">_xlfn._xlws.FILTER(Table8[[Day Total]:[Day Total]],(MONTH(Table8[[Date]:[Date]])=$AM350)*(DAY(Table8[[Date]:[Date]])=$AN350)*(YEAR(Table8[[Date]:[Date]])=AT$1),0)</f>
        <v>0</v>
      </c>
      <c r="AU350">
        <f t="shared" si="26"/>
        <v>1377</v>
      </c>
      <c r="AV350" cm="1">
        <f t="array" ref="AV350">_xlfn._xlws.FILTER(Table8[[Day Total]:[Day Total]],(MONTH(Table8[[Date]:[Date]])=$AM350)*(DAY(Table8[[Date]:[Date]])=$AN350)*(YEAR(Table8[[Date]:[Date]])=AV$1),0)</f>
        <v>0</v>
      </c>
      <c r="AW350">
        <f t="shared" si="25"/>
        <v>3102</v>
      </c>
    </row>
    <row r="351" spans="38:49" x14ac:dyDescent="0.25">
      <c r="AM351">
        <v>12</v>
      </c>
      <c r="AN351">
        <v>15</v>
      </c>
      <c r="AO351" t="str">
        <f t="shared" si="24"/>
        <v>12/15</v>
      </c>
      <c r="AP351" cm="1">
        <f t="array" ref="AP351">_xlfn._xlws.FILTER(Table8[[Day Total]:[Day Total]],(MONTH(Table8[[Date]:[Date]])=$AM351)*(DAY(Table8[[Date]:[Date]])=$AN351)*(YEAR(Table8[[Date]:[Date]])=AP$1),0)</f>
        <v>48</v>
      </c>
      <c r="AQ351">
        <f t="shared" si="27"/>
        <v>3946</v>
      </c>
      <c r="AR351" cm="1">
        <f t="array" ref="AR351">_xlfn._xlws.FILTER(Table8[[Day Total]:[Day Total]],(MONTH(Table8[[Date]:[Date]])=$AM351)*(DAY(Table8[[Date]:[Date]])=$AN351)*(YEAR(Table8[[Date]:[Date]])=AR$1),0)</f>
        <v>0</v>
      </c>
      <c r="AS351">
        <f t="shared" si="23"/>
        <v>5800</v>
      </c>
      <c r="AT351" cm="1">
        <f t="array" ref="AT351">_xlfn._xlws.FILTER(Table8[[Day Total]:[Day Total]],(MONTH(Table8[[Date]:[Date]])=$AM351)*(DAY(Table8[[Date]:[Date]])=$AN351)*(YEAR(Table8[[Date]:[Date]])=AT$1),0)</f>
        <v>0</v>
      </c>
      <c r="AU351">
        <f t="shared" si="26"/>
        <v>1377</v>
      </c>
      <c r="AV351" cm="1">
        <f t="array" ref="AV351">_xlfn._xlws.FILTER(Table8[[Day Total]:[Day Total]],(MONTH(Table8[[Date]:[Date]])=$AM351)*(DAY(Table8[[Date]:[Date]])=$AN351)*(YEAR(Table8[[Date]:[Date]])=AV$1),0)</f>
        <v>0</v>
      </c>
      <c r="AW351">
        <f t="shared" si="25"/>
        <v>3102</v>
      </c>
    </row>
    <row r="352" spans="38:49" x14ac:dyDescent="0.25">
      <c r="AM352">
        <v>12</v>
      </c>
      <c r="AN352">
        <v>16</v>
      </c>
      <c r="AO352" t="str">
        <f t="shared" si="24"/>
        <v>12/16</v>
      </c>
      <c r="AP352" cm="1">
        <f t="array" ref="AP352">_xlfn._xlws.FILTER(Table8[[Day Total]:[Day Total]],(MONTH(Table8[[Date]:[Date]])=$AM352)*(DAY(Table8[[Date]:[Date]])=$AN352)*(YEAR(Table8[[Date]:[Date]])=AP$1),0)</f>
        <v>0</v>
      </c>
      <c r="AQ352">
        <f t="shared" si="27"/>
        <v>3946</v>
      </c>
      <c r="AR352" cm="1">
        <f t="array" ref="AR352">_xlfn._xlws.FILTER(Table8[[Day Total]:[Day Total]],(MONTH(Table8[[Date]:[Date]])=$AM352)*(DAY(Table8[[Date]:[Date]])=$AN352)*(YEAR(Table8[[Date]:[Date]])=AR$1),0)</f>
        <v>0</v>
      </c>
      <c r="AS352">
        <f t="shared" si="23"/>
        <v>5800</v>
      </c>
      <c r="AT352" cm="1">
        <f t="array" ref="AT352">_xlfn._xlws.FILTER(Table8[[Day Total]:[Day Total]],(MONTH(Table8[[Date]:[Date]])=$AM352)*(DAY(Table8[[Date]:[Date]])=$AN352)*(YEAR(Table8[[Date]:[Date]])=AT$1),0)</f>
        <v>0</v>
      </c>
      <c r="AU352">
        <f t="shared" si="26"/>
        <v>1377</v>
      </c>
      <c r="AV352" cm="1">
        <f t="array" ref="AV352">_xlfn._xlws.FILTER(Table8[[Day Total]:[Day Total]],(MONTH(Table8[[Date]:[Date]])=$AM352)*(DAY(Table8[[Date]:[Date]])=$AN352)*(YEAR(Table8[[Date]:[Date]])=AV$1),0)</f>
        <v>0</v>
      </c>
      <c r="AW352">
        <f t="shared" si="25"/>
        <v>3102</v>
      </c>
    </row>
    <row r="353" spans="39:49" x14ac:dyDescent="0.25">
      <c r="AM353">
        <v>12</v>
      </c>
      <c r="AN353">
        <v>17</v>
      </c>
      <c r="AO353" t="str">
        <f t="shared" si="24"/>
        <v>12/17</v>
      </c>
      <c r="AP353" cm="1">
        <f t="array" ref="AP353">_xlfn._xlws.FILTER(Table8[[Day Total]:[Day Total]],(MONTH(Table8[[Date]:[Date]])=$AM353)*(DAY(Table8[[Date]:[Date]])=$AN353)*(YEAR(Table8[[Date]:[Date]])=AP$1),0)</f>
        <v>0</v>
      </c>
      <c r="AQ353">
        <f t="shared" si="27"/>
        <v>3946</v>
      </c>
      <c r="AR353" cm="1">
        <f t="array" ref="AR353">_xlfn._xlws.FILTER(Table8[[Day Total]:[Day Total]],(MONTH(Table8[[Date]:[Date]])=$AM353)*(DAY(Table8[[Date]:[Date]])=$AN353)*(YEAR(Table8[[Date]:[Date]])=AR$1),0)</f>
        <v>0</v>
      </c>
      <c r="AS353">
        <f t="shared" si="23"/>
        <v>5800</v>
      </c>
      <c r="AT353" cm="1">
        <f t="array" ref="AT353">_xlfn._xlws.FILTER(Table8[[Day Total]:[Day Total]],(MONTH(Table8[[Date]:[Date]])=$AM353)*(DAY(Table8[[Date]:[Date]])=$AN353)*(YEAR(Table8[[Date]:[Date]])=AT$1),0)</f>
        <v>0</v>
      </c>
      <c r="AU353">
        <f t="shared" si="26"/>
        <v>1377</v>
      </c>
      <c r="AV353" cm="1">
        <f t="array" ref="AV353">_xlfn._xlws.FILTER(Table8[[Day Total]:[Day Total]],(MONTH(Table8[[Date]:[Date]])=$AM353)*(DAY(Table8[[Date]:[Date]])=$AN353)*(YEAR(Table8[[Date]:[Date]])=AV$1),0)</f>
        <v>0</v>
      </c>
      <c r="AW353">
        <f t="shared" si="25"/>
        <v>3102</v>
      </c>
    </row>
    <row r="354" spans="39:49" x14ac:dyDescent="0.25">
      <c r="AM354">
        <v>12</v>
      </c>
      <c r="AN354">
        <v>18</v>
      </c>
      <c r="AO354" t="str">
        <f t="shared" si="24"/>
        <v>12/18</v>
      </c>
      <c r="AP354" cm="1">
        <f t="array" ref="AP354">_xlfn._xlws.FILTER(Table8[[Day Total]:[Day Total]],(MONTH(Table8[[Date]:[Date]])=$AM354)*(DAY(Table8[[Date]:[Date]])=$AN354)*(YEAR(Table8[[Date]:[Date]])=AP$1),0)</f>
        <v>0</v>
      </c>
      <c r="AQ354">
        <f t="shared" si="27"/>
        <v>3946</v>
      </c>
      <c r="AR354" cm="1">
        <f t="array" ref="AR354">_xlfn._xlws.FILTER(Table8[[Day Total]:[Day Total]],(MONTH(Table8[[Date]:[Date]])=$AM354)*(DAY(Table8[[Date]:[Date]])=$AN354)*(YEAR(Table8[[Date]:[Date]])=AR$1),0)</f>
        <v>0</v>
      </c>
      <c r="AS354">
        <f t="shared" si="23"/>
        <v>5800</v>
      </c>
      <c r="AT354" cm="1">
        <f t="array" ref="AT354">_xlfn._xlws.FILTER(Table8[[Day Total]:[Day Total]],(MONTH(Table8[[Date]:[Date]])=$AM354)*(DAY(Table8[[Date]:[Date]])=$AN354)*(YEAR(Table8[[Date]:[Date]])=AT$1),0)</f>
        <v>0</v>
      </c>
      <c r="AU354">
        <f t="shared" si="26"/>
        <v>1377</v>
      </c>
      <c r="AV354" cm="1">
        <f t="array" ref="AV354">_xlfn._xlws.FILTER(Table8[[Day Total]:[Day Total]],(MONTH(Table8[[Date]:[Date]])=$AM354)*(DAY(Table8[[Date]:[Date]])=$AN354)*(YEAR(Table8[[Date]:[Date]])=AV$1),0)</f>
        <v>0</v>
      </c>
      <c r="AW354">
        <f t="shared" si="25"/>
        <v>3102</v>
      </c>
    </row>
    <row r="355" spans="39:49" x14ac:dyDescent="0.25">
      <c r="AM355">
        <v>12</v>
      </c>
      <c r="AN355">
        <v>19</v>
      </c>
      <c r="AO355" t="str">
        <f t="shared" si="24"/>
        <v>12/19</v>
      </c>
      <c r="AP355" cm="1">
        <f t="array" ref="AP355">_xlfn._xlws.FILTER(Table8[[Day Total]:[Day Total]],(MONTH(Table8[[Date]:[Date]])=$AM355)*(DAY(Table8[[Date]:[Date]])=$AN355)*(YEAR(Table8[[Date]:[Date]])=AP$1),0)</f>
        <v>0</v>
      </c>
      <c r="AQ355">
        <f t="shared" si="27"/>
        <v>3946</v>
      </c>
      <c r="AR355" cm="1">
        <f t="array" ref="AR355">_xlfn._xlws.FILTER(Table8[[Day Total]:[Day Total]],(MONTH(Table8[[Date]:[Date]])=$AM355)*(DAY(Table8[[Date]:[Date]])=$AN355)*(YEAR(Table8[[Date]:[Date]])=AR$1),0)</f>
        <v>0</v>
      </c>
      <c r="AS355">
        <f t="shared" si="23"/>
        <v>5800</v>
      </c>
      <c r="AT355" cm="1">
        <f t="array" ref="AT355">_xlfn._xlws.FILTER(Table8[[Day Total]:[Day Total]],(MONTH(Table8[[Date]:[Date]])=$AM355)*(DAY(Table8[[Date]:[Date]])=$AN355)*(YEAR(Table8[[Date]:[Date]])=AT$1),0)</f>
        <v>0</v>
      </c>
      <c r="AU355">
        <f t="shared" si="26"/>
        <v>1377</v>
      </c>
      <c r="AV355" cm="1">
        <f t="array" ref="AV355">_xlfn._xlws.FILTER(Table8[[Day Total]:[Day Total]],(MONTH(Table8[[Date]:[Date]])=$AM355)*(DAY(Table8[[Date]:[Date]])=$AN355)*(YEAR(Table8[[Date]:[Date]])=AV$1),0)</f>
        <v>0</v>
      </c>
      <c r="AW355">
        <f t="shared" si="25"/>
        <v>3102</v>
      </c>
    </row>
    <row r="356" spans="39:49" x14ac:dyDescent="0.25">
      <c r="AM356">
        <v>12</v>
      </c>
      <c r="AN356">
        <v>20</v>
      </c>
      <c r="AO356" t="str">
        <f t="shared" si="24"/>
        <v>12/20</v>
      </c>
      <c r="AP356" cm="1">
        <f t="array" ref="AP356">_xlfn._xlws.FILTER(Table8[[Day Total]:[Day Total]],(MONTH(Table8[[Date]:[Date]])=$AM356)*(DAY(Table8[[Date]:[Date]])=$AN356)*(YEAR(Table8[[Date]:[Date]])=AP$1),0)</f>
        <v>0</v>
      </c>
      <c r="AQ356">
        <f t="shared" si="27"/>
        <v>3946</v>
      </c>
      <c r="AR356" cm="1">
        <f t="array" ref="AR356">_xlfn._xlws.FILTER(Table8[[Day Total]:[Day Total]],(MONTH(Table8[[Date]:[Date]])=$AM356)*(DAY(Table8[[Date]:[Date]])=$AN356)*(YEAR(Table8[[Date]:[Date]])=AR$1),0)</f>
        <v>0</v>
      </c>
      <c r="AS356">
        <f t="shared" si="23"/>
        <v>5800</v>
      </c>
      <c r="AT356" cm="1">
        <f t="array" ref="AT356">_xlfn._xlws.FILTER(Table8[[Day Total]:[Day Total]],(MONTH(Table8[[Date]:[Date]])=$AM356)*(DAY(Table8[[Date]:[Date]])=$AN356)*(YEAR(Table8[[Date]:[Date]])=AT$1),0)</f>
        <v>0</v>
      </c>
      <c r="AU356">
        <f t="shared" si="26"/>
        <v>1377</v>
      </c>
      <c r="AV356" cm="1">
        <f t="array" ref="AV356">_xlfn._xlws.FILTER(Table8[[Day Total]:[Day Total]],(MONTH(Table8[[Date]:[Date]])=$AM356)*(DAY(Table8[[Date]:[Date]])=$AN356)*(YEAR(Table8[[Date]:[Date]])=AV$1),0)</f>
        <v>0</v>
      </c>
      <c r="AW356">
        <f t="shared" si="25"/>
        <v>3102</v>
      </c>
    </row>
    <row r="357" spans="39:49" x14ac:dyDescent="0.25">
      <c r="AM357">
        <v>12</v>
      </c>
      <c r="AN357">
        <v>21</v>
      </c>
      <c r="AO357" t="str">
        <f t="shared" si="24"/>
        <v>12/21</v>
      </c>
      <c r="AP357" cm="1">
        <f t="array" ref="AP357">_xlfn._xlws.FILTER(Table8[[Day Total]:[Day Total]],(MONTH(Table8[[Date]:[Date]])=$AM357)*(DAY(Table8[[Date]:[Date]])=$AN357)*(YEAR(Table8[[Date]:[Date]])=AP$1),0)</f>
        <v>0</v>
      </c>
      <c r="AQ357">
        <f t="shared" si="27"/>
        <v>3946</v>
      </c>
      <c r="AR357" cm="1">
        <f t="array" ref="AR357">_xlfn._xlws.FILTER(Table8[[Day Total]:[Day Total]],(MONTH(Table8[[Date]:[Date]])=$AM357)*(DAY(Table8[[Date]:[Date]])=$AN357)*(YEAR(Table8[[Date]:[Date]])=AR$1),0)</f>
        <v>0</v>
      </c>
      <c r="AS357">
        <f t="shared" si="23"/>
        <v>5800</v>
      </c>
      <c r="AT357" cm="1">
        <f t="array" ref="AT357">_xlfn._xlws.FILTER(Table8[[Day Total]:[Day Total]],(MONTH(Table8[[Date]:[Date]])=$AM357)*(DAY(Table8[[Date]:[Date]])=$AN357)*(YEAR(Table8[[Date]:[Date]])=AT$1),0)</f>
        <v>0</v>
      </c>
      <c r="AU357">
        <f t="shared" si="26"/>
        <v>1377</v>
      </c>
      <c r="AV357" cm="1">
        <f t="array" ref="AV357">_xlfn._xlws.FILTER(Table8[[Day Total]:[Day Total]],(MONTH(Table8[[Date]:[Date]])=$AM357)*(DAY(Table8[[Date]:[Date]])=$AN357)*(YEAR(Table8[[Date]:[Date]])=AV$1),0)</f>
        <v>0</v>
      </c>
      <c r="AW357">
        <f t="shared" si="25"/>
        <v>3102</v>
      </c>
    </row>
    <row r="358" spans="39:49" x14ac:dyDescent="0.25">
      <c r="AM358">
        <v>12</v>
      </c>
      <c r="AN358">
        <v>22</v>
      </c>
      <c r="AO358" t="str">
        <f t="shared" si="24"/>
        <v>12/22</v>
      </c>
      <c r="AP358" cm="1">
        <f t="array" ref="AP358">_xlfn._xlws.FILTER(Table8[[Day Total]:[Day Total]],(MONTH(Table8[[Date]:[Date]])=$AM358)*(DAY(Table8[[Date]:[Date]])=$AN358)*(YEAR(Table8[[Date]:[Date]])=AP$1),0)</f>
        <v>0</v>
      </c>
      <c r="AQ358">
        <f t="shared" si="27"/>
        <v>3946</v>
      </c>
      <c r="AR358" cm="1">
        <f t="array" ref="AR358">_xlfn._xlws.FILTER(Table8[[Day Total]:[Day Total]],(MONTH(Table8[[Date]:[Date]])=$AM358)*(DAY(Table8[[Date]:[Date]])=$AN358)*(YEAR(Table8[[Date]:[Date]])=AR$1),0)</f>
        <v>0</v>
      </c>
      <c r="AS358">
        <f t="shared" si="23"/>
        <v>5800</v>
      </c>
      <c r="AT358" cm="1">
        <f t="array" ref="AT358">_xlfn._xlws.FILTER(Table8[[Day Total]:[Day Total]],(MONTH(Table8[[Date]:[Date]])=$AM358)*(DAY(Table8[[Date]:[Date]])=$AN358)*(YEAR(Table8[[Date]:[Date]])=AT$1),0)</f>
        <v>0</v>
      </c>
      <c r="AU358">
        <f t="shared" si="26"/>
        <v>1377</v>
      </c>
      <c r="AV358" cm="1">
        <f t="array" ref="AV358">_xlfn._xlws.FILTER(Table8[[Day Total]:[Day Total]],(MONTH(Table8[[Date]:[Date]])=$AM358)*(DAY(Table8[[Date]:[Date]])=$AN358)*(YEAR(Table8[[Date]:[Date]])=AV$1),0)</f>
        <v>0</v>
      </c>
      <c r="AW358">
        <f t="shared" si="25"/>
        <v>3102</v>
      </c>
    </row>
    <row r="359" spans="39:49" x14ac:dyDescent="0.25">
      <c r="AM359">
        <v>12</v>
      </c>
      <c r="AN359">
        <v>23</v>
      </c>
      <c r="AO359" t="str">
        <f t="shared" si="24"/>
        <v>12/23</v>
      </c>
      <c r="AP359" cm="1">
        <f t="array" ref="AP359">_xlfn._xlws.FILTER(Table8[[Day Total]:[Day Total]],(MONTH(Table8[[Date]:[Date]])=$AM359)*(DAY(Table8[[Date]:[Date]])=$AN359)*(YEAR(Table8[[Date]:[Date]])=AP$1),0)</f>
        <v>21</v>
      </c>
      <c r="AQ359">
        <f t="shared" si="27"/>
        <v>3967</v>
      </c>
      <c r="AR359" cm="1">
        <f t="array" ref="AR359">_xlfn._xlws.FILTER(Table8[[Day Total]:[Day Total]],(MONTH(Table8[[Date]:[Date]])=$AM359)*(DAY(Table8[[Date]:[Date]])=$AN359)*(YEAR(Table8[[Date]:[Date]])=AR$1),0)</f>
        <v>0</v>
      </c>
      <c r="AS359">
        <f t="shared" si="23"/>
        <v>5800</v>
      </c>
      <c r="AT359" cm="1">
        <f t="array" ref="AT359">_xlfn._xlws.FILTER(Table8[[Day Total]:[Day Total]],(MONTH(Table8[[Date]:[Date]])=$AM359)*(DAY(Table8[[Date]:[Date]])=$AN359)*(YEAR(Table8[[Date]:[Date]])=AT$1),0)</f>
        <v>0</v>
      </c>
      <c r="AU359">
        <f t="shared" si="26"/>
        <v>1377</v>
      </c>
      <c r="AV359" cm="1">
        <f t="array" ref="AV359">_xlfn._xlws.FILTER(Table8[[Day Total]:[Day Total]],(MONTH(Table8[[Date]:[Date]])=$AM359)*(DAY(Table8[[Date]:[Date]])=$AN359)*(YEAR(Table8[[Date]:[Date]])=AV$1),0)</f>
        <v>0</v>
      </c>
      <c r="AW359">
        <f t="shared" si="25"/>
        <v>3102</v>
      </c>
    </row>
    <row r="360" spans="39:49" x14ac:dyDescent="0.25">
      <c r="AM360">
        <v>12</v>
      </c>
      <c r="AN360">
        <v>24</v>
      </c>
      <c r="AO360" t="str">
        <f t="shared" si="24"/>
        <v>12/24</v>
      </c>
      <c r="AP360" cm="1">
        <f t="array" ref="AP360">_xlfn._xlws.FILTER(Table8[[Day Total]:[Day Total]],(MONTH(Table8[[Date]:[Date]])=$AM360)*(DAY(Table8[[Date]:[Date]])=$AN360)*(YEAR(Table8[[Date]:[Date]])=AP$1),0)</f>
        <v>39</v>
      </c>
      <c r="AQ360">
        <f t="shared" si="27"/>
        <v>4006</v>
      </c>
      <c r="AR360" cm="1">
        <f t="array" ref="AR360">_xlfn._xlws.FILTER(Table8[[Day Total]:[Day Total]],(MONTH(Table8[[Date]:[Date]])=$AM360)*(DAY(Table8[[Date]:[Date]])=$AN360)*(YEAR(Table8[[Date]:[Date]])=AR$1),0)</f>
        <v>0</v>
      </c>
      <c r="AS360">
        <f t="shared" si="23"/>
        <v>5800</v>
      </c>
      <c r="AT360" cm="1">
        <f t="array" ref="AT360">_xlfn._xlws.FILTER(Table8[[Day Total]:[Day Total]],(MONTH(Table8[[Date]:[Date]])=$AM360)*(DAY(Table8[[Date]:[Date]])=$AN360)*(YEAR(Table8[[Date]:[Date]])=AT$1),0)</f>
        <v>0</v>
      </c>
      <c r="AU360">
        <f t="shared" si="26"/>
        <v>1377</v>
      </c>
      <c r="AV360" cm="1">
        <f t="array" ref="AV360">_xlfn._xlws.FILTER(Table8[[Day Total]:[Day Total]],(MONTH(Table8[[Date]:[Date]])=$AM360)*(DAY(Table8[[Date]:[Date]])=$AN360)*(YEAR(Table8[[Date]:[Date]])=AV$1),0)</f>
        <v>0</v>
      </c>
      <c r="AW360">
        <f t="shared" si="25"/>
        <v>3102</v>
      </c>
    </row>
    <row r="361" spans="39:49" x14ac:dyDescent="0.25">
      <c r="AM361">
        <v>12</v>
      </c>
      <c r="AN361">
        <v>25</v>
      </c>
      <c r="AO361" t="str">
        <f t="shared" si="24"/>
        <v>12/25</v>
      </c>
      <c r="AP361" cm="1">
        <f t="array" ref="AP361">_xlfn._xlws.FILTER(Table8[[Day Total]:[Day Total]],(MONTH(Table8[[Date]:[Date]])=$AM361)*(DAY(Table8[[Date]:[Date]])=$AN361)*(YEAR(Table8[[Date]:[Date]])=AP$1),0)</f>
        <v>89</v>
      </c>
      <c r="AQ361">
        <f t="shared" si="27"/>
        <v>4095</v>
      </c>
      <c r="AR361" cm="1">
        <f t="array" ref="AR361">_xlfn._xlws.FILTER(Table8[[Day Total]:[Day Total]],(MONTH(Table8[[Date]:[Date]])=$AM361)*(DAY(Table8[[Date]:[Date]])=$AN361)*(YEAR(Table8[[Date]:[Date]])=AR$1),0)</f>
        <v>31</v>
      </c>
      <c r="AS361">
        <f t="shared" si="23"/>
        <v>5831</v>
      </c>
      <c r="AT361" cm="1">
        <f t="array" ref="AT361">_xlfn._xlws.FILTER(Table8[[Day Total]:[Day Total]],(MONTH(Table8[[Date]:[Date]])=$AM361)*(DAY(Table8[[Date]:[Date]])=$AN361)*(YEAR(Table8[[Date]:[Date]])=AT$1),0)</f>
        <v>0</v>
      </c>
      <c r="AU361">
        <f t="shared" si="26"/>
        <v>1377</v>
      </c>
      <c r="AV361" cm="1">
        <f t="array" ref="AV361">_xlfn._xlws.FILTER(Table8[[Day Total]:[Day Total]],(MONTH(Table8[[Date]:[Date]])=$AM361)*(DAY(Table8[[Date]:[Date]])=$AN361)*(YEAR(Table8[[Date]:[Date]])=AV$1),0)</f>
        <v>0</v>
      </c>
      <c r="AW361">
        <f t="shared" si="25"/>
        <v>3102</v>
      </c>
    </row>
    <row r="362" spans="39:49" x14ac:dyDescent="0.25">
      <c r="AM362">
        <v>12</v>
      </c>
      <c r="AN362">
        <v>26</v>
      </c>
      <c r="AO362" t="str">
        <f t="shared" si="24"/>
        <v>12/26</v>
      </c>
      <c r="AP362" cm="1">
        <f t="array" ref="AP362">_xlfn._xlws.FILTER(Table8[[Day Total]:[Day Total]],(MONTH(Table8[[Date]:[Date]])=$AM362)*(DAY(Table8[[Date]:[Date]])=$AN362)*(YEAR(Table8[[Date]:[Date]])=AP$1),0)</f>
        <v>30</v>
      </c>
      <c r="AQ362">
        <f t="shared" si="27"/>
        <v>4125</v>
      </c>
      <c r="AR362" cm="1">
        <f t="array" ref="AR362">_xlfn._xlws.FILTER(Table8[[Day Total]:[Day Total]],(MONTH(Table8[[Date]:[Date]])=$AM362)*(DAY(Table8[[Date]:[Date]])=$AN362)*(YEAR(Table8[[Date]:[Date]])=AR$1),0)</f>
        <v>0</v>
      </c>
      <c r="AS362">
        <f t="shared" si="23"/>
        <v>5831</v>
      </c>
      <c r="AT362" cm="1">
        <f t="array" ref="AT362">_xlfn._xlws.FILTER(Table8[[Day Total]:[Day Total]],(MONTH(Table8[[Date]:[Date]])=$AM362)*(DAY(Table8[[Date]:[Date]])=$AN362)*(YEAR(Table8[[Date]:[Date]])=AT$1),0)</f>
        <v>0</v>
      </c>
      <c r="AU362">
        <f t="shared" si="26"/>
        <v>1377</v>
      </c>
      <c r="AV362" cm="1">
        <f t="array" ref="AV362">_xlfn._xlws.FILTER(Table8[[Day Total]:[Day Total]],(MONTH(Table8[[Date]:[Date]])=$AM362)*(DAY(Table8[[Date]:[Date]])=$AN362)*(YEAR(Table8[[Date]:[Date]])=AV$1),0)</f>
        <v>0</v>
      </c>
      <c r="AW362">
        <f t="shared" si="25"/>
        <v>3102</v>
      </c>
    </row>
    <row r="363" spans="39:49" x14ac:dyDescent="0.25">
      <c r="AM363">
        <v>12</v>
      </c>
      <c r="AN363">
        <v>27</v>
      </c>
      <c r="AO363" t="str">
        <f t="shared" si="24"/>
        <v>12/27</v>
      </c>
      <c r="AP363" cm="1">
        <f t="array" ref="AP363">_xlfn._xlws.FILTER(Table8[[Day Total]:[Day Total]],(MONTH(Table8[[Date]:[Date]])=$AM363)*(DAY(Table8[[Date]:[Date]])=$AN363)*(YEAR(Table8[[Date]:[Date]])=AP$1),0)</f>
        <v>20</v>
      </c>
      <c r="AQ363">
        <f t="shared" si="27"/>
        <v>4145</v>
      </c>
      <c r="AR363" cm="1">
        <f t="array" ref="AR363">_xlfn._xlws.FILTER(Table8[[Day Total]:[Day Total]],(MONTH(Table8[[Date]:[Date]])=$AM363)*(DAY(Table8[[Date]:[Date]])=$AN363)*(YEAR(Table8[[Date]:[Date]])=AR$1),0)</f>
        <v>0</v>
      </c>
      <c r="AS363">
        <f t="shared" si="23"/>
        <v>5831</v>
      </c>
      <c r="AT363" cm="1">
        <f t="array" ref="AT363">_xlfn._xlws.FILTER(Table8[[Day Total]:[Day Total]],(MONTH(Table8[[Date]:[Date]])=$AM363)*(DAY(Table8[[Date]:[Date]])=$AN363)*(YEAR(Table8[[Date]:[Date]])=AT$1),0)</f>
        <v>0</v>
      </c>
      <c r="AU363">
        <f t="shared" si="26"/>
        <v>1377</v>
      </c>
      <c r="AV363" cm="1">
        <f t="array" ref="AV363">_xlfn._xlws.FILTER(Table8[[Day Total]:[Day Total]],(MONTH(Table8[[Date]:[Date]])=$AM363)*(DAY(Table8[[Date]:[Date]])=$AN363)*(YEAR(Table8[[Date]:[Date]])=AV$1),0)</f>
        <v>0</v>
      </c>
      <c r="AW363">
        <f t="shared" si="25"/>
        <v>3102</v>
      </c>
    </row>
    <row r="364" spans="39:49" x14ac:dyDescent="0.25">
      <c r="AM364">
        <v>12</v>
      </c>
      <c r="AN364">
        <v>28</v>
      </c>
      <c r="AO364" t="str">
        <f t="shared" si="24"/>
        <v>12/28</v>
      </c>
      <c r="AP364" cm="1">
        <f t="array" ref="AP364">_xlfn._xlws.FILTER(Table8[[Day Total]:[Day Total]],(MONTH(Table8[[Date]:[Date]])=$AM364)*(DAY(Table8[[Date]:[Date]])=$AN364)*(YEAR(Table8[[Date]:[Date]])=AP$1),0)</f>
        <v>50</v>
      </c>
      <c r="AQ364">
        <f t="shared" si="27"/>
        <v>4195</v>
      </c>
      <c r="AR364" cm="1">
        <f t="array" ref="AR364">_xlfn._xlws.FILTER(Table8[[Day Total]:[Day Total]],(MONTH(Table8[[Date]:[Date]])=$AM364)*(DAY(Table8[[Date]:[Date]])=$AN364)*(YEAR(Table8[[Date]:[Date]])=AR$1),0)</f>
        <v>0</v>
      </c>
      <c r="AS364">
        <f t="shared" si="23"/>
        <v>5831</v>
      </c>
      <c r="AT364" cm="1">
        <f t="array" ref="AT364">_xlfn._xlws.FILTER(Table8[[Day Total]:[Day Total]],(MONTH(Table8[[Date]:[Date]])=$AM364)*(DAY(Table8[[Date]:[Date]])=$AN364)*(YEAR(Table8[[Date]:[Date]])=AT$1),0)</f>
        <v>0</v>
      </c>
      <c r="AU364">
        <f t="shared" si="26"/>
        <v>1377</v>
      </c>
      <c r="AV364" cm="1">
        <f t="array" ref="AV364">_xlfn._xlws.FILTER(Table8[[Day Total]:[Day Total]],(MONTH(Table8[[Date]:[Date]])=$AM364)*(DAY(Table8[[Date]:[Date]])=$AN364)*(YEAR(Table8[[Date]:[Date]])=AV$1),0)</f>
        <v>0</v>
      </c>
      <c r="AW364">
        <f t="shared" si="25"/>
        <v>3102</v>
      </c>
    </row>
    <row r="365" spans="39:49" x14ac:dyDescent="0.25">
      <c r="AM365">
        <v>12</v>
      </c>
      <c r="AN365">
        <v>29</v>
      </c>
      <c r="AO365" t="str">
        <f t="shared" si="24"/>
        <v>12/29</v>
      </c>
      <c r="AP365" cm="1">
        <f t="array" ref="AP365">_xlfn._xlws.FILTER(Table8[[Day Total]:[Day Total]],(MONTH(Table8[[Date]:[Date]])=$AM365)*(DAY(Table8[[Date]:[Date]])=$AN365)*(YEAR(Table8[[Date]:[Date]])=AP$1),0)</f>
        <v>0</v>
      </c>
      <c r="AQ365">
        <f t="shared" si="27"/>
        <v>4195</v>
      </c>
      <c r="AR365" cm="1">
        <f t="array" ref="AR365">_xlfn._xlws.FILTER(Table8[[Day Total]:[Day Total]],(MONTH(Table8[[Date]:[Date]])=$AM365)*(DAY(Table8[[Date]:[Date]])=$AN365)*(YEAR(Table8[[Date]:[Date]])=AR$1),0)</f>
        <v>0</v>
      </c>
      <c r="AS365">
        <f t="shared" si="23"/>
        <v>5831</v>
      </c>
      <c r="AT365" cm="1">
        <f t="array" ref="AT365">_xlfn._xlws.FILTER(Table8[[Day Total]:[Day Total]],(MONTH(Table8[[Date]:[Date]])=$AM365)*(DAY(Table8[[Date]:[Date]])=$AN365)*(YEAR(Table8[[Date]:[Date]])=AT$1),0)</f>
        <v>0</v>
      </c>
      <c r="AU365">
        <f t="shared" si="26"/>
        <v>1377</v>
      </c>
      <c r="AV365" cm="1">
        <f t="array" ref="AV365">_xlfn._xlws.FILTER(Table8[[Day Total]:[Day Total]],(MONTH(Table8[[Date]:[Date]])=$AM365)*(DAY(Table8[[Date]:[Date]])=$AN365)*(YEAR(Table8[[Date]:[Date]])=AV$1),0)</f>
        <v>0</v>
      </c>
      <c r="AW365">
        <f t="shared" si="25"/>
        <v>3102</v>
      </c>
    </row>
    <row r="366" spans="39:49" x14ac:dyDescent="0.25">
      <c r="AM366">
        <v>12</v>
      </c>
      <c r="AN366">
        <v>30</v>
      </c>
      <c r="AO366" t="str">
        <f t="shared" si="24"/>
        <v>12/30</v>
      </c>
      <c r="AP366" cm="1">
        <f t="array" ref="AP366">_xlfn._xlws.FILTER(Table8[[Day Total]:[Day Total]],(MONTH(Table8[[Date]:[Date]])=$AM366)*(DAY(Table8[[Date]:[Date]])=$AN366)*(YEAR(Table8[[Date]:[Date]])=AP$1),0)</f>
        <v>0</v>
      </c>
      <c r="AQ366">
        <f t="shared" si="27"/>
        <v>4195</v>
      </c>
      <c r="AR366" cm="1">
        <f t="array" ref="AR366">_xlfn._xlws.FILTER(Table8[[Day Total]:[Day Total]],(MONTH(Table8[[Date]:[Date]])=$AM366)*(DAY(Table8[[Date]:[Date]])=$AN366)*(YEAR(Table8[[Date]:[Date]])=AR$1),0)</f>
        <v>0</v>
      </c>
      <c r="AS366">
        <f t="shared" si="23"/>
        <v>5831</v>
      </c>
      <c r="AT366" cm="1">
        <f t="array" ref="AT366">_xlfn._xlws.FILTER(Table8[[Day Total]:[Day Total]],(MONTH(Table8[[Date]:[Date]])=$AM366)*(DAY(Table8[[Date]:[Date]])=$AN366)*(YEAR(Table8[[Date]:[Date]])=AT$1),0)</f>
        <v>0</v>
      </c>
      <c r="AU366">
        <f t="shared" si="26"/>
        <v>1377</v>
      </c>
      <c r="AV366" cm="1">
        <f t="array" ref="AV366">_xlfn._xlws.FILTER(Table8[[Day Total]:[Day Total]],(MONTH(Table8[[Date]:[Date]])=$AM366)*(DAY(Table8[[Date]:[Date]])=$AN366)*(YEAR(Table8[[Date]:[Date]])=AV$1),0)</f>
        <v>0</v>
      </c>
      <c r="AW366">
        <f t="shared" si="25"/>
        <v>3102</v>
      </c>
    </row>
    <row r="367" spans="39:49" x14ac:dyDescent="0.25">
      <c r="AM367">
        <v>12</v>
      </c>
      <c r="AN367">
        <v>31</v>
      </c>
      <c r="AO367" t="str">
        <f t="shared" si="24"/>
        <v>12/31</v>
      </c>
      <c r="AP367" cm="1">
        <f t="array" ref="AP367">_xlfn._xlws.FILTER(Table8[[Day Total]:[Day Total]],(MONTH(Table8[[Date]:[Date]])=$AM367)*(DAY(Table8[[Date]:[Date]])=$AN367)*(YEAR(Table8[[Date]:[Date]])=AP$1),0)</f>
        <v>0</v>
      </c>
      <c r="AQ367">
        <f t="shared" si="27"/>
        <v>4195</v>
      </c>
      <c r="AR367" cm="1">
        <f t="array" ref="AR367">_xlfn._xlws.FILTER(Table8[[Day Total]:[Day Total]],(MONTH(Table8[[Date]:[Date]])=$AM367)*(DAY(Table8[[Date]:[Date]])=$AN367)*(YEAR(Table8[[Date]:[Date]])=AR$1),0)</f>
        <v>0</v>
      </c>
      <c r="AS367">
        <f t="shared" si="23"/>
        <v>5831</v>
      </c>
      <c r="AT367" cm="1">
        <f t="array" ref="AT367">_xlfn._xlws.FILTER(Table8[[Day Total]:[Day Total]],(MONTH(Table8[[Date]:[Date]])=$AM367)*(DAY(Table8[[Date]:[Date]])=$AN367)*(YEAR(Table8[[Date]:[Date]])=AT$1),0)</f>
        <v>0</v>
      </c>
      <c r="AU367">
        <f t="shared" si="26"/>
        <v>1377</v>
      </c>
      <c r="AV367" cm="1">
        <f t="array" ref="AV367">_xlfn._xlws.FILTER(Table8[[Day Total]:[Day Total]],(MONTH(Table8[[Date]:[Date]])=$AM367)*(DAY(Table8[[Date]:[Date]])=$AN367)*(YEAR(Table8[[Date]:[Date]])=AV$1),0)</f>
        <v>0</v>
      </c>
      <c r="AW367">
        <f t="shared" si="25"/>
        <v>3102</v>
      </c>
    </row>
  </sheetData>
  <mergeCells count="4">
    <mergeCell ref="AT1:AU1"/>
    <mergeCell ref="AR1:AS1"/>
    <mergeCell ref="AP1:AQ1"/>
    <mergeCell ref="AV1:AW1"/>
  </mergeCells>
  <pageMargins left="0.7" right="0.7" top="0.75" bottom="0.75" header="0.3" footer="0.3"/>
  <ignoredErrors>
    <ignoredError sqref="AQ2:AQ367 AS2:AS367 AU2:AU367 AT19 AT10:AT18 AT20:AT367 AR286:AR367 AV19 AV10:AV18 AV20:AV367" formula="1"/>
  </ignoredErrors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Pages</vt:lpstr>
      <vt:lpstr>Pages+</vt:lpstr>
      <vt:lpstr>PagesCum2023</vt:lpstr>
      <vt:lpstr>PagesCum2024</vt:lpstr>
      <vt:lpstr>PagesCum2024All</vt:lpstr>
      <vt:lpstr>PagesCum2025</vt:lpstr>
      <vt:lpstr>PagesCum2025All</vt:lpstr>
      <vt:lpstr>PagesDate2023</vt:lpstr>
      <vt:lpstr>PagesDate2024</vt:lpstr>
      <vt:lpstr>PagesDate2025</vt:lpstr>
      <vt:lpstr>PagesDayTotal2023</vt:lpstr>
      <vt:lpstr>PagesDayTotal2024</vt:lpstr>
      <vt:lpstr>PagesDayTotal2025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Catania</dc:creator>
  <cp:keywords/>
  <dc:description/>
  <cp:lastModifiedBy>Michael Catania</cp:lastModifiedBy>
  <cp:revision/>
  <dcterms:created xsi:type="dcterms:W3CDTF">2023-05-17T16:34:25Z</dcterms:created>
  <dcterms:modified xsi:type="dcterms:W3CDTF">2026-10-29T17:12:33Z</dcterms:modified>
  <cp:category/>
  <cp:contentStatus/>
</cp:coreProperties>
</file>